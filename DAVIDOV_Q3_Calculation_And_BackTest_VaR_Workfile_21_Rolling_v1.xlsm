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/>
  <bookViews>
    <workbookView xWindow="0" yWindow="60" windowWidth="20730" windowHeight="11700"/>
  </bookViews>
  <sheets>
    <sheet name="SP500_VaR_Calculations" sheetId="3" r:id="rId1"/>
    <sheet name="DATA" sheetId="1" r:id="rId2"/>
    <sheet name="GRAPHS" sheetId="2" r:id="rId3"/>
  </sheets>
  <functionGroups builtInGroupCount="17"/>
  <definedNames>
    <definedName name="_xlnm._FilterDatabase" localSheetId="1" hidden="1">DATA!$I$2:$I$2495</definedName>
    <definedName name="_xlnm._FilterDatabase" localSheetId="0" hidden="1">SP500_VaR_Calculations!$Q$1:$Q$1252</definedName>
    <definedName name="dates_graph">INDIRECT(GRAPHS!$C$4)</definedName>
    <definedName name="os_graph">INDIRECT(GRAPHS!$C$7)</definedName>
    <definedName name="ret_graph">INDIRECT(GRAPHS!$C$5)</definedName>
    <definedName name="TRNR_fa2a3b6029e74bafaa6947133c5ca5ac_21_2" hidden="1">#REF!</definedName>
    <definedName name="var_graph">INDIRECT(GRAPHS!$C$6)</definedName>
  </definedNames>
  <calcPr calcId="145621" calcMode="manual"/>
</workbook>
</file>

<file path=xl/calcChain.xml><?xml version="1.0" encoding="utf-8"?>
<calcChain xmlns="http://schemas.openxmlformats.org/spreadsheetml/2006/main">
  <c r="AI5" i="1" l="1"/>
  <c r="AJ5" i="1"/>
  <c r="AK5" i="1"/>
  <c r="AL5" i="1"/>
  <c r="AM5" i="1"/>
  <c r="AL6" i="1"/>
  <c r="AK6" i="1"/>
  <c r="AJ6" i="1"/>
  <c r="AI6" i="1"/>
  <c r="N5" i="1"/>
  <c r="M5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I1585" i="1" s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I1623" i="1" s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I1672" i="1" s="1"/>
  <c r="G1673" i="1"/>
  <c r="G1674" i="1"/>
  <c r="I1674" i="1" s="1"/>
  <c r="G1675" i="1"/>
  <c r="I1675" i="1" s="1"/>
  <c r="G1676" i="1"/>
  <c r="I1676" i="1" s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I1732" i="1" s="1"/>
  <c r="G1733" i="1"/>
  <c r="I1733" i="1" s="1"/>
  <c r="G1734" i="1"/>
  <c r="G1735" i="1"/>
  <c r="I1735" i="1" s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I1847" i="1" s="1"/>
  <c r="G1848" i="1"/>
  <c r="I1848" i="1" s="1"/>
  <c r="G1849" i="1"/>
  <c r="I1849" i="1" s="1"/>
  <c r="G1850" i="1"/>
  <c r="I1850" i="1" s="1"/>
  <c r="G1851" i="1"/>
  <c r="I1851" i="1" s="1"/>
  <c r="G1852" i="1"/>
  <c r="I1852" i="1" s="1"/>
  <c r="G1853" i="1"/>
  <c r="I1853" i="1" s="1"/>
  <c r="G1854" i="1"/>
  <c r="I1854" i="1" s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I1926" i="1" s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I1945" i="1" s="1"/>
  <c r="G1946" i="1"/>
  <c r="I1946" i="1" s="1"/>
  <c r="G1947" i="1"/>
  <c r="G1948" i="1"/>
  <c r="I1948" i="1" s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I2117" i="1" s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I2152" i="1" s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I2348" i="1" s="1"/>
  <c r="G2349" i="1"/>
  <c r="I2349" i="1" s="1"/>
  <c r="G2350" i="1"/>
  <c r="I2350" i="1" s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226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5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I1347" i="1" s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I1450" i="1" s="1"/>
  <c r="G1451" i="1"/>
  <c r="G1452" i="1"/>
  <c r="G1453" i="1"/>
  <c r="G1454" i="1"/>
  <c r="G1455" i="1"/>
  <c r="G1456" i="1"/>
  <c r="I1456" i="1" s="1"/>
  <c r="G1457" i="1"/>
  <c r="I1457" i="1" s="1"/>
  <c r="G1458" i="1"/>
  <c r="I1458" i="1" s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226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I126" i="1" s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I235" i="1" s="1"/>
  <c r="G236" i="1"/>
  <c r="I236" i="1" s="1"/>
  <c r="G237" i="1"/>
  <c r="I237" i="1" s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I402" i="1" s="1"/>
  <c r="G403" i="1"/>
  <c r="I403" i="1" s="1"/>
  <c r="G404" i="1"/>
  <c r="G405" i="1"/>
  <c r="G406" i="1"/>
  <c r="G407" i="1"/>
  <c r="G408" i="1"/>
  <c r="G409" i="1"/>
  <c r="G410" i="1"/>
  <c r="I410" i="1" s="1"/>
  <c r="G411" i="1"/>
  <c r="G412" i="1"/>
  <c r="G413" i="1"/>
  <c r="I413" i="1" s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I454" i="1" s="1"/>
  <c r="G455" i="1"/>
  <c r="I455" i="1" s="1"/>
  <c r="G456" i="1"/>
  <c r="I456" i="1" s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I626" i="1" s="1"/>
  <c r="G627" i="1"/>
  <c r="I627" i="1" s="1"/>
  <c r="G628" i="1"/>
  <c r="I628" i="1" s="1"/>
  <c r="G629" i="1"/>
  <c r="I629" i="1" s="1"/>
  <c r="G630" i="1"/>
  <c r="I630" i="1" s="1"/>
  <c r="G631" i="1"/>
  <c r="I631" i="1" s="1"/>
  <c r="G632" i="1"/>
  <c r="I632" i="1" s="1"/>
  <c r="G633" i="1"/>
  <c r="I633" i="1" s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I725" i="1" s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I1128" i="1" s="1"/>
  <c r="G1129" i="1"/>
  <c r="I1129" i="1" s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O5" i="1"/>
  <c r="C3" i="3"/>
  <c r="D3" i="3" s="1"/>
  <c r="H3" i="3" s="1"/>
  <c r="F3" i="3"/>
  <c r="C4" i="3"/>
  <c r="D4" i="3" s="1"/>
  <c r="H4" i="3" s="1"/>
  <c r="F4" i="3"/>
  <c r="C5" i="3"/>
  <c r="D5" i="3" s="1"/>
  <c r="H5" i="3" s="1"/>
  <c r="F5" i="3"/>
  <c r="C6" i="3"/>
  <c r="D6" i="3" s="1"/>
  <c r="H6" i="3" s="1"/>
  <c r="F6" i="3"/>
  <c r="C7" i="3"/>
  <c r="D7" i="3" s="1"/>
  <c r="H7" i="3" s="1"/>
  <c r="F7" i="3"/>
  <c r="C8" i="3"/>
  <c r="D8" i="3" s="1"/>
  <c r="H8" i="3" s="1"/>
  <c r="F8" i="3"/>
  <c r="C9" i="3"/>
  <c r="D9" i="3" s="1"/>
  <c r="H9" i="3" s="1"/>
  <c r="F9" i="3"/>
  <c r="C10" i="3"/>
  <c r="D10" i="3" s="1"/>
  <c r="H10" i="3" s="1"/>
  <c r="F10" i="3"/>
  <c r="C11" i="3"/>
  <c r="D11" i="3" s="1"/>
  <c r="H11" i="3" s="1"/>
  <c r="F11" i="3"/>
  <c r="C12" i="3"/>
  <c r="D12" i="3" s="1"/>
  <c r="H12" i="3" s="1"/>
  <c r="F12" i="3"/>
  <c r="C13" i="3"/>
  <c r="D13" i="3" s="1"/>
  <c r="H13" i="3" s="1"/>
  <c r="F13" i="3"/>
  <c r="C14" i="3"/>
  <c r="D14" i="3" s="1"/>
  <c r="H14" i="3" s="1"/>
  <c r="F14" i="3"/>
  <c r="C15" i="3"/>
  <c r="D15" i="3" s="1"/>
  <c r="H15" i="3" s="1"/>
  <c r="F15" i="3"/>
  <c r="C16" i="3"/>
  <c r="D16" i="3" s="1"/>
  <c r="H16" i="3" s="1"/>
  <c r="F16" i="3"/>
  <c r="C17" i="3"/>
  <c r="D17" i="3" s="1"/>
  <c r="H17" i="3" s="1"/>
  <c r="F17" i="3"/>
  <c r="C18" i="3"/>
  <c r="D18" i="3" s="1"/>
  <c r="H18" i="3" s="1"/>
  <c r="F18" i="3"/>
  <c r="C19" i="3"/>
  <c r="D19" i="3" s="1"/>
  <c r="H19" i="3" s="1"/>
  <c r="F19" i="3"/>
  <c r="C20" i="3"/>
  <c r="D20" i="3" s="1"/>
  <c r="H20" i="3" s="1"/>
  <c r="F20" i="3"/>
  <c r="C21" i="3"/>
  <c r="D21" i="3" s="1"/>
  <c r="H21" i="3" s="1"/>
  <c r="F21" i="3"/>
  <c r="C22" i="3"/>
  <c r="D22" i="3" s="1"/>
  <c r="H22" i="3" s="1"/>
  <c r="F22" i="3"/>
  <c r="C23" i="3"/>
  <c r="I23" i="3"/>
  <c r="J23" i="3" s="1"/>
  <c r="K23" i="3"/>
  <c r="L23" i="3" s="1"/>
  <c r="P23" i="3"/>
  <c r="C24" i="3"/>
  <c r="I24" i="3" s="1"/>
  <c r="J24" i="3" s="1"/>
  <c r="K24" i="3"/>
  <c r="P24" i="3"/>
  <c r="C25" i="3"/>
  <c r="K25" i="3"/>
  <c r="P25" i="3"/>
  <c r="C26" i="3"/>
  <c r="I30" i="3" s="1"/>
  <c r="J30" i="3" s="1"/>
  <c r="K26" i="3"/>
  <c r="P26" i="3"/>
  <c r="C27" i="3"/>
  <c r="K27" i="3"/>
  <c r="P27" i="3"/>
  <c r="C28" i="3"/>
  <c r="K28" i="3"/>
  <c r="P28" i="3"/>
  <c r="C29" i="3"/>
  <c r="K29" i="3"/>
  <c r="P29" i="3"/>
  <c r="C30" i="3"/>
  <c r="K30" i="3"/>
  <c r="P30" i="3"/>
  <c r="C31" i="3"/>
  <c r="K31" i="3"/>
  <c r="P31" i="3"/>
  <c r="C32" i="3"/>
  <c r="K32" i="3"/>
  <c r="P32" i="3"/>
  <c r="C33" i="3"/>
  <c r="K33" i="3"/>
  <c r="P33" i="3"/>
  <c r="C34" i="3"/>
  <c r="K34" i="3"/>
  <c r="P34" i="3"/>
  <c r="C35" i="3"/>
  <c r="K35" i="3"/>
  <c r="P35" i="3"/>
  <c r="C36" i="3"/>
  <c r="K36" i="3"/>
  <c r="P36" i="3"/>
  <c r="C37" i="3"/>
  <c r="K37" i="3"/>
  <c r="P37" i="3"/>
  <c r="C38" i="3"/>
  <c r="I38" i="3"/>
  <c r="J38" i="3" s="1"/>
  <c r="K38" i="3"/>
  <c r="P38" i="3"/>
  <c r="C39" i="3"/>
  <c r="K39" i="3"/>
  <c r="P39" i="3"/>
  <c r="C40" i="3"/>
  <c r="I46" i="3" s="1"/>
  <c r="J46" i="3" s="1"/>
  <c r="K40" i="3"/>
  <c r="P40" i="3"/>
  <c r="C41" i="3"/>
  <c r="K41" i="3"/>
  <c r="P41" i="3"/>
  <c r="C42" i="3"/>
  <c r="K42" i="3"/>
  <c r="P42" i="3"/>
  <c r="C43" i="3"/>
  <c r="K43" i="3"/>
  <c r="P43" i="3"/>
  <c r="C44" i="3"/>
  <c r="K44" i="3"/>
  <c r="P44" i="3"/>
  <c r="C45" i="3"/>
  <c r="K45" i="3"/>
  <c r="P45" i="3"/>
  <c r="C46" i="3"/>
  <c r="K46" i="3"/>
  <c r="P46" i="3"/>
  <c r="C47" i="3"/>
  <c r="K47" i="3"/>
  <c r="P47" i="3"/>
  <c r="C48" i="3"/>
  <c r="K48" i="3"/>
  <c r="P48" i="3"/>
  <c r="C49" i="3"/>
  <c r="K49" i="3"/>
  <c r="P49" i="3"/>
  <c r="C50" i="3"/>
  <c r="K50" i="3"/>
  <c r="P50" i="3"/>
  <c r="C51" i="3"/>
  <c r="K51" i="3"/>
  <c r="P51" i="3"/>
  <c r="C52" i="3"/>
  <c r="K52" i="3"/>
  <c r="P52" i="3"/>
  <c r="C53" i="3"/>
  <c r="I57" i="3" s="1"/>
  <c r="J57" i="3" s="1"/>
  <c r="K53" i="3"/>
  <c r="P53" i="3"/>
  <c r="C54" i="3"/>
  <c r="K54" i="3"/>
  <c r="P54" i="3"/>
  <c r="C55" i="3"/>
  <c r="K55" i="3"/>
  <c r="P55" i="3"/>
  <c r="C56" i="3"/>
  <c r="K56" i="3"/>
  <c r="P56" i="3"/>
  <c r="C57" i="3"/>
  <c r="K57" i="3"/>
  <c r="P57" i="3"/>
  <c r="C58" i="3"/>
  <c r="K58" i="3"/>
  <c r="P58" i="3"/>
  <c r="C59" i="3"/>
  <c r="K59" i="3"/>
  <c r="P59" i="3"/>
  <c r="C60" i="3"/>
  <c r="K60" i="3"/>
  <c r="P60" i="3"/>
  <c r="C61" i="3"/>
  <c r="K61" i="3"/>
  <c r="P61" i="3"/>
  <c r="C62" i="3"/>
  <c r="K62" i="3"/>
  <c r="P62" i="3"/>
  <c r="C63" i="3"/>
  <c r="K63" i="3"/>
  <c r="P63" i="3"/>
  <c r="C64" i="3"/>
  <c r="I64" i="3" s="1"/>
  <c r="J64" i="3" s="1"/>
  <c r="L64" i="3" s="1"/>
  <c r="K64" i="3"/>
  <c r="P64" i="3"/>
  <c r="C65" i="3"/>
  <c r="I65" i="3"/>
  <c r="J65" i="3" s="1"/>
  <c r="K65" i="3"/>
  <c r="P65" i="3"/>
  <c r="C66" i="3"/>
  <c r="K66" i="3"/>
  <c r="P66" i="3"/>
  <c r="C67" i="3"/>
  <c r="K67" i="3"/>
  <c r="P67" i="3"/>
  <c r="C68" i="3"/>
  <c r="K68" i="3"/>
  <c r="P68" i="3"/>
  <c r="C69" i="3"/>
  <c r="I84" i="3" s="1"/>
  <c r="J84" i="3" s="1"/>
  <c r="K69" i="3"/>
  <c r="P69" i="3"/>
  <c r="C70" i="3"/>
  <c r="K70" i="3"/>
  <c r="P70" i="3"/>
  <c r="C71" i="3"/>
  <c r="K71" i="3"/>
  <c r="P71" i="3"/>
  <c r="C72" i="3"/>
  <c r="K72" i="3"/>
  <c r="P72" i="3"/>
  <c r="C73" i="3"/>
  <c r="K73" i="3"/>
  <c r="P73" i="3"/>
  <c r="C74" i="3"/>
  <c r="K74" i="3"/>
  <c r="P74" i="3"/>
  <c r="C75" i="3"/>
  <c r="K75" i="3"/>
  <c r="P75" i="3"/>
  <c r="C76" i="3"/>
  <c r="I76" i="3"/>
  <c r="J76" i="3" s="1"/>
  <c r="K76" i="3"/>
  <c r="P76" i="3"/>
  <c r="C77" i="3"/>
  <c r="K77" i="3"/>
  <c r="P77" i="3"/>
  <c r="C78" i="3"/>
  <c r="K78" i="3"/>
  <c r="P78" i="3"/>
  <c r="C79" i="3"/>
  <c r="K79" i="3"/>
  <c r="P79" i="3"/>
  <c r="C80" i="3"/>
  <c r="I100" i="3" s="1"/>
  <c r="J100" i="3" s="1"/>
  <c r="K80" i="3"/>
  <c r="P80" i="3"/>
  <c r="C81" i="3"/>
  <c r="K81" i="3"/>
  <c r="P81" i="3"/>
  <c r="C82" i="3"/>
  <c r="K82" i="3"/>
  <c r="P82" i="3"/>
  <c r="C83" i="3"/>
  <c r="K83" i="3"/>
  <c r="P83" i="3"/>
  <c r="C84" i="3"/>
  <c r="K84" i="3"/>
  <c r="P84" i="3"/>
  <c r="C85" i="3"/>
  <c r="K85" i="3"/>
  <c r="P85" i="3"/>
  <c r="C86" i="3"/>
  <c r="K86" i="3"/>
  <c r="P86" i="3"/>
  <c r="C87" i="3"/>
  <c r="K87" i="3"/>
  <c r="P87" i="3"/>
  <c r="C88" i="3"/>
  <c r="K88" i="3"/>
  <c r="P88" i="3"/>
  <c r="C89" i="3"/>
  <c r="K89" i="3"/>
  <c r="P89" i="3"/>
  <c r="C90" i="3"/>
  <c r="K90" i="3"/>
  <c r="P90" i="3"/>
  <c r="C91" i="3"/>
  <c r="K91" i="3"/>
  <c r="P91" i="3"/>
  <c r="C92" i="3"/>
  <c r="I92" i="3"/>
  <c r="J92" i="3" s="1"/>
  <c r="K92" i="3"/>
  <c r="P92" i="3"/>
  <c r="C93" i="3"/>
  <c r="K93" i="3"/>
  <c r="P93" i="3"/>
  <c r="C94" i="3"/>
  <c r="K94" i="3"/>
  <c r="P94" i="3"/>
  <c r="C95" i="3"/>
  <c r="K95" i="3"/>
  <c r="P95" i="3"/>
  <c r="C96" i="3"/>
  <c r="K96" i="3"/>
  <c r="P96" i="3"/>
  <c r="C97" i="3"/>
  <c r="K97" i="3"/>
  <c r="P97" i="3"/>
  <c r="C98" i="3"/>
  <c r="K98" i="3"/>
  <c r="P98" i="3"/>
  <c r="C99" i="3"/>
  <c r="K99" i="3"/>
  <c r="P99" i="3"/>
  <c r="C100" i="3"/>
  <c r="K100" i="3"/>
  <c r="P100" i="3"/>
  <c r="C101" i="3"/>
  <c r="K101" i="3"/>
  <c r="P101" i="3"/>
  <c r="C102" i="3"/>
  <c r="K102" i="3"/>
  <c r="P102" i="3"/>
  <c r="C103" i="3"/>
  <c r="K103" i="3"/>
  <c r="P103" i="3"/>
  <c r="C104" i="3"/>
  <c r="K104" i="3"/>
  <c r="P104" i="3"/>
  <c r="C105" i="3"/>
  <c r="K105" i="3"/>
  <c r="P105" i="3"/>
  <c r="C106" i="3"/>
  <c r="K106" i="3"/>
  <c r="P106" i="3"/>
  <c r="C107" i="3"/>
  <c r="K107" i="3"/>
  <c r="P107" i="3"/>
  <c r="C108" i="3"/>
  <c r="K108" i="3"/>
  <c r="P108" i="3"/>
  <c r="C109" i="3"/>
  <c r="K109" i="3"/>
  <c r="P109" i="3"/>
  <c r="C110" i="3"/>
  <c r="K110" i="3"/>
  <c r="P110" i="3"/>
  <c r="C111" i="3"/>
  <c r="K111" i="3"/>
  <c r="P111" i="3"/>
  <c r="C112" i="3"/>
  <c r="K112" i="3"/>
  <c r="P112" i="3"/>
  <c r="C113" i="3"/>
  <c r="K113" i="3"/>
  <c r="P113" i="3"/>
  <c r="C114" i="3"/>
  <c r="K114" i="3"/>
  <c r="P114" i="3"/>
  <c r="C115" i="3"/>
  <c r="K115" i="3"/>
  <c r="P115" i="3"/>
  <c r="C116" i="3"/>
  <c r="I116" i="3"/>
  <c r="J116" i="3" s="1"/>
  <c r="K116" i="3"/>
  <c r="P116" i="3"/>
  <c r="C117" i="3"/>
  <c r="K117" i="3"/>
  <c r="P117" i="3"/>
  <c r="C118" i="3"/>
  <c r="K118" i="3"/>
  <c r="P118" i="3"/>
  <c r="C119" i="3"/>
  <c r="K119" i="3"/>
  <c r="P119" i="3"/>
  <c r="C120" i="3"/>
  <c r="I139" i="3" s="1"/>
  <c r="J139" i="3" s="1"/>
  <c r="K120" i="3"/>
  <c r="P120" i="3"/>
  <c r="C121" i="3"/>
  <c r="K121" i="3"/>
  <c r="P121" i="3"/>
  <c r="C122" i="3"/>
  <c r="K122" i="3"/>
  <c r="P122" i="3"/>
  <c r="C123" i="3"/>
  <c r="K123" i="3"/>
  <c r="P123" i="3"/>
  <c r="C124" i="3"/>
  <c r="K124" i="3"/>
  <c r="P124" i="3"/>
  <c r="C125" i="3"/>
  <c r="K125" i="3"/>
  <c r="P125" i="3"/>
  <c r="C126" i="3"/>
  <c r="K126" i="3"/>
  <c r="P126" i="3"/>
  <c r="C127" i="3"/>
  <c r="K127" i="3"/>
  <c r="P127" i="3"/>
  <c r="C128" i="3"/>
  <c r="K128" i="3"/>
  <c r="P128" i="3"/>
  <c r="C129" i="3"/>
  <c r="I129" i="3"/>
  <c r="J129" i="3" s="1"/>
  <c r="K129" i="3"/>
  <c r="P129" i="3"/>
  <c r="C130" i="3"/>
  <c r="K130" i="3"/>
  <c r="P130" i="3"/>
  <c r="C131" i="3"/>
  <c r="K131" i="3"/>
  <c r="P131" i="3"/>
  <c r="C132" i="3"/>
  <c r="K132" i="3"/>
  <c r="P132" i="3"/>
  <c r="C133" i="3"/>
  <c r="K133" i="3"/>
  <c r="P133" i="3"/>
  <c r="C134" i="3"/>
  <c r="K134" i="3"/>
  <c r="P134" i="3"/>
  <c r="C135" i="3"/>
  <c r="I155" i="3" s="1"/>
  <c r="J155" i="3" s="1"/>
  <c r="K135" i="3"/>
  <c r="P135" i="3"/>
  <c r="C136" i="3"/>
  <c r="K136" i="3"/>
  <c r="P136" i="3"/>
  <c r="C137" i="3"/>
  <c r="K137" i="3"/>
  <c r="P137" i="3"/>
  <c r="C138" i="3"/>
  <c r="K138" i="3"/>
  <c r="P138" i="3"/>
  <c r="C139" i="3"/>
  <c r="K139" i="3"/>
  <c r="P139" i="3"/>
  <c r="C140" i="3"/>
  <c r="K140" i="3"/>
  <c r="P140" i="3"/>
  <c r="C141" i="3"/>
  <c r="K141" i="3"/>
  <c r="P141" i="3"/>
  <c r="C142" i="3"/>
  <c r="K142" i="3"/>
  <c r="P142" i="3"/>
  <c r="C143" i="3"/>
  <c r="K143" i="3"/>
  <c r="P143" i="3"/>
  <c r="C144" i="3"/>
  <c r="K144" i="3"/>
  <c r="P144" i="3"/>
  <c r="C145" i="3"/>
  <c r="K145" i="3"/>
  <c r="P145" i="3"/>
  <c r="C146" i="3"/>
  <c r="K146" i="3"/>
  <c r="P146" i="3"/>
  <c r="C147" i="3"/>
  <c r="I147" i="3"/>
  <c r="J147" i="3" s="1"/>
  <c r="K147" i="3"/>
  <c r="P147" i="3"/>
  <c r="C148" i="3"/>
  <c r="K148" i="3"/>
  <c r="P148" i="3"/>
  <c r="C149" i="3"/>
  <c r="K149" i="3"/>
  <c r="P149" i="3"/>
  <c r="C150" i="3"/>
  <c r="K150" i="3"/>
  <c r="P150" i="3"/>
  <c r="C151" i="3"/>
  <c r="K151" i="3"/>
  <c r="P151" i="3"/>
  <c r="C152" i="3"/>
  <c r="K152" i="3"/>
  <c r="P152" i="3"/>
  <c r="C153" i="3"/>
  <c r="K153" i="3"/>
  <c r="P153" i="3"/>
  <c r="C154" i="3"/>
  <c r="K154" i="3"/>
  <c r="P154" i="3"/>
  <c r="C155" i="3"/>
  <c r="K155" i="3"/>
  <c r="P155" i="3"/>
  <c r="C156" i="3"/>
  <c r="K156" i="3"/>
  <c r="P156" i="3"/>
  <c r="C157" i="3"/>
  <c r="K157" i="3"/>
  <c r="P157" i="3"/>
  <c r="C158" i="3"/>
  <c r="K158" i="3"/>
  <c r="P158" i="3"/>
  <c r="C159" i="3"/>
  <c r="K159" i="3"/>
  <c r="P159" i="3"/>
  <c r="C160" i="3"/>
  <c r="I180" i="3" s="1"/>
  <c r="J180" i="3" s="1"/>
  <c r="K160" i="3"/>
  <c r="P160" i="3"/>
  <c r="C161" i="3"/>
  <c r="K161" i="3"/>
  <c r="P161" i="3"/>
  <c r="C162" i="3"/>
  <c r="K162" i="3"/>
  <c r="P162" i="3"/>
  <c r="C163" i="3"/>
  <c r="I163" i="3"/>
  <c r="J163" i="3" s="1"/>
  <c r="K163" i="3"/>
  <c r="P163" i="3"/>
  <c r="C164" i="3"/>
  <c r="K164" i="3"/>
  <c r="P164" i="3"/>
  <c r="C165" i="3"/>
  <c r="K165" i="3"/>
  <c r="P165" i="3"/>
  <c r="C166" i="3"/>
  <c r="K166" i="3"/>
  <c r="P166" i="3"/>
  <c r="C167" i="3"/>
  <c r="K167" i="3"/>
  <c r="P167" i="3"/>
  <c r="C168" i="3"/>
  <c r="K168" i="3"/>
  <c r="P168" i="3"/>
  <c r="C169" i="3"/>
  <c r="K169" i="3"/>
  <c r="P169" i="3"/>
  <c r="C170" i="3"/>
  <c r="K170" i="3"/>
  <c r="P170" i="3"/>
  <c r="C171" i="3"/>
  <c r="I173" i="3" s="1"/>
  <c r="J173" i="3" s="1"/>
  <c r="K171" i="3"/>
  <c r="P171" i="3"/>
  <c r="C172" i="3"/>
  <c r="I172" i="3"/>
  <c r="J172" i="3" s="1"/>
  <c r="K172" i="3"/>
  <c r="P172" i="3"/>
  <c r="C173" i="3"/>
  <c r="K173" i="3"/>
  <c r="P173" i="3"/>
  <c r="C174" i="3"/>
  <c r="K174" i="3"/>
  <c r="P174" i="3"/>
  <c r="C175" i="3"/>
  <c r="K175" i="3"/>
  <c r="P175" i="3"/>
  <c r="C176" i="3"/>
  <c r="I196" i="3" s="1"/>
  <c r="J196" i="3" s="1"/>
  <c r="K176" i="3"/>
  <c r="P176" i="3"/>
  <c r="C177" i="3"/>
  <c r="K177" i="3"/>
  <c r="P177" i="3"/>
  <c r="C178" i="3"/>
  <c r="K178" i="3"/>
  <c r="P178" i="3"/>
  <c r="C179" i="3"/>
  <c r="K179" i="3"/>
  <c r="P179" i="3"/>
  <c r="C180" i="3"/>
  <c r="K180" i="3"/>
  <c r="P180" i="3"/>
  <c r="C181" i="3"/>
  <c r="K181" i="3"/>
  <c r="P181" i="3"/>
  <c r="C182" i="3"/>
  <c r="K182" i="3"/>
  <c r="P182" i="3"/>
  <c r="C183" i="3"/>
  <c r="K183" i="3"/>
  <c r="P183" i="3"/>
  <c r="C184" i="3"/>
  <c r="K184" i="3"/>
  <c r="P184" i="3"/>
  <c r="C185" i="3"/>
  <c r="K185" i="3"/>
  <c r="P185" i="3"/>
  <c r="C186" i="3"/>
  <c r="K186" i="3"/>
  <c r="P186" i="3"/>
  <c r="C187" i="3"/>
  <c r="I189" i="3" s="1"/>
  <c r="J189" i="3" s="1"/>
  <c r="K187" i="3"/>
  <c r="P187" i="3"/>
  <c r="C188" i="3"/>
  <c r="I188" i="3"/>
  <c r="J188" i="3" s="1"/>
  <c r="K188" i="3"/>
  <c r="P188" i="3"/>
  <c r="C189" i="3"/>
  <c r="K189" i="3"/>
  <c r="P189" i="3"/>
  <c r="C190" i="3"/>
  <c r="K190" i="3"/>
  <c r="P190" i="3"/>
  <c r="C191" i="3"/>
  <c r="K191" i="3"/>
  <c r="P191" i="3"/>
  <c r="C192" i="3"/>
  <c r="I212" i="3" s="1"/>
  <c r="J212" i="3" s="1"/>
  <c r="K192" i="3"/>
  <c r="P192" i="3"/>
  <c r="C193" i="3"/>
  <c r="K193" i="3"/>
  <c r="P193" i="3"/>
  <c r="C194" i="3"/>
  <c r="K194" i="3"/>
  <c r="P194" i="3"/>
  <c r="C195" i="3"/>
  <c r="K195" i="3"/>
  <c r="P195" i="3"/>
  <c r="C196" i="3"/>
  <c r="K196" i="3"/>
  <c r="P196" i="3"/>
  <c r="C197" i="3"/>
  <c r="K197" i="3"/>
  <c r="P197" i="3"/>
  <c r="C198" i="3"/>
  <c r="K198" i="3"/>
  <c r="P198" i="3"/>
  <c r="C199" i="3"/>
  <c r="K199" i="3"/>
  <c r="P199" i="3"/>
  <c r="C200" i="3"/>
  <c r="K200" i="3"/>
  <c r="P200" i="3"/>
  <c r="C201" i="3"/>
  <c r="K201" i="3"/>
  <c r="P201" i="3"/>
  <c r="C202" i="3"/>
  <c r="K202" i="3"/>
  <c r="P202" i="3"/>
  <c r="C203" i="3"/>
  <c r="K203" i="3"/>
  <c r="P203" i="3"/>
  <c r="C204" i="3"/>
  <c r="I204" i="3"/>
  <c r="J204" i="3" s="1"/>
  <c r="K204" i="3"/>
  <c r="P204" i="3"/>
  <c r="C205" i="3"/>
  <c r="K205" i="3"/>
  <c r="P205" i="3"/>
  <c r="C206" i="3"/>
  <c r="K206" i="3"/>
  <c r="P206" i="3"/>
  <c r="C207" i="3"/>
  <c r="K207" i="3"/>
  <c r="P207" i="3"/>
  <c r="C208" i="3"/>
  <c r="K208" i="3"/>
  <c r="P208" i="3"/>
  <c r="C209" i="3"/>
  <c r="K209" i="3"/>
  <c r="P209" i="3"/>
  <c r="C210" i="3"/>
  <c r="K210" i="3"/>
  <c r="P210" i="3"/>
  <c r="C211" i="3"/>
  <c r="K211" i="3"/>
  <c r="P211" i="3"/>
  <c r="C212" i="3"/>
  <c r="K212" i="3"/>
  <c r="P212" i="3"/>
  <c r="C213" i="3"/>
  <c r="K213" i="3"/>
  <c r="P213" i="3"/>
  <c r="C214" i="3"/>
  <c r="K214" i="3"/>
  <c r="P214" i="3"/>
  <c r="C215" i="3"/>
  <c r="K215" i="3"/>
  <c r="P215" i="3"/>
  <c r="C216" i="3"/>
  <c r="K216" i="3"/>
  <c r="P216" i="3"/>
  <c r="C217" i="3"/>
  <c r="I232" i="3" s="1"/>
  <c r="J232" i="3" s="1"/>
  <c r="K217" i="3"/>
  <c r="P217" i="3"/>
  <c r="C218" i="3"/>
  <c r="K218" i="3"/>
  <c r="P218" i="3"/>
  <c r="C219" i="3"/>
  <c r="K219" i="3"/>
  <c r="P219" i="3"/>
  <c r="C220" i="3"/>
  <c r="I220" i="3"/>
  <c r="J220" i="3" s="1"/>
  <c r="K220" i="3"/>
  <c r="P220" i="3"/>
  <c r="C221" i="3"/>
  <c r="K221" i="3"/>
  <c r="P221" i="3"/>
  <c r="C222" i="3"/>
  <c r="K222" i="3"/>
  <c r="P222" i="3"/>
  <c r="C223" i="3"/>
  <c r="K223" i="3"/>
  <c r="P223" i="3"/>
  <c r="C224" i="3"/>
  <c r="K224" i="3"/>
  <c r="P224" i="3"/>
  <c r="C225" i="3"/>
  <c r="K225" i="3"/>
  <c r="P225" i="3"/>
  <c r="C226" i="3"/>
  <c r="K226" i="3"/>
  <c r="P226" i="3"/>
  <c r="C227" i="3"/>
  <c r="K227" i="3"/>
  <c r="P227" i="3"/>
  <c r="C228" i="3"/>
  <c r="K228" i="3"/>
  <c r="P228" i="3"/>
  <c r="C229" i="3"/>
  <c r="K229" i="3"/>
  <c r="P229" i="3"/>
  <c r="C230" i="3"/>
  <c r="K230" i="3"/>
  <c r="P230" i="3"/>
  <c r="C231" i="3"/>
  <c r="K231" i="3"/>
  <c r="P231" i="3"/>
  <c r="C232" i="3"/>
  <c r="K232" i="3"/>
  <c r="P232" i="3"/>
  <c r="C233" i="3"/>
  <c r="K233" i="3"/>
  <c r="P233" i="3"/>
  <c r="C234" i="3"/>
  <c r="K234" i="3"/>
  <c r="P234" i="3"/>
  <c r="C235" i="3"/>
  <c r="K235" i="3"/>
  <c r="P235" i="3"/>
  <c r="C236" i="3"/>
  <c r="K236" i="3"/>
  <c r="P236" i="3"/>
  <c r="C237" i="3"/>
  <c r="I248" i="3" s="1"/>
  <c r="J248" i="3" s="1"/>
  <c r="K237" i="3"/>
  <c r="P237" i="3"/>
  <c r="C238" i="3"/>
  <c r="K238" i="3"/>
  <c r="P238" i="3"/>
  <c r="C239" i="3"/>
  <c r="K239" i="3"/>
  <c r="P239" i="3"/>
  <c r="C240" i="3"/>
  <c r="I240" i="3"/>
  <c r="J240" i="3" s="1"/>
  <c r="K240" i="3"/>
  <c r="P240" i="3"/>
  <c r="C241" i="3"/>
  <c r="K241" i="3"/>
  <c r="P241" i="3"/>
  <c r="C242" i="3"/>
  <c r="K242" i="3"/>
  <c r="P242" i="3"/>
  <c r="C243" i="3"/>
  <c r="K243" i="3"/>
  <c r="P243" i="3"/>
  <c r="C244" i="3"/>
  <c r="I264" i="3" s="1"/>
  <c r="J264" i="3" s="1"/>
  <c r="K244" i="3"/>
  <c r="P244" i="3"/>
  <c r="C245" i="3"/>
  <c r="K245" i="3"/>
  <c r="P245" i="3"/>
  <c r="C246" i="3"/>
  <c r="K246" i="3"/>
  <c r="P246" i="3"/>
  <c r="C247" i="3"/>
  <c r="K247" i="3"/>
  <c r="P247" i="3"/>
  <c r="C248" i="3"/>
  <c r="K248" i="3"/>
  <c r="P248" i="3"/>
  <c r="C249" i="3"/>
  <c r="K249" i="3"/>
  <c r="P249" i="3"/>
  <c r="C250" i="3"/>
  <c r="K250" i="3"/>
  <c r="P250" i="3"/>
  <c r="C251" i="3"/>
  <c r="K251" i="3"/>
  <c r="P251" i="3"/>
  <c r="C252" i="3"/>
  <c r="K252" i="3"/>
  <c r="P252" i="3"/>
  <c r="C253" i="3"/>
  <c r="K253" i="3"/>
  <c r="P253" i="3"/>
  <c r="C254" i="3"/>
  <c r="K254" i="3"/>
  <c r="P254" i="3"/>
  <c r="C255" i="3"/>
  <c r="K255" i="3"/>
  <c r="P255" i="3"/>
  <c r="C256" i="3"/>
  <c r="I256" i="3"/>
  <c r="J256" i="3" s="1"/>
  <c r="K256" i="3"/>
  <c r="P256" i="3"/>
  <c r="C257" i="3"/>
  <c r="K257" i="3"/>
  <c r="P257" i="3"/>
  <c r="C258" i="3"/>
  <c r="K258" i="3"/>
  <c r="P258" i="3"/>
  <c r="C259" i="3"/>
  <c r="K259" i="3"/>
  <c r="P259" i="3"/>
  <c r="C260" i="3"/>
  <c r="I280" i="3" s="1"/>
  <c r="J280" i="3" s="1"/>
  <c r="K260" i="3"/>
  <c r="P260" i="3"/>
  <c r="C261" i="3"/>
  <c r="K261" i="3"/>
  <c r="P261" i="3"/>
  <c r="C262" i="3"/>
  <c r="K262" i="3"/>
  <c r="P262" i="3"/>
  <c r="C263" i="3"/>
  <c r="K263" i="3"/>
  <c r="P263" i="3"/>
  <c r="C264" i="3"/>
  <c r="K264" i="3"/>
  <c r="P264" i="3"/>
  <c r="C265" i="3"/>
  <c r="K265" i="3"/>
  <c r="P265" i="3"/>
  <c r="C266" i="3"/>
  <c r="K266" i="3"/>
  <c r="P266" i="3"/>
  <c r="C267" i="3"/>
  <c r="K267" i="3"/>
  <c r="P267" i="3"/>
  <c r="C268" i="3"/>
  <c r="K268" i="3"/>
  <c r="P268" i="3"/>
  <c r="C269" i="3"/>
  <c r="K269" i="3"/>
  <c r="P269" i="3"/>
  <c r="C270" i="3"/>
  <c r="K270" i="3"/>
  <c r="P270" i="3"/>
  <c r="C271" i="3"/>
  <c r="K271" i="3"/>
  <c r="P271" i="3"/>
  <c r="C272" i="3"/>
  <c r="I272" i="3"/>
  <c r="J272" i="3" s="1"/>
  <c r="K272" i="3"/>
  <c r="P272" i="3"/>
  <c r="C273" i="3"/>
  <c r="K273" i="3"/>
  <c r="P273" i="3"/>
  <c r="C274" i="3"/>
  <c r="K274" i="3"/>
  <c r="P274" i="3"/>
  <c r="C275" i="3"/>
  <c r="K275" i="3"/>
  <c r="P275" i="3"/>
  <c r="C276" i="3"/>
  <c r="I296" i="3" s="1"/>
  <c r="J296" i="3" s="1"/>
  <c r="K276" i="3"/>
  <c r="P276" i="3"/>
  <c r="C277" i="3"/>
  <c r="K277" i="3"/>
  <c r="P277" i="3"/>
  <c r="C278" i="3"/>
  <c r="K278" i="3"/>
  <c r="P278" i="3"/>
  <c r="C279" i="3"/>
  <c r="K279" i="3"/>
  <c r="P279" i="3"/>
  <c r="C280" i="3"/>
  <c r="K280" i="3"/>
  <c r="P280" i="3"/>
  <c r="C281" i="3"/>
  <c r="K281" i="3"/>
  <c r="P281" i="3"/>
  <c r="C282" i="3"/>
  <c r="K282" i="3"/>
  <c r="P282" i="3"/>
  <c r="C283" i="3"/>
  <c r="K283" i="3"/>
  <c r="P283" i="3"/>
  <c r="C284" i="3"/>
  <c r="K284" i="3"/>
  <c r="P284" i="3"/>
  <c r="C285" i="3"/>
  <c r="K285" i="3"/>
  <c r="P285" i="3"/>
  <c r="C286" i="3"/>
  <c r="K286" i="3"/>
  <c r="P286" i="3"/>
  <c r="C287" i="3"/>
  <c r="K287" i="3"/>
  <c r="P287" i="3"/>
  <c r="C288" i="3"/>
  <c r="I288" i="3"/>
  <c r="J288" i="3" s="1"/>
  <c r="K288" i="3"/>
  <c r="P288" i="3"/>
  <c r="C289" i="3"/>
  <c r="K289" i="3"/>
  <c r="P289" i="3"/>
  <c r="C290" i="3"/>
  <c r="I308" i="3" s="1"/>
  <c r="J308" i="3" s="1"/>
  <c r="K290" i="3"/>
  <c r="P290" i="3"/>
  <c r="C291" i="3"/>
  <c r="K291" i="3"/>
  <c r="P291" i="3"/>
  <c r="C292" i="3"/>
  <c r="K292" i="3"/>
  <c r="P292" i="3"/>
  <c r="C293" i="3"/>
  <c r="K293" i="3"/>
  <c r="P293" i="3"/>
  <c r="C294" i="3"/>
  <c r="K294" i="3"/>
  <c r="P294" i="3"/>
  <c r="C295" i="3"/>
  <c r="K295" i="3"/>
  <c r="P295" i="3"/>
  <c r="C296" i="3"/>
  <c r="K296" i="3"/>
  <c r="P296" i="3"/>
  <c r="C297" i="3"/>
  <c r="K297" i="3"/>
  <c r="P297" i="3"/>
  <c r="C298" i="3"/>
  <c r="K298" i="3"/>
  <c r="P298" i="3"/>
  <c r="C299" i="3"/>
  <c r="K299" i="3"/>
  <c r="P299" i="3"/>
  <c r="C300" i="3"/>
  <c r="K300" i="3"/>
  <c r="P300" i="3"/>
  <c r="C301" i="3"/>
  <c r="I316" i="3" s="1"/>
  <c r="J316" i="3" s="1"/>
  <c r="K301" i="3"/>
  <c r="P301" i="3"/>
  <c r="C302" i="3"/>
  <c r="K302" i="3"/>
  <c r="P302" i="3"/>
  <c r="C303" i="3"/>
  <c r="K303" i="3"/>
  <c r="P303" i="3"/>
  <c r="C304" i="3"/>
  <c r="I304" i="3"/>
  <c r="J304" i="3" s="1"/>
  <c r="K304" i="3"/>
  <c r="P304" i="3"/>
  <c r="C305" i="3"/>
  <c r="K305" i="3"/>
  <c r="P305" i="3"/>
  <c r="C306" i="3"/>
  <c r="I324" i="3" s="1"/>
  <c r="J324" i="3" s="1"/>
  <c r="K306" i="3"/>
  <c r="P306" i="3"/>
  <c r="C307" i="3"/>
  <c r="K307" i="3"/>
  <c r="P307" i="3"/>
  <c r="C308" i="3"/>
  <c r="K308" i="3"/>
  <c r="P308" i="3"/>
  <c r="C309" i="3"/>
  <c r="K309" i="3"/>
  <c r="P309" i="3"/>
  <c r="C310" i="3"/>
  <c r="K310" i="3"/>
  <c r="P310" i="3"/>
  <c r="C311" i="3"/>
  <c r="K311" i="3"/>
  <c r="P311" i="3"/>
  <c r="C312" i="3"/>
  <c r="I312" i="3"/>
  <c r="J312" i="3" s="1"/>
  <c r="K312" i="3"/>
  <c r="P312" i="3"/>
  <c r="C313" i="3"/>
  <c r="K313" i="3"/>
  <c r="P313" i="3"/>
  <c r="C314" i="3"/>
  <c r="I332" i="3" s="1"/>
  <c r="J332" i="3" s="1"/>
  <c r="K314" i="3"/>
  <c r="P314" i="3"/>
  <c r="C315" i="3"/>
  <c r="K315" i="3"/>
  <c r="P315" i="3"/>
  <c r="C316" i="3"/>
  <c r="K316" i="3"/>
  <c r="P316" i="3"/>
  <c r="C317" i="3"/>
  <c r="K317" i="3"/>
  <c r="P317" i="3"/>
  <c r="C318" i="3"/>
  <c r="K318" i="3"/>
  <c r="P318" i="3"/>
  <c r="C319" i="3"/>
  <c r="K319" i="3"/>
  <c r="P319" i="3"/>
  <c r="C320" i="3"/>
  <c r="I320" i="3"/>
  <c r="J320" i="3" s="1"/>
  <c r="K320" i="3"/>
  <c r="P320" i="3"/>
  <c r="C321" i="3"/>
  <c r="K321" i="3"/>
  <c r="P321" i="3"/>
  <c r="C322" i="3"/>
  <c r="I340" i="3" s="1"/>
  <c r="J340" i="3" s="1"/>
  <c r="K322" i="3"/>
  <c r="P322" i="3"/>
  <c r="C323" i="3"/>
  <c r="K323" i="3"/>
  <c r="P323" i="3"/>
  <c r="C324" i="3"/>
  <c r="K324" i="3"/>
  <c r="P324" i="3"/>
  <c r="C325" i="3"/>
  <c r="K325" i="3"/>
  <c r="P325" i="3"/>
  <c r="C326" i="3"/>
  <c r="K326" i="3"/>
  <c r="P326" i="3"/>
  <c r="C327" i="3"/>
  <c r="K327" i="3"/>
  <c r="P327" i="3"/>
  <c r="C328" i="3"/>
  <c r="I328" i="3"/>
  <c r="J328" i="3" s="1"/>
  <c r="K328" i="3"/>
  <c r="P328" i="3"/>
  <c r="C329" i="3"/>
  <c r="K329" i="3"/>
  <c r="P329" i="3"/>
  <c r="C330" i="3"/>
  <c r="I348" i="3" s="1"/>
  <c r="J348" i="3" s="1"/>
  <c r="K330" i="3"/>
  <c r="P330" i="3"/>
  <c r="C331" i="3"/>
  <c r="K331" i="3"/>
  <c r="P331" i="3"/>
  <c r="C332" i="3"/>
  <c r="K332" i="3"/>
  <c r="P332" i="3"/>
  <c r="C333" i="3"/>
  <c r="K333" i="3"/>
  <c r="P333" i="3"/>
  <c r="C334" i="3"/>
  <c r="K334" i="3"/>
  <c r="P334" i="3"/>
  <c r="C335" i="3"/>
  <c r="K335" i="3"/>
  <c r="P335" i="3"/>
  <c r="C336" i="3"/>
  <c r="I336" i="3"/>
  <c r="J336" i="3" s="1"/>
  <c r="K336" i="3"/>
  <c r="P336" i="3"/>
  <c r="C337" i="3"/>
  <c r="K337" i="3"/>
  <c r="P337" i="3"/>
  <c r="C338" i="3"/>
  <c r="I356" i="3" s="1"/>
  <c r="J356" i="3" s="1"/>
  <c r="K338" i="3"/>
  <c r="P338" i="3"/>
  <c r="C339" i="3"/>
  <c r="K339" i="3"/>
  <c r="P339" i="3"/>
  <c r="C340" i="3"/>
  <c r="K340" i="3"/>
  <c r="P340" i="3"/>
  <c r="C341" i="3"/>
  <c r="K341" i="3"/>
  <c r="P341" i="3"/>
  <c r="C342" i="3"/>
  <c r="K342" i="3"/>
  <c r="P342" i="3"/>
  <c r="C343" i="3"/>
  <c r="K343" i="3"/>
  <c r="P343" i="3"/>
  <c r="C344" i="3"/>
  <c r="I344" i="3"/>
  <c r="J344" i="3" s="1"/>
  <c r="K344" i="3"/>
  <c r="P344" i="3"/>
  <c r="C345" i="3"/>
  <c r="K345" i="3"/>
  <c r="P345" i="3"/>
  <c r="C346" i="3"/>
  <c r="I364" i="3" s="1"/>
  <c r="J364" i="3" s="1"/>
  <c r="K346" i="3"/>
  <c r="P346" i="3"/>
  <c r="C347" i="3"/>
  <c r="K347" i="3"/>
  <c r="P347" i="3"/>
  <c r="C348" i="3"/>
  <c r="K348" i="3"/>
  <c r="P348" i="3"/>
  <c r="C349" i="3"/>
  <c r="K349" i="3"/>
  <c r="P349" i="3"/>
  <c r="C350" i="3"/>
  <c r="K350" i="3"/>
  <c r="P350" i="3"/>
  <c r="C351" i="3"/>
  <c r="K351" i="3"/>
  <c r="P351" i="3"/>
  <c r="C352" i="3"/>
  <c r="I352" i="3"/>
  <c r="J352" i="3" s="1"/>
  <c r="K352" i="3"/>
  <c r="P352" i="3"/>
  <c r="C353" i="3"/>
  <c r="K353" i="3"/>
  <c r="P353" i="3"/>
  <c r="C354" i="3"/>
  <c r="I372" i="3" s="1"/>
  <c r="J372" i="3" s="1"/>
  <c r="K354" i="3"/>
  <c r="P354" i="3"/>
  <c r="C355" i="3"/>
  <c r="K355" i="3"/>
  <c r="P355" i="3"/>
  <c r="C356" i="3"/>
  <c r="K356" i="3"/>
  <c r="P356" i="3"/>
  <c r="C357" i="3"/>
  <c r="K357" i="3"/>
  <c r="P357" i="3"/>
  <c r="C358" i="3"/>
  <c r="K358" i="3"/>
  <c r="P358" i="3"/>
  <c r="C359" i="3"/>
  <c r="K359" i="3"/>
  <c r="P359" i="3"/>
  <c r="C360" i="3"/>
  <c r="I360" i="3"/>
  <c r="J360" i="3" s="1"/>
  <c r="K360" i="3"/>
  <c r="P360" i="3"/>
  <c r="C361" i="3"/>
  <c r="K361" i="3"/>
  <c r="P361" i="3"/>
  <c r="C362" i="3"/>
  <c r="I380" i="3" s="1"/>
  <c r="J380" i="3" s="1"/>
  <c r="K362" i="3"/>
  <c r="P362" i="3"/>
  <c r="C363" i="3"/>
  <c r="K363" i="3"/>
  <c r="P363" i="3"/>
  <c r="C364" i="3"/>
  <c r="K364" i="3"/>
  <c r="P364" i="3"/>
  <c r="C365" i="3"/>
  <c r="K365" i="3"/>
  <c r="P365" i="3"/>
  <c r="C366" i="3"/>
  <c r="K366" i="3"/>
  <c r="P366" i="3"/>
  <c r="C367" i="3"/>
  <c r="K367" i="3"/>
  <c r="P367" i="3"/>
  <c r="C368" i="3"/>
  <c r="I368" i="3"/>
  <c r="J368" i="3" s="1"/>
  <c r="K368" i="3"/>
  <c r="P368" i="3"/>
  <c r="C369" i="3"/>
  <c r="K369" i="3"/>
  <c r="P369" i="3"/>
  <c r="C370" i="3"/>
  <c r="I388" i="3" s="1"/>
  <c r="J388" i="3" s="1"/>
  <c r="K370" i="3"/>
  <c r="P370" i="3"/>
  <c r="C371" i="3"/>
  <c r="K371" i="3"/>
  <c r="P371" i="3"/>
  <c r="C372" i="3"/>
  <c r="K372" i="3"/>
  <c r="P372" i="3"/>
  <c r="C373" i="3"/>
  <c r="K373" i="3"/>
  <c r="P373" i="3"/>
  <c r="C374" i="3"/>
  <c r="K374" i="3"/>
  <c r="P374" i="3"/>
  <c r="C375" i="3"/>
  <c r="K375" i="3"/>
  <c r="P375" i="3"/>
  <c r="C376" i="3"/>
  <c r="I376" i="3"/>
  <c r="J376" i="3" s="1"/>
  <c r="K376" i="3"/>
  <c r="P376" i="3"/>
  <c r="C377" i="3"/>
  <c r="K377" i="3"/>
  <c r="P377" i="3"/>
  <c r="C378" i="3"/>
  <c r="I396" i="3" s="1"/>
  <c r="J396" i="3" s="1"/>
  <c r="K378" i="3"/>
  <c r="P378" i="3"/>
  <c r="C379" i="3"/>
  <c r="K379" i="3"/>
  <c r="P379" i="3"/>
  <c r="C380" i="3"/>
  <c r="K380" i="3"/>
  <c r="P380" i="3"/>
  <c r="C381" i="3"/>
  <c r="K381" i="3"/>
  <c r="P381" i="3"/>
  <c r="C382" i="3"/>
  <c r="K382" i="3"/>
  <c r="P382" i="3"/>
  <c r="C383" i="3"/>
  <c r="K383" i="3"/>
  <c r="P383" i="3"/>
  <c r="C384" i="3"/>
  <c r="I384" i="3"/>
  <c r="J384" i="3" s="1"/>
  <c r="K384" i="3"/>
  <c r="P384" i="3"/>
  <c r="C385" i="3"/>
  <c r="K385" i="3"/>
  <c r="P385" i="3"/>
  <c r="C386" i="3"/>
  <c r="I404" i="3" s="1"/>
  <c r="J404" i="3" s="1"/>
  <c r="K386" i="3"/>
  <c r="P386" i="3"/>
  <c r="C387" i="3"/>
  <c r="K387" i="3"/>
  <c r="P387" i="3"/>
  <c r="C388" i="3"/>
  <c r="K388" i="3"/>
  <c r="P388" i="3"/>
  <c r="C389" i="3"/>
  <c r="K389" i="3"/>
  <c r="P389" i="3"/>
  <c r="C390" i="3"/>
  <c r="K390" i="3"/>
  <c r="P390" i="3"/>
  <c r="C391" i="3"/>
  <c r="K391" i="3"/>
  <c r="P391" i="3"/>
  <c r="C392" i="3"/>
  <c r="I392" i="3"/>
  <c r="J392" i="3" s="1"/>
  <c r="K392" i="3"/>
  <c r="P392" i="3"/>
  <c r="C393" i="3"/>
  <c r="K393" i="3"/>
  <c r="P393" i="3"/>
  <c r="C394" i="3"/>
  <c r="I412" i="3" s="1"/>
  <c r="J412" i="3" s="1"/>
  <c r="K394" i="3"/>
  <c r="P394" i="3"/>
  <c r="C395" i="3"/>
  <c r="K395" i="3"/>
  <c r="P395" i="3"/>
  <c r="C396" i="3"/>
  <c r="K396" i="3"/>
  <c r="P396" i="3"/>
  <c r="C397" i="3"/>
  <c r="K397" i="3"/>
  <c r="P397" i="3"/>
  <c r="C398" i="3"/>
  <c r="K398" i="3"/>
  <c r="P398" i="3"/>
  <c r="C399" i="3"/>
  <c r="K399" i="3"/>
  <c r="P399" i="3"/>
  <c r="C400" i="3"/>
  <c r="I400" i="3"/>
  <c r="J400" i="3" s="1"/>
  <c r="K400" i="3"/>
  <c r="P400" i="3"/>
  <c r="C401" i="3"/>
  <c r="K401" i="3"/>
  <c r="P401" i="3"/>
  <c r="C402" i="3"/>
  <c r="I420" i="3" s="1"/>
  <c r="J420" i="3" s="1"/>
  <c r="K402" i="3"/>
  <c r="P402" i="3"/>
  <c r="C403" i="3"/>
  <c r="K403" i="3"/>
  <c r="P403" i="3"/>
  <c r="C404" i="3"/>
  <c r="K404" i="3"/>
  <c r="P404" i="3"/>
  <c r="C405" i="3"/>
  <c r="K405" i="3"/>
  <c r="P405" i="3"/>
  <c r="C406" i="3"/>
  <c r="K406" i="3"/>
  <c r="P406" i="3"/>
  <c r="C407" i="3"/>
  <c r="K407" i="3"/>
  <c r="P407" i="3"/>
  <c r="C408" i="3"/>
  <c r="I408" i="3"/>
  <c r="J408" i="3" s="1"/>
  <c r="K408" i="3"/>
  <c r="P408" i="3"/>
  <c r="C409" i="3"/>
  <c r="K409" i="3"/>
  <c r="P409" i="3"/>
  <c r="C410" i="3"/>
  <c r="I428" i="3" s="1"/>
  <c r="J428" i="3" s="1"/>
  <c r="K410" i="3"/>
  <c r="P410" i="3"/>
  <c r="C411" i="3"/>
  <c r="K411" i="3"/>
  <c r="P411" i="3"/>
  <c r="C412" i="3"/>
  <c r="K412" i="3"/>
  <c r="P412" i="3"/>
  <c r="C413" i="3"/>
  <c r="K413" i="3"/>
  <c r="P413" i="3"/>
  <c r="C414" i="3"/>
  <c r="K414" i="3"/>
  <c r="P414" i="3"/>
  <c r="C415" i="3"/>
  <c r="K415" i="3"/>
  <c r="P415" i="3"/>
  <c r="C416" i="3"/>
  <c r="I416" i="3"/>
  <c r="J416" i="3" s="1"/>
  <c r="K416" i="3"/>
  <c r="P416" i="3"/>
  <c r="C417" i="3"/>
  <c r="K417" i="3"/>
  <c r="P417" i="3"/>
  <c r="C418" i="3"/>
  <c r="I436" i="3" s="1"/>
  <c r="J436" i="3" s="1"/>
  <c r="K418" i="3"/>
  <c r="P418" i="3"/>
  <c r="C419" i="3"/>
  <c r="K419" i="3"/>
  <c r="P419" i="3"/>
  <c r="C420" i="3"/>
  <c r="K420" i="3"/>
  <c r="P420" i="3"/>
  <c r="C421" i="3"/>
  <c r="K421" i="3"/>
  <c r="P421" i="3"/>
  <c r="C422" i="3"/>
  <c r="K422" i="3"/>
  <c r="P422" i="3"/>
  <c r="C423" i="3"/>
  <c r="K423" i="3"/>
  <c r="P423" i="3"/>
  <c r="C424" i="3"/>
  <c r="I424" i="3"/>
  <c r="J424" i="3" s="1"/>
  <c r="K424" i="3"/>
  <c r="P424" i="3"/>
  <c r="C425" i="3"/>
  <c r="K425" i="3"/>
  <c r="P425" i="3"/>
  <c r="C426" i="3"/>
  <c r="I444" i="3" s="1"/>
  <c r="J444" i="3" s="1"/>
  <c r="K426" i="3"/>
  <c r="P426" i="3"/>
  <c r="C427" i="3"/>
  <c r="K427" i="3"/>
  <c r="P427" i="3"/>
  <c r="C428" i="3"/>
  <c r="K428" i="3"/>
  <c r="P428" i="3"/>
  <c r="C429" i="3"/>
  <c r="K429" i="3"/>
  <c r="P429" i="3"/>
  <c r="C430" i="3"/>
  <c r="K430" i="3"/>
  <c r="P430" i="3"/>
  <c r="C431" i="3"/>
  <c r="K431" i="3"/>
  <c r="P431" i="3"/>
  <c r="C432" i="3"/>
  <c r="I432" i="3"/>
  <c r="J432" i="3" s="1"/>
  <c r="K432" i="3"/>
  <c r="P432" i="3"/>
  <c r="C433" i="3"/>
  <c r="K433" i="3"/>
  <c r="P433" i="3"/>
  <c r="C434" i="3"/>
  <c r="I452" i="3" s="1"/>
  <c r="J452" i="3" s="1"/>
  <c r="K434" i="3"/>
  <c r="P434" i="3"/>
  <c r="C435" i="3"/>
  <c r="K435" i="3"/>
  <c r="P435" i="3"/>
  <c r="C436" i="3"/>
  <c r="K436" i="3"/>
  <c r="P436" i="3"/>
  <c r="C437" i="3"/>
  <c r="K437" i="3"/>
  <c r="P437" i="3"/>
  <c r="C438" i="3"/>
  <c r="K438" i="3"/>
  <c r="P438" i="3"/>
  <c r="C439" i="3"/>
  <c r="K439" i="3"/>
  <c r="P439" i="3"/>
  <c r="C440" i="3"/>
  <c r="I440" i="3"/>
  <c r="J440" i="3" s="1"/>
  <c r="K440" i="3"/>
  <c r="P440" i="3"/>
  <c r="C441" i="3"/>
  <c r="K441" i="3"/>
  <c r="P441" i="3"/>
  <c r="C442" i="3"/>
  <c r="I460" i="3" s="1"/>
  <c r="J460" i="3" s="1"/>
  <c r="K442" i="3"/>
  <c r="P442" i="3"/>
  <c r="C443" i="3"/>
  <c r="K443" i="3"/>
  <c r="P443" i="3"/>
  <c r="C444" i="3"/>
  <c r="K444" i="3"/>
  <c r="P444" i="3"/>
  <c r="C445" i="3"/>
  <c r="K445" i="3"/>
  <c r="P445" i="3"/>
  <c r="C446" i="3"/>
  <c r="K446" i="3"/>
  <c r="P446" i="3"/>
  <c r="C447" i="3"/>
  <c r="K447" i="3"/>
  <c r="P447" i="3"/>
  <c r="C448" i="3"/>
  <c r="I448" i="3"/>
  <c r="J448" i="3" s="1"/>
  <c r="K448" i="3"/>
  <c r="P448" i="3"/>
  <c r="C449" i="3"/>
  <c r="K449" i="3"/>
  <c r="P449" i="3"/>
  <c r="C450" i="3"/>
  <c r="K450" i="3"/>
  <c r="P450" i="3"/>
  <c r="C451" i="3"/>
  <c r="K451" i="3"/>
  <c r="P451" i="3"/>
  <c r="C452" i="3"/>
  <c r="K452" i="3"/>
  <c r="P452" i="3"/>
  <c r="C453" i="3"/>
  <c r="K453" i="3"/>
  <c r="P453" i="3"/>
  <c r="C454" i="3"/>
  <c r="K454" i="3"/>
  <c r="P454" i="3"/>
  <c r="C455" i="3"/>
  <c r="K455" i="3"/>
  <c r="P455" i="3"/>
  <c r="C456" i="3"/>
  <c r="I456" i="3"/>
  <c r="J456" i="3" s="1"/>
  <c r="K456" i="3"/>
  <c r="P456" i="3"/>
  <c r="C457" i="3"/>
  <c r="K457" i="3"/>
  <c r="P457" i="3"/>
  <c r="C458" i="3"/>
  <c r="I476" i="3" s="1"/>
  <c r="J476" i="3" s="1"/>
  <c r="K458" i="3"/>
  <c r="P458" i="3"/>
  <c r="C459" i="3"/>
  <c r="K459" i="3"/>
  <c r="P459" i="3"/>
  <c r="C460" i="3"/>
  <c r="K460" i="3"/>
  <c r="P460" i="3"/>
  <c r="C461" i="3"/>
  <c r="K461" i="3"/>
  <c r="P461" i="3"/>
  <c r="C462" i="3"/>
  <c r="K462" i="3"/>
  <c r="P462" i="3"/>
  <c r="C463" i="3"/>
  <c r="K463" i="3"/>
  <c r="P463" i="3"/>
  <c r="C464" i="3"/>
  <c r="K464" i="3"/>
  <c r="P464" i="3"/>
  <c r="C465" i="3"/>
  <c r="K465" i="3"/>
  <c r="P465" i="3"/>
  <c r="C466" i="3"/>
  <c r="K466" i="3"/>
  <c r="P466" i="3"/>
  <c r="C467" i="3"/>
  <c r="K467" i="3"/>
  <c r="P467" i="3"/>
  <c r="C468" i="3"/>
  <c r="I468" i="3"/>
  <c r="J468" i="3" s="1"/>
  <c r="K468" i="3"/>
  <c r="P468" i="3"/>
  <c r="C469" i="3"/>
  <c r="K469" i="3"/>
  <c r="P469" i="3"/>
  <c r="C470" i="3"/>
  <c r="K470" i="3"/>
  <c r="P470" i="3"/>
  <c r="C471" i="3"/>
  <c r="K471" i="3"/>
  <c r="P471" i="3"/>
  <c r="C472" i="3"/>
  <c r="I492" i="3" s="1"/>
  <c r="J492" i="3" s="1"/>
  <c r="K472" i="3"/>
  <c r="P472" i="3"/>
  <c r="C473" i="3"/>
  <c r="K473" i="3"/>
  <c r="P473" i="3"/>
  <c r="C474" i="3"/>
  <c r="K474" i="3"/>
  <c r="P474" i="3"/>
  <c r="C475" i="3"/>
  <c r="K475" i="3"/>
  <c r="P475" i="3"/>
  <c r="C476" i="3"/>
  <c r="K476" i="3"/>
  <c r="P476" i="3"/>
  <c r="C477" i="3"/>
  <c r="K477" i="3"/>
  <c r="P477" i="3"/>
  <c r="C478" i="3"/>
  <c r="K478" i="3"/>
  <c r="P478" i="3"/>
  <c r="C479" i="3"/>
  <c r="K479" i="3"/>
  <c r="P479" i="3"/>
  <c r="C480" i="3"/>
  <c r="K480" i="3"/>
  <c r="P480" i="3"/>
  <c r="C481" i="3"/>
  <c r="K481" i="3"/>
  <c r="P481" i="3"/>
  <c r="C482" i="3"/>
  <c r="K482" i="3"/>
  <c r="P482" i="3"/>
  <c r="C483" i="3"/>
  <c r="K483" i="3"/>
  <c r="P483" i="3"/>
  <c r="C484" i="3"/>
  <c r="I484" i="3"/>
  <c r="J484" i="3" s="1"/>
  <c r="K484" i="3"/>
  <c r="P484" i="3"/>
  <c r="C485" i="3"/>
  <c r="K485" i="3"/>
  <c r="P485" i="3"/>
  <c r="C486" i="3"/>
  <c r="K486" i="3"/>
  <c r="P486" i="3"/>
  <c r="C487" i="3"/>
  <c r="K487" i="3"/>
  <c r="P487" i="3"/>
  <c r="C488" i="3"/>
  <c r="I508" i="3" s="1"/>
  <c r="J508" i="3" s="1"/>
  <c r="K488" i="3"/>
  <c r="P488" i="3"/>
  <c r="C489" i="3"/>
  <c r="K489" i="3"/>
  <c r="P489" i="3"/>
  <c r="C490" i="3"/>
  <c r="K490" i="3"/>
  <c r="P490" i="3"/>
  <c r="C491" i="3"/>
  <c r="K491" i="3"/>
  <c r="P491" i="3"/>
  <c r="C492" i="3"/>
  <c r="K492" i="3"/>
  <c r="P492" i="3"/>
  <c r="C493" i="3"/>
  <c r="K493" i="3"/>
  <c r="P493" i="3"/>
  <c r="C494" i="3"/>
  <c r="K494" i="3"/>
  <c r="P494" i="3"/>
  <c r="C495" i="3"/>
  <c r="K495" i="3"/>
  <c r="P495" i="3"/>
  <c r="C496" i="3"/>
  <c r="K496" i="3"/>
  <c r="P496" i="3"/>
  <c r="C497" i="3"/>
  <c r="K497" i="3"/>
  <c r="P497" i="3"/>
  <c r="C498" i="3"/>
  <c r="K498" i="3"/>
  <c r="P498" i="3"/>
  <c r="C499" i="3"/>
  <c r="K499" i="3"/>
  <c r="P499" i="3"/>
  <c r="C500" i="3"/>
  <c r="I500" i="3"/>
  <c r="J500" i="3" s="1"/>
  <c r="K500" i="3"/>
  <c r="P500" i="3"/>
  <c r="C501" i="3"/>
  <c r="K501" i="3"/>
  <c r="P501" i="3"/>
  <c r="C502" i="3"/>
  <c r="K502" i="3"/>
  <c r="P502" i="3"/>
  <c r="C503" i="3"/>
  <c r="K503" i="3"/>
  <c r="P503" i="3"/>
  <c r="C504" i="3"/>
  <c r="I524" i="3" s="1"/>
  <c r="J524" i="3" s="1"/>
  <c r="K504" i="3"/>
  <c r="P504" i="3"/>
  <c r="C505" i="3"/>
  <c r="K505" i="3"/>
  <c r="P505" i="3"/>
  <c r="C506" i="3"/>
  <c r="K506" i="3"/>
  <c r="P506" i="3"/>
  <c r="C507" i="3"/>
  <c r="K507" i="3"/>
  <c r="P507" i="3"/>
  <c r="C508" i="3"/>
  <c r="K508" i="3"/>
  <c r="P508" i="3"/>
  <c r="C509" i="3"/>
  <c r="K509" i="3"/>
  <c r="P509" i="3"/>
  <c r="C510" i="3"/>
  <c r="K510" i="3"/>
  <c r="P510" i="3"/>
  <c r="C511" i="3"/>
  <c r="K511" i="3"/>
  <c r="P511" i="3"/>
  <c r="C512" i="3"/>
  <c r="K512" i="3"/>
  <c r="P512" i="3"/>
  <c r="C513" i="3"/>
  <c r="K513" i="3"/>
  <c r="P513" i="3"/>
  <c r="C514" i="3"/>
  <c r="K514" i="3"/>
  <c r="P514" i="3"/>
  <c r="C515" i="3"/>
  <c r="K515" i="3"/>
  <c r="P515" i="3"/>
  <c r="C516" i="3"/>
  <c r="I516" i="3"/>
  <c r="J516" i="3" s="1"/>
  <c r="K516" i="3"/>
  <c r="P516" i="3"/>
  <c r="C517" i="3"/>
  <c r="K517" i="3"/>
  <c r="P517" i="3"/>
  <c r="C518" i="3"/>
  <c r="K518" i="3"/>
  <c r="P518" i="3"/>
  <c r="C519" i="3"/>
  <c r="K519" i="3"/>
  <c r="P519" i="3"/>
  <c r="C520" i="3"/>
  <c r="I540" i="3" s="1"/>
  <c r="J540" i="3" s="1"/>
  <c r="K520" i="3"/>
  <c r="P520" i="3"/>
  <c r="C521" i="3"/>
  <c r="K521" i="3"/>
  <c r="P521" i="3"/>
  <c r="C522" i="3"/>
  <c r="K522" i="3"/>
  <c r="P522" i="3"/>
  <c r="C523" i="3"/>
  <c r="K523" i="3"/>
  <c r="P523" i="3"/>
  <c r="C524" i="3"/>
  <c r="K524" i="3"/>
  <c r="P524" i="3"/>
  <c r="C525" i="3"/>
  <c r="K525" i="3"/>
  <c r="P525" i="3"/>
  <c r="C526" i="3"/>
  <c r="K526" i="3"/>
  <c r="P526" i="3"/>
  <c r="C527" i="3"/>
  <c r="K527" i="3"/>
  <c r="P527" i="3"/>
  <c r="C528" i="3"/>
  <c r="K528" i="3"/>
  <c r="P528" i="3"/>
  <c r="C529" i="3"/>
  <c r="K529" i="3"/>
  <c r="P529" i="3"/>
  <c r="C530" i="3"/>
  <c r="K530" i="3"/>
  <c r="P530" i="3"/>
  <c r="C531" i="3"/>
  <c r="K531" i="3"/>
  <c r="P531" i="3"/>
  <c r="C532" i="3"/>
  <c r="I532" i="3"/>
  <c r="J532" i="3" s="1"/>
  <c r="K532" i="3"/>
  <c r="P532" i="3"/>
  <c r="C533" i="3"/>
  <c r="K533" i="3"/>
  <c r="P533" i="3"/>
  <c r="C534" i="3"/>
  <c r="K534" i="3"/>
  <c r="P534" i="3"/>
  <c r="C535" i="3"/>
  <c r="K535" i="3"/>
  <c r="P535" i="3"/>
  <c r="C536" i="3"/>
  <c r="I556" i="3" s="1"/>
  <c r="J556" i="3" s="1"/>
  <c r="K536" i="3"/>
  <c r="P536" i="3"/>
  <c r="C537" i="3"/>
  <c r="K537" i="3"/>
  <c r="P537" i="3"/>
  <c r="C538" i="3"/>
  <c r="K538" i="3"/>
  <c r="P538" i="3"/>
  <c r="C539" i="3"/>
  <c r="K539" i="3"/>
  <c r="P539" i="3"/>
  <c r="C540" i="3"/>
  <c r="K540" i="3"/>
  <c r="P540" i="3"/>
  <c r="C541" i="3"/>
  <c r="K541" i="3"/>
  <c r="P541" i="3"/>
  <c r="C542" i="3"/>
  <c r="K542" i="3"/>
  <c r="P542" i="3"/>
  <c r="C543" i="3"/>
  <c r="K543" i="3"/>
  <c r="P543" i="3"/>
  <c r="C544" i="3"/>
  <c r="K544" i="3"/>
  <c r="P544" i="3"/>
  <c r="C545" i="3"/>
  <c r="K545" i="3"/>
  <c r="P545" i="3"/>
  <c r="C546" i="3"/>
  <c r="K546" i="3"/>
  <c r="P546" i="3"/>
  <c r="C547" i="3"/>
  <c r="K547" i="3"/>
  <c r="P547" i="3"/>
  <c r="C548" i="3"/>
  <c r="I548" i="3"/>
  <c r="J548" i="3" s="1"/>
  <c r="K548" i="3"/>
  <c r="P548" i="3"/>
  <c r="C549" i="3"/>
  <c r="K549" i="3"/>
  <c r="P549" i="3"/>
  <c r="C550" i="3"/>
  <c r="K550" i="3"/>
  <c r="P550" i="3"/>
  <c r="C551" i="3"/>
  <c r="K551" i="3"/>
  <c r="P551" i="3"/>
  <c r="C552" i="3"/>
  <c r="I572" i="3" s="1"/>
  <c r="J572" i="3" s="1"/>
  <c r="K552" i="3"/>
  <c r="P552" i="3"/>
  <c r="C553" i="3"/>
  <c r="K553" i="3"/>
  <c r="P553" i="3"/>
  <c r="C554" i="3"/>
  <c r="K554" i="3"/>
  <c r="P554" i="3"/>
  <c r="C555" i="3"/>
  <c r="K555" i="3"/>
  <c r="P555" i="3"/>
  <c r="C556" i="3"/>
  <c r="K556" i="3"/>
  <c r="P556" i="3"/>
  <c r="C557" i="3"/>
  <c r="K557" i="3"/>
  <c r="P557" i="3"/>
  <c r="C558" i="3"/>
  <c r="K558" i="3"/>
  <c r="P558" i="3"/>
  <c r="C559" i="3"/>
  <c r="K559" i="3"/>
  <c r="P559" i="3"/>
  <c r="C560" i="3"/>
  <c r="K560" i="3"/>
  <c r="P560" i="3"/>
  <c r="C561" i="3"/>
  <c r="K561" i="3"/>
  <c r="P561" i="3"/>
  <c r="C562" i="3"/>
  <c r="K562" i="3"/>
  <c r="P562" i="3"/>
  <c r="C563" i="3"/>
  <c r="K563" i="3"/>
  <c r="P563" i="3"/>
  <c r="C564" i="3"/>
  <c r="I564" i="3"/>
  <c r="J564" i="3" s="1"/>
  <c r="K564" i="3"/>
  <c r="P564" i="3"/>
  <c r="C565" i="3"/>
  <c r="K565" i="3"/>
  <c r="P565" i="3"/>
  <c r="C566" i="3"/>
  <c r="K566" i="3"/>
  <c r="P566" i="3"/>
  <c r="C567" i="3"/>
  <c r="K567" i="3"/>
  <c r="P567" i="3"/>
  <c r="C568" i="3"/>
  <c r="I588" i="3" s="1"/>
  <c r="J588" i="3" s="1"/>
  <c r="K568" i="3"/>
  <c r="P568" i="3"/>
  <c r="C569" i="3"/>
  <c r="K569" i="3"/>
  <c r="P569" i="3"/>
  <c r="C570" i="3"/>
  <c r="K570" i="3"/>
  <c r="P570" i="3"/>
  <c r="C571" i="3"/>
  <c r="K571" i="3"/>
  <c r="P571" i="3"/>
  <c r="C572" i="3"/>
  <c r="K572" i="3"/>
  <c r="P572" i="3"/>
  <c r="C573" i="3"/>
  <c r="K573" i="3"/>
  <c r="P573" i="3"/>
  <c r="C574" i="3"/>
  <c r="K574" i="3"/>
  <c r="P574" i="3"/>
  <c r="C575" i="3"/>
  <c r="K575" i="3"/>
  <c r="P575" i="3"/>
  <c r="C576" i="3"/>
  <c r="K576" i="3"/>
  <c r="P576" i="3"/>
  <c r="C577" i="3"/>
  <c r="I596" i="3" s="1"/>
  <c r="J596" i="3" s="1"/>
  <c r="K577" i="3"/>
  <c r="P577" i="3"/>
  <c r="C578" i="3"/>
  <c r="K578" i="3"/>
  <c r="P578" i="3"/>
  <c r="C579" i="3"/>
  <c r="K579" i="3"/>
  <c r="P579" i="3"/>
  <c r="C580" i="3"/>
  <c r="I580" i="3"/>
  <c r="J580" i="3" s="1"/>
  <c r="K580" i="3"/>
  <c r="P580" i="3"/>
  <c r="C581" i="3"/>
  <c r="K581" i="3"/>
  <c r="P581" i="3"/>
  <c r="C582" i="3"/>
  <c r="K582" i="3"/>
  <c r="P582" i="3"/>
  <c r="C583" i="3"/>
  <c r="K583" i="3"/>
  <c r="P583" i="3"/>
  <c r="C584" i="3"/>
  <c r="I604" i="3" s="1"/>
  <c r="J604" i="3" s="1"/>
  <c r="K584" i="3"/>
  <c r="P584" i="3"/>
  <c r="C585" i="3"/>
  <c r="K585" i="3"/>
  <c r="P585" i="3"/>
  <c r="C586" i="3"/>
  <c r="K586" i="3"/>
  <c r="P586" i="3"/>
  <c r="C587" i="3"/>
  <c r="K587" i="3"/>
  <c r="P587" i="3"/>
  <c r="C588" i="3"/>
  <c r="K588" i="3"/>
  <c r="P588" i="3"/>
  <c r="C589" i="3"/>
  <c r="K589" i="3"/>
  <c r="P589" i="3"/>
  <c r="C590" i="3"/>
  <c r="K590" i="3"/>
  <c r="P590" i="3"/>
  <c r="C591" i="3"/>
  <c r="K591" i="3"/>
  <c r="P591" i="3"/>
  <c r="C592" i="3"/>
  <c r="I592" i="3"/>
  <c r="J592" i="3" s="1"/>
  <c r="K592" i="3"/>
  <c r="P592" i="3"/>
  <c r="C593" i="3"/>
  <c r="K593" i="3"/>
  <c r="P593" i="3"/>
  <c r="C594" i="3"/>
  <c r="I612" i="3" s="1"/>
  <c r="J612" i="3" s="1"/>
  <c r="K594" i="3"/>
  <c r="P594" i="3"/>
  <c r="C595" i="3"/>
  <c r="K595" i="3"/>
  <c r="P595" i="3"/>
  <c r="C596" i="3"/>
  <c r="K596" i="3"/>
  <c r="P596" i="3"/>
  <c r="C597" i="3"/>
  <c r="K597" i="3"/>
  <c r="P597" i="3"/>
  <c r="C598" i="3"/>
  <c r="K598" i="3"/>
  <c r="P598" i="3"/>
  <c r="C599" i="3"/>
  <c r="K599" i="3"/>
  <c r="P599" i="3"/>
  <c r="C600" i="3"/>
  <c r="I600" i="3"/>
  <c r="J600" i="3" s="1"/>
  <c r="K600" i="3"/>
  <c r="P600" i="3"/>
  <c r="C601" i="3"/>
  <c r="K601" i="3"/>
  <c r="P601" i="3"/>
  <c r="C602" i="3"/>
  <c r="I620" i="3" s="1"/>
  <c r="J620" i="3" s="1"/>
  <c r="K602" i="3"/>
  <c r="P602" i="3"/>
  <c r="C603" i="3"/>
  <c r="K603" i="3"/>
  <c r="P603" i="3"/>
  <c r="C604" i="3"/>
  <c r="K604" i="3"/>
  <c r="P604" i="3"/>
  <c r="C605" i="3"/>
  <c r="K605" i="3"/>
  <c r="P605" i="3"/>
  <c r="C606" i="3"/>
  <c r="K606" i="3"/>
  <c r="P606" i="3"/>
  <c r="C607" i="3"/>
  <c r="K607" i="3"/>
  <c r="P607" i="3"/>
  <c r="C608" i="3"/>
  <c r="I608" i="3"/>
  <c r="J608" i="3" s="1"/>
  <c r="K608" i="3"/>
  <c r="P608" i="3"/>
  <c r="C609" i="3"/>
  <c r="K609" i="3"/>
  <c r="P609" i="3"/>
  <c r="C610" i="3"/>
  <c r="I628" i="3" s="1"/>
  <c r="J628" i="3" s="1"/>
  <c r="K610" i="3"/>
  <c r="P610" i="3"/>
  <c r="C611" i="3"/>
  <c r="K611" i="3"/>
  <c r="P611" i="3"/>
  <c r="C612" i="3"/>
  <c r="K612" i="3"/>
  <c r="P612" i="3"/>
  <c r="C613" i="3"/>
  <c r="K613" i="3"/>
  <c r="P613" i="3"/>
  <c r="C614" i="3"/>
  <c r="K614" i="3"/>
  <c r="P614" i="3"/>
  <c r="C615" i="3"/>
  <c r="K615" i="3"/>
  <c r="P615" i="3"/>
  <c r="C616" i="3"/>
  <c r="I616" i="3"/>
  <c r="J616" i="3" s="1"/>
  <c r="K616" i="3"/>
  <c r="P616" i="3"/>
  <c r="C617" i="3"/>
  <c r="K617" i="3"/>
  <c r="P617" i="3"/>
  <c r="C618" i="3"/>
  <c r="I636" i="3" s="1"/>
  <c r="J636" i="3" s="1"/>
  <c r="K618" i="3"/>
  <c r="P618" i="3"/>
  <c r="C619" i="3"/>
  <c r="K619" i="3"/>
  <c r="P619" i="3"/>
  <c r="C620" i="3"/>
  <c r="K620" i="3"/>
  <c r="P620" i="3"/>
  <c r="C621" i="3"/>
  <c r="K621" i="3"/>
  <c r="P621" i="3"/>
  <c r="C622" i="3"/>
  <c r="K622" i="3"/>
  <c r="P622" i="3"/>
  <c r="C623" i="3"/>
  <c r="K623" i="3"/>
  <c r="P623" i="3"/>
  <c r="C624" i="3"/>
  <c r="I624" i="3"/>
  <c r="J624" i="3" s="1"/>
  <c r="K624" i="3"/>
  <c r="P624" i="3"/>
  <c r="C625" i="3"/>
  <c r="K625" i="3"/>
  <c r="P625" i="3"/>
  <c r="C626" i="3"/>
  <c r="I644" i="3" s="1"/>
  <c r="J644" i="3" s="1"/>
  <c r="K626" i="3"/>
  <c r="P626" i="3"/>
  <c r="C627" i="3"/>
  <c r="K627" i="3"/>
  <c r="P627" i="3"/>
  <c r="C628" i="3"/>
  <c r="K628" i="3"/>
  <c r="P628" i="3"/>
  <c r="C629" i="3"/>
  <c r="K629" i="3"/>
  <c r="P629" i="3"/>
  <c r="C630" i="3"/>
  <c r="K630" i="3"/>
  <c r="P630" i="3"/>
  <c r="C631" i="3"/>
  <c r="K631" i="3"/>
  <c r="P631" i="3"/>
  <c r="C632" i="3"/>
  <c r="I632" i="3"/>
  <c r="J632" i="3" s="1"/>
  <c r="K632" i="3"/>
  <c r="P632" i="3"/>
  <c r="C633" i="3"/>
  <c r="K633" i="3"/>
  <c r="P633" i="3"/>
  <c r="C634" i="3"/>
  <c r="I652" i="3" s="1"/>
  <c r="J652" i="3" s="1"/>
  <c r="K634" i="3"/>
  <c r="P634" i="3"/>
  <c r="C635" i="3"/>
  <c r="K635" i="3"/>
  <c r="P635" i="3"/>
  <c r="C636" i="3"/>
  <c r="K636" i="3"/>
  <c r="P636" i="3"/>
  <c r="C637" i="3"/>
  <c r="K637" i="3"/>
  <c r="P637" i="3"/>
  <c r="C638" i="3"/>
  <c r="K638" i="3"/>
  <c r="P638" i="3"/>
  <c r="C639" i="3"/>
  <c r="K639" i="3"/>
  <c r="P639" i="3"/>
  <c r="C640" i="3"/>
  <c r="I640" i="3"/>
  <c r="J640" i="3" s="1"/>
  <c r="K640" i="3"/>
  <c r="P640" i="3"/>
  <c r="C641" i="3"/>
  <c r="K641" i="3"/>
  <c r="P641" i="3"/>
  <c r="C642" i="3"/>
  <c r="I660" i="3" s="1"/>
  <c r="J660" i="3" s="1"/>
  <c r="K642" i="3"/>
  <c r="P642" i="3"/>
  <c r="C643" i="3"/>
  <c r="K643" i="3"/>
  <c r="P643" i="3"/>
  <c r="C644" i="3"/>
  <c r="K644" i="3"/>
  <c r="P644" i="3"/>
  <c r="C645" i="3"/>
  <c r="K645" i="3"/>
  <c r="P645" i="3"/>
  <c r="C646" i="3"/>
  <c r="K646" i="3"/>
  <c r="P646" i="3"/>
  <c r="C647" i="3"/>
  <c r="K647" i="3"/>
  <c r="P647" i="3"/>
  <c r="C648" i="3"/>
  <c r="I648" i="3"/>
  <c r="J648" i="3" s="1"/>
  <c r="K648" i="3"/>
  <c r="P648" i="3"/>
  <c r="C649" i="3"/>
  <c r="K649" i="3"/>
  <c r="P649" i="3"/>
  <c r="C650" i="3"/>
  <c r="I668" i="3" s="1"/>
  <c r="J668" i="3" s="1"/>
  <c r="K650" i="3"/>
  <c r="P650" i="3"/>
  <c r="C651" i="3"/>
  <c r="K651" i="3"/>
  <c r="P651" i="3"/>
  <c r="C652" i="3"/>
  <c r="K652" i="3"/>
  <c r="P652" i="3"/>
  <c r="C653" i="3"/>
  <c r="K653" i="3"/>
  <c r="P653" i="3"/>
  <c r="C654" i="3"/>
  <c r="K654" i="3"/>
  <c r="P654" i="3"/>
  <c r="C655" i="3"/>
  <c r="K655" i="3"/>
  <c r="P655" i="3"/>
  <c r="C656" i="3"/>
  <c r="I656" i="3"/>
  <c r="J656" i="3" s="1"/>
  <c r="K656" i="3"/>
  <c r="P656" i="3"/>
  <c r="C657" i="3"/>
  <c r="K657" i="3"/>
  <c r="P657" i="3"/>
  <c r="C658" i="3"/>
  <c r="I676" i="3" s="1"/>
  <c r="J676" i="3" s="1"/>
  <c r="K658" i="3"/>
  <c r="P658" i="3"/>
  <c r="C659" i="3"/>
  <c r="K659" i="3"/>
  <c r="P659" i="3"/>
  <c r="C660" i="3"/>
  <c r="K660" i="3"/>
  <c r="P660" i="3"/>
  <c r="C661" i="3"/>
  <c r="K661" i="3"/>
  <c r="P661" i="3"/>
  <c r="C662" i="3"/>
  <c r="K662" i="3"/>
  <c r="P662" i="3"/>
  <c r="C663" i="3"/>
  <c r="K663" i="3"/>
  <c r="P663" i="3"/>
  <c r="C664" i="3"/>
  <c r="I664" i="3"/>
  <c r="J664" i="3" s="1"/>
  <c r="K664" i="3"/>
  <c r="P664" i="3"/>
  <c r="C665" i="3"/>
  <c r="K665" i="3"/>
  <c r="P665" i="3"/>
  <c r="C666" i="3"/>
  <c r="I684" i="3" s="1"/>
  <c r="J684" i="3" s="1"/>
  <c r="K666" i="3"/>
  <c r="P666" i="3"/>
  <c r="C667" i="3"/>
  <c r="K667" i="3"/>
  <c r="P667" i="3"/>
  <c r="C668" i="3"/>
  <c r="K668" i="3"/>
  <c r="P668" i="3"/>
  <c r="C669" i="3"/>
  <c r="K669" i="3"/>
  <c r="P669" i="3"/>
  <c r="C670" i="3"/>
  <c r="K670" i="3"/>
  <c r="P670" i="3"/>
  <c r="C671" i="3"/>
  <c r="K671" i="3"/>
  <c r="P671" i="3"/>
  <c r="C672" i="3"/>
  <c r="I672" i="3"/>
  <c r="J672" i="3" s="1"/>
  <c r="K672" i="3"/>
  <c r="P672" i="3"/>
  <c r="C673" i="3"/>
  <c r="K673" i="3"/>
  <c r="P673" i="3"/>
  <c r="C674" i="3"/>
  <c r="I692" i="3" s="1"/>
  <c r="J692" i="3" s="1"/>
  <c r="K674" i="3"/>
  <c r="P674" i="3"/>
  <c r="C675" i="3"/>
  <c r="K675" i="3"/>
  <c r="P675" i="3"/>
  <c r="C676" i="3"/>
  <c r="K676" i="3"/>
  <c r="P676" i="3"/>
  <c r="C677" i="3"/>
  <c r="K677" i="3"/>
  <c r="P677" i="3"/>
  <c r="C678" i="3"/>
  <c r="K678" i="3"/>
  <c r="P678" i="3"/>
  <c r="C679" i="3"/>
  <c r="K679" i="3"/>
  <c r="P679" i="3"/>
  <c r="C680" i="3"/>
  <c r="I680" i="3"/>
  <c r="J680" i="3" s="1"/>
  <c r="K680" i="3"/>
  <c r="P680" i="3"/>
  <c r="C681" i="3"/>
  <c r="K681" i="3"/>
  <c r="P681" i="3"/>
  <c r="C682" i="3"/>
  <c r="I700" i="3" s="1"/>
  <c r="J700" i="3" s="1"/>
  <c r="K682" i="3"/>
  <c r="P682" i="3"/>
  <c r="C683" i="3"/>
  <c r="K683" i="3"/>
  <c r="P683" i="3"/>
  <c r="C684" i="3"/>
  <c r="K684" i="3"/>
  <c r="P684" i="3"/>
  <c r="C685" i="3"/>
  <c r="K685" i="3"/>
  <c r="P685" i="3"/>
  <c r="C686" i="3"/>
  <c r="K686" i="3"/>
  <c r="P686" i="3"/>
  <c r="C687" i="3"/>
  <c r="K687" i="3"/>
  <c r="P687" i="3"/>
  <c r="C688" i="3"/>
  <c r="I688" i="3"/>
  <c r="J688" i="3" s="1"/>
  <c r="K688" i="3"/>
  <c r="P688" i="3"/>
  <c r="C689" i="3"/>
  <c r="K689" i="3"/>
  <c r="P689" i="3"/>
  <c r="C690" i="3"/>
  <c r="I708" i="3" s="1"/>
  <c r="J708" i="3" s="1"/>
  <c r="K690" i="3"/>
  <c r="P690" i="3"/>
  <c r="C691" i="3"/>
  <c r="K691" i="3"/>
  <c r="P691" i="3"/>
  <c r="C692" i="3"/>
  <c r="K692" i="3"/>
  <c r="P692" i="3"/>
  <c r="C693" i="3"/>
  <c r="K693" i="3"/>
  <c r="P693" i="3"/>
  <c r="C694" i="3"/>
  <c r="K694" i="3"/>
  <c r="P694" i="3"/>
  <c r="C695" i="3"/>
  <c r="K695" i="3"/>
  <c r="P695" i="3"/>
  <c r="C696" i="3"/>
  <c r="I696" i="3"/>
  <c r="J696" i="3" s="1"/>
  <c r="K696" i="3"/>
  <c r="P696" i="3"/>
  <c r="C697" i="3"/>
  <c r="K697" i="3"/>
  <c r="P697" i="3"/>
  <c r="C698" i="3"/>
  <c r="I716" i="3" s="1"/>
  <c r="J716" i="3" s="1"/>
  <c r="K698" i="3"/>
  <c r="P698" i="3"/>
  <c r="C699" i="3"/>
  <c r="K699" i="3"/>
  <c r="P699" i="3"/>
  <c r="C700" i="3"/>
  <c r="K700" i="3"/>
  <c r="P700" i="3"/>
  <c r="C701" i="3"/>
  <c r="K701" i="3"/>
  <c r="P701" i="3"/>
  <c r="C702" i="3"/>
  <c r="K702" i="3"/>
  <c r="P702" i="3"/>
  <c r="C703" i="3"/>
  <c r="K703" i="3"/>
  <c r="P703" i="3"/>
  <c r="C704" i="3"/>
  <c r="I704" i="3"/>
  <c r="J704" i="3" s="1"/>
  <c r="K704" i="3"/>
  <c r="P704" i="3"/>
  <c r="C705" i="3"/>
  <c r="K705" i="3"/>
  <c r="P705" i="3"/>
  <c r="C706" i="3"/>
  <c r="I724" i="3" s="1"/>
  <c r="J724" i="3" s="1"/>
  <c r="K706" i="3"/>
  <c r="P706" i="3"/>
  <c r="C707" i="3"/>
  <c r="K707" i="3"/>
  <c r="P707" i="3"/>
  <c r="C708" i="3"/>
  <c r="K708" i="3"/>
  <c r="P708" i="3"/>
  <c r="C709" i="3"/>
  <c r="K709" i="3"/>
  <c r="P709" i="3"/>
  <c r="C710" i="3"/>
  <c r="K710" i="3"/>
  <c r="P710" i="3"/>
  <c r="C711" i="3"/>
  <c r="K711" i="3"/>
  <c r="P711" i="3"/>
  <c r="C712" i="3"/>
  <c r="I712" i="3"/>
  <c r="J712" i="3" s="1"/>
  <c r="K712" i="3"/>
  <c r="P712" i="3"/>
  <c r="C713" i="3"/>
  <c r="K713" i="3"/>
  <c r="P713" i="3"/>
  <c r="C714" i="3"/>
  <c r="I732" i="3" s="1"/>
  <c r="J732" i="3" s="1"/>
  <c r="K714" i="3"/>
  <c r="P714" i="3"/>
  <c r="C715" i="3"/>
  <c r="K715" i="3"/>
  <c r="P715" i="3"/>
  <c r="C716" i="3"/>
  <c r="K716" i="3"/>
  <c r="P716" i="3"/>
  <c r="C717" i="3"/>
  <c r="K717" i="3"/>
  <c r="P717" i="3"/>
  <c r="C718" i="3"/>
  <c r="K718" i="3"/>
  <c r="P718" i="3"/>
  <c r="C719" i="3"/>
  <c r="K719" i="3"/>
  <c r="P719" i="3"/>
  <c r="C720" i="3"/>
  <c r="I720" i="3"/>
  <c r="J720" i="3" s="1"/>
  <c r="K720" i="3"/>
  <c r="P720" i="3"/>
  <c r="C721" i="3"/>
  <c r="K721" i="3"/>
  <c r="P721" i="3"/>
  <c r="C722" i="3"/>
  <c r="I740" i="3" s="1"/>
  <c r="J740" i="3" s="1"/>
  <c r="K722" i="3"/>
  <c r="P722" i="3"/>
  <c r="C723" i="3"/>
  <c r="K723" i="3"/>
  <c r="P723" i="3"/>
  <c r="C724" i="3"/>
  <c r="K724" i="3"/>
  <c r="P724" i="3"/>
  <c r="C725" i="3"/>
  <c r="K725" i="3"/>
  <c r="P725" i="3"/>
  <c r="C726" i="3"/>
  <c r="K726" i="3"/>
  <c r="P726" i="3"/>
  <c r="C727" i="3"/>
  <c r="K727" i="3"/>
  <c r="P727" i="3"/>
  <c r="C728" i="3"/>
  <c r="I728" i="3"/>
  <c r="J728" i="3" s="1"/>
  <c r="K728" i="3"/>
  <c r="P728" i="3"/>
  <c r="C729" i="3"/>
  <c r="K729" i="3"/>
  <c r="P729" i="3"/>
  <c r="C730" i="3"/>
  <c r="I748" i="3" s="1"/>
  <c r="J748" i="3" s="1"/>
  <c r="K730" i="3"/>
  <c r="P730" i="3"/>
  <c r="C731" i="3"/>
  <c r="K731" i="3"/>
  <c r="P731" i="3"/>
  <c r="C732" i="3"/>
  <c r="K732" i="3"/>
  <c r="P732" i="3"/>
  <c r="C733" i="3"/>
  <c r="K733" i="3"/>
  <c r="P733" i="3"/>
  <c r="C734" i="3"/>
  <c r="K734" i="3"/>
  <c r="P734" i="3"/>
  <c r="C735" i="3"/>
  <c r="K735" i="3"/>
  <c r="P735" i="3"/>
  <c r="C736" i="3"/>
  <c r="I736" i="3"/>
  <c r="J736" i="3" s="1"/>
  <c r="K736" i="3"/>
  <c r="P736" i="3"/>
  <c r="C737" i="3"/>
  <c r="K737" i="3"/>
  <c r="P737" i="3"/>
  <c r="C738" i="3"/>
  <c r="I756" i="3" s="1"/>
  <c r="J756" i="3" s="1"/>
  <c r="K738" i="3"/>
  <c r="P738" i="3"/>
  <c r="C739" i="3"/>
  <c r="K739" i="3"/>
  <c r="P739" i="3"/>
  <c r="C740" i="3"/>
  <c r="K740" i="3"/>
  <c r="P740" i="3"/>
  <c r="C741" i="3"/>
  <c r="K741" i="3"/>
  <c r="P741" i="3"/>
  <c r="C742" i="3"/>
  <c r="K742" i="3"/>
  <c r="P742" i="3"/>
  <c r="C743" i="3"/>
  <c r="K743" i="3"/>
  <c r="P743" i="3"/>
  <c r="C744" i="3"/>
  <c r="I744" i="3"/>
  <c r="J744" i="3" s="1"/>
  <c r="K744" i="3"/>
  <c r="P744" i="3"/>
  <c r="C745" i="3"/>
  <c r="K745" i="3"/>
  <c r="P745" i="3"/>
  <c r="C746" i="3"/>
  <c r="I764" i="3" s="1"/>
  <c r="J764" i="3" s="1"/>
  <c r="K746" i="3"/>
  <c r="P746" i="3"/>
  <c r="C747" i="3"/>
  <c r="K747" i="3"/>
  <c r="P747" i="3"/>
  <c r="C748" i="3"/>
  <c r="K748" i="3"/>
  <c r="P748" i="3"/>
  <c r="C749" i="3"/>
  <c r="K749" i="3"/>
  <c r="P749" i="3"/>
  <c r="C750" i="3"/>
  <c r="K750" i="3"/>
  <c r="P750" i="3"/>
  <c r="C751" i="3"/>
  <c r="K751" i="3"/>
  <c r="P751" i="3"/>
  <c r="C752" i="3"/>
  <c r="I752" i="3"/>
  <c r="J752" i="3" s="1"/>
  <c r="K752" i="3"/>
  <c r="P752" i="3"/>
  <c r="C753" i="3"/>
  <c r="K753" i="3"/>
  <c r="P753" i="3"/>
  <c r="C754" i="3"/>
  <c r="I772" i="3" s="1"/>
  <c r="J772" i="3" s="1"/>
  <c r="K754" i="3"/>
  <c r="P754" i="3"/>
  <c r="C755" i="3"/>
  <c r="K755" i="3"/>
  <c r="P755" i="3"/>
  <c r="C756" i="3"/>
  <c r="K756" i="3"/>
  <c r="P756" i="3"/>
  <c r="C757" i="3"/>
  <c r="K757" i="3"/>
  <c r="P757" i="3"/>
  <c r="C758" i="3"/>
  <c r="K758" i="3"/>
  <c r="P758" i="3"/>
  <c r="C759" i="3"/>
  <c r="K759" i="3"/>
  <c r="P759" i="3"/>
  <c r="C760" i="3"/>
  <c r="I760" i="3"/>
  <c r="J760" i="3" s="1"/>
  <c r="K760" i="3"/>
  <c r="P760" i="3"/>
  <c r="C761" i="3"/>
  <c r="K761" i="3"/>
  <c r="P761" i="3"/>
  <c r="C762" i="3"/>
  <c r="I780" i="3" s="1"/>
  <c r="J780" i="3" s="1"/>
  <c r="K762" i="3"/>
  <c r="P762" i="3"/>
  <c r="C763" i="3"/>
  <c r="K763" i="3"/>
  <c r="P763" i="3"/>
  <c r="C764" i="3"/>
  <c r="K764" i="3"/>
  <c r="P764" i="3"/>
  <c r="C765" i="3"/>
  <c r="K765" i="3"/>
  <c r="P765" i="3"/>
  <c r="C766" i="3"/>
  <c r="K766" i="3"/>
  <c r="P766" i="3"/>
  <c r="C767" i="3"/>
  <c r="K767" i="3"/>
  <c r="P767" i="3"/>
  <c r="C768" i="3"/>
  <c r="I768" i="3"/>
  <c r="J768" i="3" s="1"/>
  <c r="K768" i="3"/>
  <c r="P768" i="3"/>
  <c r="C769" i="3"/>
  <c r="K769" i="3"/>
  <c r="P769" i="3"/>
  <c r="C770" i="3"/>
  <c r="I788" i="3" s="1"/>
  <c r="J788" i="3" s="1"/>
  <c r="K770" i="3"/>
  <c r="P770" i="3"/>
  <c r="C771" i="3"/>
  <c r="K771" i="3"/>
  <c r="P771" i="3"/>
  <c r="C772" i="3"/>
  <c r="K772" i="3"/>
  <c r="P772" i="3"/>
  <c r="C773" i="3"/>
  <c r="K773" i="3"/>
  <c r="P773" i="3"/>
  <c r="C774" i="3"/>
  <c r="K774" i="3"/>
  <c r="P774" i="3"/>
  <c r="C775" i="3"/>
  <c r="K775" i="3"/>
  <c r="P775" i="3"/>
  <c r="C776" i="3"/>
  <c r="I776" i="3"/>
  <c r="J776" i="3" s="1"/>
  <c r="K776" i="3"/>
  <c r="P776" i="3"/>
  <c r="C777" i="3"/>
  <c r="K777" i="3"/>
  <c r="P777" i="3"/>
  <c r="C778" i="3"/>
  <c r="I796" i="3" s="1"/>
  <c r="J796" i="3" s="1"/>
  <c r="K778" i="3"/>
  <c r="P778" i="3"/>
  <c r="C779" i="3"/>
  <c r="K779" i="3"/>
  <c r="P779" i="3"/>
  <c r="C780" i="3"/>
  <c r="K780" i="3"/>
  <c r="P780" i="3"/>
  <c r="C781" i="3"/>
  <c r="K781" i="3"/>
  <c r="P781" i="3"/>
  <c r="C782" i="3"/>
  <c r="K782" i="3"/>
  <c r="P782" i="3"/>
  <c r="C783" i="3"/>
  <c r="K783" i="3"/>
  <c r="P783" i="3"/>
  <c r="C784" i="3"/>
  <c r="I784" i="3"/>
  <c r="J784" i="3" s="1"/>
  <c r="K784" i="3"/>
  <c r="P784" i="3"/>
  <c r="C785" i="3"/>
  <c r="K785" i="3"/>
  <c r="P785" i="3"/>
  <c r="C786" i="3"/>
  <c r="I804" i="3" s="1"/>
  <c r="J804" i="3" s="1"/>
  <c r="K786" i="3"/>
  <c r="P786" i="3"/>
  <c r="C787" i="3"/>
  <c r="K787" i="3"/>
  <c r="P787" i="3"/>
  <c r="C788" i="3"/>
  <c r="K788" i="3"/>
  <c r="P788" i="3"/>
  <c r="C789" i="3"/>
  <c r="K789" i="3"/>
  <c r="P789" i="3"/>
  <c r="C790" i="3"/>
  <c r="K790" i="3"/>
  <c r="P790" i="3"/>
  <c r="C791" i="3"/>
  <c r="K791" i="3"/>
  <c r="P791" i="3"/>
  <c r="C792" i="3"/>
  <c r="I792" i="3"/>
  <c r="J792" i="3" s="1"/>
  <c r="K792" i="3"/>
  <c r="P792" i="3"/>
  <c r="C793" i="3"/>
  <c r="K793" i="3"/>
  <c r="P793" i="3"/>
  <c r="C794" i="3"/>
  <c r="I812" i="3" s="1"/>
  <c r="J812" i="3" s="1"/>
  <c r="K794" i="3"/>
  <c r="P794" i="3"/>
  <c r="C795" i="3"/>
  <c r="K795" i="3"/>
  <c r="P795" i="3"/>
  <c r="C796" i="3"/>
  <c r="K796" i="3"/>
  <c r="P796" i="3"/>
  <c r="C797" i="3"/>
  <c r="K797" i="3"/>
  <c r="P797" i="3"/>
  <c r="C798" i="3"/>
  <c r="K798" i="3"/>
  <c r="P798" i="3"/>
  <c r="C799" i="3"/>
  <c r="K799" i="3"/>
  <c r="P799" i="3"/>
  <c r="C800" i="3"/>
  <c r="I800" i="3"/>
  <c r="J800" i="3" s="1"/>
  <c r="K800" i="3"/>
  <c r="P800" i="3"/>
  <c r="C801" i="3"/>
  <c r="K801" i="3"/>
  <c r="P801" i="3"/>
  <c r="C802" i="3"/>
  <c r="I820" i="3" s="1"/>
  <c r="J820" i="3" s="1"/>
  <c r="K802" i="3"/>
  <c r="P802" i="3"/>
  <c r="C803" i="3"/>
  <c r="K803" i="3"/>
  <c r="P803" i="3"/>
  <c r="C804" i="3"/>
  <c r="K804" i="3"/>
  <c r="P804" i="3"/>
  <c r="C805" i="3"/>
  <c r="K805" i="3"/>
  <c r="P805" i="3"/>
  <c r="C806" i="3"/>
  <c r="K806" i="3"/>
  <c r="P806" i="3"/>
  <c r="C807" i="3"/>
  <c r="K807" i="3"/>
  <c r="P807" i="3"/>
  <c r="C808" i="3"/>
  <c r="I808" i="3"/>
  <c r="J808" i="3" s="1"/>
  <c r="K808" i="3"/>
  <c r="P808" i="3"/>
  <c r="C809" i="3"/>
  <c r="K809" i="3"/>
  <c r="P809" i="3"/>
  <c r="C810" i="3"/>
  <c r="I828" i="3" s="1"/>
  <c r="J828" i="3" s="1"/>
  <c r="K810" i="3"/>
  <c r="P810" i="3"/>
  <c r="C811" i="3"/>
  <c r="K811" i="3"/>
  <c r="P811" i="3"/>
  <c r="C812" i="3"/>
  <c r="K812" i="3"/>
  <c r="P812" i="3"/>
  <c r="C813" i="3"/>
  <c r="K813" i="3"/>
  <c r="P813" i="3"/>
  <c r="C814" i="3"/>
  <c r="K814" i="3"/>
  <c r="P814" i="3"/>
  <c r="C815" i="3"/>
  <c r="K815" i="3"/>
  <c r="P815" i="3"/>
  <c r="C816" i="3"/>
  <c r="I816" i="3"/>
  <c r="J816" i="3" s="1"/>
  <c r="K816" i="3"/>
  <c r="P816" i="3"/>
  <c r="C817" i="3"/>
  <c r="K817" i="3"/>
  <c r="P817" i="3"/>
  <c r="C818" i="3"/>
  <c r="I836" i="3" s="1"/>
  <c r="J836" i="3" s="1"/>
  <c r="K818" i="3"/>
  <c r="P818" i="3"/>
  <c r="C819" i="3"/>
  <c r="K819" i="3"/>
  <c r="P819" i="3"/>
  <c r="C820" i="3"/>
  <c r="K820" i="3"/>
  <c r="P820" i="3"/>
  <c r="C821" i="3"/>
  <c r="K821" i="3"/>
  <c r="P821" i="3"/>
  <c r="C822" i="3"/>
  <c r="K822" i="3"/>
  <c r="P822" i="3"/>
  <c r="C823" i="3"/>
  <c r="K823" i="3"/>
  <c r="P823" i="3"/>
  <c r="C824" i="3"/>
  <c r="I824" i="3"/>
  <c r="J824" i="3" s="1"/>
  <c r="K824" i="3"/>
  <c r="P824" i="3"/>
  <c r="C825" i="3"/>
  <c r="K825" i="3"/>
  <c r="P825" i="3"/>
  <c r="C826" i="3"/>
  <c r="I844" i="3" s="1"/>
  <c r="J844" i="3" s="1"/>
  <c r="K826" i="3"/>
  <c r="P826" i="3"/>
  <c r="C827" i="3"/>
  <c r="K827" i="3"/>
  <c r="P827" i="3"/>
  <c r="C828" i="3"/>
  <c r="K828" i="3"/>
  <c r="P828" i="3"/>
  <c r="C829" i="3"/>
  <c r="K829" i="3"/>
  <c r="P829" i="3"/>
  <c r="C830" i="3"/>
  <c r="K830" i="3"/>
  <c r="P830" i="3"/>
  <c r="C831" i="3"/>
  <c r="K831" i="3"/>
  <c r="P831" i="3"/>
  <c r="C832" i="3"/>
  <c r="I832" i="3"/>
  <c r="J832" i="3" s="1"/>
  <c r="K832" i="3"/>
  <c r="P832" i="3"/>
  <c r="C833" i="3"/>
  <c r="K833" i="3"/>
  <c r="P833" i="3"/>
  <c r="C834" i="3"/>
  <c r="I852" i="3" s="1"/>
  <c r="J852" i="3" s="1"/>
  <c r="K834" i="3"/>
  <c r="P834" i="3"/>
  <c r="C835" i="3"/>
  <c r="K835" i="3"/>
  <c r="P835" i="3"/>
  <c r="C836" i="3"/>
  <c r="K836" i="3"/>
  <c r="P836" i="3"/>
  <c r="C837" i="3"/>
  <c r="K837" i="3"/>
  <c r="P837" i="3"/>
  <c r="C838" i="3"/>
  <c r="K838" i="3"/>
  <c r="P838" i="3"/>
  <c r="C839" i="3"/>
  <c r="I859" i="3" s="1"/>
  <c r="J859" i="3" s="1"/>
  <c r="K839" i="3"/>
  <c r="P839" i="3"/>
  <c r="C840" i="3"/>
  <c r="I840" i="3"/>
  <c r="J840" i="3" s="1"/>
  <c r="K840" i="3"/>
  <c r="P840" i="3"/>
  <c r="C841" i="3"/>
  <c r="K841" i="3"/>
  <c r="P841" i="3"/>
  <c r="C842" i="3"/>
  <c r="K842" i="3"/>
  <c r="P842" i="3"/>
  <c r="C843" i="3"/>
  <c r="K843" i="3"/>
  <c r="P843" i="3"/>
  <c r="C844" i="3"/>
  <c r="K844" i="3"/>
  <c r="P844" i="3"/>
  <c r="C845" i="3"/>
  <c r="K845" i="3"/>
  <c r="P845" i="3"/>
  <c r="C846" i="3"/>
  <c r="K846" i="3"/>
  <c r="P846" i="3"/>
  <c r="C847" i="3"/>
  <c r="I867" i="3" s="1"/>
  <c r="J867" i="3" s="1"/>
  <c r="K847" i="3"/>
  <c r="P847" i="3"/>
  <c r="C848" i="3"/>
  <c r="I848" i="3"/>
  <c r="J848" i="3" s="1"/>
  <c r="K848" i="3"/>
  <c r="P848" i="3"/>
  <c r="C849" i="3"/>
  <c r="K849" i="3"/>
  <c r="P849" i="3"/>
  <c r="C850" i="3"/>
  <c r="K850" i="3"/>
  <c r="P850" i="3"/>
  <c r="C851" i="3"/>
  <c r="K851" i="3"/>
  <c r="P851" i="3"/>
  <c r="C852" i="3"/>
  <c r="K852" i="3"/>
  <c r="P852" i="3"/>
  <c r="C853" i="3"/>
  <c r="K853" i="3"/>
  <c r="P853" i="3"/>
  <c r="C854" i="3"/>
  <c r="K854" i="3"/>
  <c r="P854" i="3"/>
  <c r="C855" i="3"/>
  <c r="K855" i="3"/>
  <c r="P855" i="3"/>
  <c r="C856" i="3"/>
  <c r="I856" i="3"/>
  <c r="J856" i="3" s="1"/>
  <c r="K856" i="3"/>
  <c r="L856" i="3"/>
  <c r="P856" i="3"/>
  <c r="C857" i="3"/>
  <c r="K857" i="3"/>
  <c r="P857" i="3"/>
  <c r="C858" i="3"/>
  <c r="K858" i="3"/>
  <c r="P858" i="3"/>
  <c r="C859" i="3"/>
  <c r="K859" i="3"/>
  <c r="P859" i="3"/>
  <c r="C860" i="3"/>
  <c r="K860" i="3"/>
  <c r="P860" i="3"/>
  <c r="C861" i="3"/>
  <c r="K861" i="3"/>
  <c r="P861" i="3"/>
  <c r="C862" i="3"/>
  <c r="K862" i="3"/>
  <c r="P862" i="3"/>
  <c r="C863" i="3"/>
  <c r="I863" i="3"/>
  <c r="J863" i="3" s="1"/>
  <c r="K863" i="3"/>
  <c r="P863" i="3"/>
  <c r="C864" i="3"/>
  <c r="K864" i="3"/>
  <c r="P864" i="3"/>
  <c r="C865" i="3"/>
  <c r="K865" i="3"/>
  <c r="P865" i="3"/>
  <c r="C866" i="3"/>
  <c r="K866" i="3"/>
  <c r="P866" i="3"/>
  <c r="C867" i="3"/>
  <c r="K867" i="3"/>
  <c r="P867" i="3"/>
  <c r="C868" i="3"/>
  <c r="K868" i="3"/>
  <c r="P868" i="3"/>
  <c r="C869" i="3"/>
  <c r="K869" i="3"/>
  <c r="P869" i="3"/>
  <c r="C870" i="3"/>
  <c r="K870" i="3"/>
  <c r="P870" i="3"/>
  <c r="C871" i="3"/>
  <c r="I871" i="3"/>
  <c r="J871" i="3" s="1"/>
  <c r="K871" i="3"/>
  <c r="P871" i="3"/>
  <c r="C872" i="3"/>
  <c r="K872" i="3"/>
  <c r="P872" i="3"/>
  <c r="C873" i="3"/>
  <c r="K873" i="3"/>
  <c r="P873" i="3"/>
  <c r="C874" i="3"/>
  <c r="K874" i="3"/>
  <c r="P874" i="3"/>
  <c r="C875" i="3"/>
  <c r="K875" i="3"/>
  <c r="P875" i="3"/>
  <c r="C876" i="3"/>
  <c r="K876" i="3"/>
  <c r="P876" i="3"/>
  <c r="C877" i="3"/>
  <c r="K877" i="3"/>
  <c r="P877" i="3"/>
  <c r="C878" i="3"/>
  <c r="K878" i="3"/>
  <c r="P878" i="3"/>
  <c r="C879" i="3"/>
  <c r="I879" i="3"/>
  <c r="J879" i="3" s="1"/>
  <c r="K879" i="3"/>
  <c r="P879" i="3"/>
  <c r="C880" i="3"/>
  <c r="K880" i="3"/>
  <c r="P880" i="3"/>
  <c r="C881" i="3"/>
  <c r="K881" i="3"/>
  <c r="P881" i="3"/>
  <c r="C882" i="3"/>
  <c r="K882" i="3"/>
  <c r="P882" i="3"/>
  <c r="C883" i="3"/>
  <c r="K883" i="3"/>
  <c r="P883" i="3"/>
  <c r="C884" i="3"/>
  <c r="K884" i="3"/>
  <c r="P884" i="3"/>
  <c r="C885" i="3"/>
  <c r="K885" i="3"/>
  <c r="P885" i="3"/>
  <c r="C886" i="3"/>
  <c r="K886" i="3"/>
  <c r="P886" i="3"/>
  <c r="C887" i="3"/>
  <c r="K887" i="3"/>
  <c r="P887" i="3"/>
  <c r="C888" i="3"/>
  <c r="K888" i="3"/>
  <c r="P888" i="3"/>
  <c r="C889" i="3"/>
  <c r="K889" i="3"/>
  <c r="P889" i="3"/>
  <c r="C890" i="3"/>
  <c r="K890" i="3"/>
  <c r="P890" i="3"/>
  <c r="C891" i="3"/>
  <c r="K891" i="3"/>
  <c r="P891" i="3"/>
  <c r="C892" i="3"/>
  <c r="K892" i="3"/>
  <c r="P892" i="3"/>
  <c r="C893" i="3"/>
  <c r="K893" i="3"/>
  <c r="P893" i="3"/>
  <c r="C894" i="3"/>
  <c r="K894" i="3"/>
  <c r="P894" i="3"/>
  <c r="C895" i="3"/>
  <c r="I895" i="3"/>
  <c r="J895" i="3" s="1"/>
  <c r="K895" i="3"/>
  <c r="P895" i="3"/>
  <c r="C896" i="3"/>
  <c r="K896" i="3"/>
  <c r="P896" i="3"/>
  <c r="C897" i="3"/>
  <c r="K897" i="3"/>
  <c r="P897" i="3"/>
  <c r="C898" i="3"/>
  <c r="K898" i="3"/>
  <c r="P898" i="3"/>
  <c r="C899" i="3"/>
  <c r="K899" i="3"/>
  <c r="P899" i="3"/>
  <c r="C900" i="3"/>
  <c r="K900" i="3"/>
  <c r="P900" i="3"/>
  <c r="C901" i="3"/>
  <c r="K901" i="3"/>
  <c r="P901" i="3"/>
  <c r="C902" i="3"/>
  <c r="K902" i="3"/>
  <c r="P902" i="3"/>
  <c r="C903" i="3"/>
  <c r="K903" i="3"/>
  <c r="P903" i="3"/>
  <c r="C904" i="3"/>
  <c r="K904" i="3"/>
  <c r="P904" i="3"/>
  <c r="C905" i="3"/>
  <c r="K905" i="3"/>
  <c r="P905" i="3"/>
  <c r="C906" i="3"/>
  <c r="K906" i="3"/>
  <c r="P906" i="3"/>
  <c r="C907" i="3"/>
  <c r="K907" i="3"/>
  <c r="P907" i="3"/>
  <c r="C908" i="3"/>
  <c r="K908" i="3"/>
  <c r="P908" i="3"/>
  <c r="C909" i="3"/>
  <c r="K909" i="3"/>
  <c r="P909" i="3"/>
  <c r="C910" i="3"/>
  <c r="K910" i="3"/>
  <c r="P910" i="3"/>
  <c r="C911" i="3"/>
  <c r="I911" i="3"/>
  <c r="J911" i="3" s="1"/>
  <c r="K911" i="3"/>
  <c r="P911" i="3"/>
  <c r="C912" i="3"/>
  <c r="K912" i="3"/>
  <c r="P912" i="3"/>
  <c r="C913" i="3"/>
  <c r="K913" i="3"/>
  <c r="P913" i="3"/>
  <c r="C914" i="3"/>
  <c r="K914" i="3"/>
  <c r="P914" i="3"/>
  <c r="C915" i="3"/>
  <c r="K915" i="3"/>
  <c r="P915" i="3"/>
  <c r="C916" i="3"/>
  <c r="K916" i="3"/>
  <c r="P916" i="3"/>
  <c r="C917" i="3"/>
  <c r="K917" i="3"/>
  <c r="P917" i="3"/>
  <c r="C918" i="3"/>
  <c r="K918" i="3"/>
  <c r="P918" i="3"/>
  <c r="C919" i="3"/>
  <c r="K919" i="3"/>
  <c r="P919" i="3"/>
  <c r="C920" i="3"/>
  <c r="K920" i="3"/>
  <c r="P920" i="3"/>
  <c r="C921" i="3"/>
  <c r="K921" i="3"/>
  <c r="P921" i="3"/>
  <c r="C922" i="3"/>
  <c r="K922" i="3"/>
  <c r="P922" i="3"/>
  <c r="C923" i="3"/>
  <c r="K923" i="3"/>
  <c r="P923" i="3"/>
  <c r="C924" i="3"/>
  <c r="K924" i="3"/>
  <c r="P924" i="3"/>
  <c r="C925" i="3"/>
  <c r="K925" i="3"/>
  <c r="P925" i="3"/>
  <c r="C926" i="3"/>
  <c r="I935" i="3" s="1"/>
  <c r="J935" i="3" s="1"/>
  <c r="K926" i="3"/>
  <c r="P926" i="3"/>
  <c r="C927" i="3"/>
  <c r="I927" i="3"/>
  <c r="J927" i="3" s="1"/>
  <c r="K927" i="3"/>
  <c r="P927" i="3"/>
  <c r="C928" i="3"/>
  <c r="K928" i="3"/>
  <c r="P928" i="3"/>
  <c r="C929" i="3"/>
  <c r="K929" i="3"/>
  <c r="P929" i="3"/>
  <c r="C930" i="3"/>
  <c r="K930" i="3"/>
  <c r="P930" i="3"/>
  <c r="C931" i="3"/>
  <c r="K931" i="3"/>
  <c r="P931" i="3"/>
  <c r="C932" i="3"/>
  <c r="K932" i="3"/>
  <c r="P932" i="3"/>
  <c r="C933" i="3"/>
  <c r="K933" i="3"/>
  <c r="P933" i="3"/>
  <c r="C934" i="3"/>
  <c r="K934" i="3"/>
  <c r="P934" i="3"/>
  <c r="C935" i="3"/>
  <c r="K935" i="3"/>
  <c r="P935" i="3"/>
  <c r="C936" i="3"/>
  <c r="K936" i="3"/>
  <c r="P936" i="3"/>
  <c r="C937" i="3"/>
  <c r="K937" i="3"/>
  <c r="P937" i="3"/>
  <c r="C938" i="3"/>
  <c r="K938" i="3"/>
  <c r="P938" i="3"/>
  <c r="C939" i="3"/>
  <c r="K939" i="3"/>
  <c r="P939" i="3"/>
  <c r="C940" i="3"/>
  <c r="K940" i="3"/>
  <c r="P940" i="3"/>
  <c r="C941" i="3"/>
  <c r="K941" i="3"/>
  <c r="P941" i="3"/>
  <c r="C942" i="3"/>
  <c r="K942" i="3"/>
  <c r="P942" i="3"/>
  <c r="C943" i="3"/>
  <c r="I943" i="3"/>
  <c r="J943" i="3" s="1"/>
  <c r="K943" i="3"/>
  <c r="P943" i="3"/>
  <c r="C944" i="3"/>
  <c r="K944" i="3"/>
  <c r="P944" i="3"/>
  <c r="C945" i="3"/>
  <c r="K945" i="3"/>
  <c r="P945" i="3"/>
  <c r="C946" i="3"/>
  <c r="K946" i="3"/>
  <c r="P946" i="3"/>
  <c r="C947" i="3"/>
  <c r="K947" i="3"/>
  <c r="P947" i="3"/>
  <c r="C948" i="3"/>
  <c r="K948" i="3"/>
  <c r="P948" i="3"/>
  <c r="C949" i="3"/>
  <c r="K949" i="3"/>
  <c r="P949" i="3"/>
  <c r="C950" i="3"/>
  <c r="K950" i="3"/>
  <c r="P950" i="3"/>
  <c r="C951" i="3"/>
  <c r="K951" i="3"/>
  <c r="P951" i="3"/>
  <c r="C952" i="3"/>
  <c r="I959" i="3" s="1"/>
  <c r="J959" i="3" s="1"/>
  <c r="K952" i="3"/>
  <c r="P952" i="3"/>
  <c r="C953" i="3"/>
  <c r="K953" i="3"/>
  <c r="P953" i="3"/>
  <c r="C954" i="3"/>
  <c r="K954" i="3"/>
  <c r="P954" i="3"/>
  <c r="C955" i="3"/>
  <c r="I955" i="3"/>
  <c r="J955" i="3" s="1"/>
  <c r="K955" i="3"/>
  <c r="P955" i="3"/>
  <c r="C956" i="3"/>
  <c r="K956" i="3"/>
  <c r="P956" i="3"/>
  <c r="C957" i="3"/>
  <c r="K957" i="3"/>
  <c r="P957" i="3"/>
  <c r="C958" i="3"/>
  <c r="K958" i="3"/>
  <c r="P958" i="3"/>
  <c r="C959" i="3"/>
  <c r="I967" i="3" s="1"/>
  <c r="J967" i="3" s="1"/>
  <c r="K959" i="3"/>
  <c r="P959" i="3"/>
  <c r="C960" i="3"/>
  <c r="K960" i="3"/>
  <c r="P960" i="3"/>
  <c r="C961" i="3"/>
  <c r="K961" i="3"/>
  <c r="P961" i="3"/>
  <c r="C962" i="3"/>
  <c r="K962" i="3"/>
  <c r="P962" i="3"/>
  <c r="C963" i="3"/>
  <c r="I963" i="3"/>
  <c r="J963" i="3" s="1"/>
  <c r="K963" i="3"/>
  <c r="P963" i="3"/>
  <c r="C964" i="3"/>
  <c r="K964" i="3"/>
  <c r="P964" i="3"/>
  <c r="C965" i="3"/>
  <c r="K965" i="3"/>
  <c r="P965" i="3"/>
  <c r="C966" i="3"/>
  <c r="K966" i="3"/>
  <c r="P966" i="3"/>
  <c r="C967" i="3"/>
  <c r="I975" i="3" s="1"/>
  <c r="J975" i="3" s="1"/>
  <c r="K967" i="3"/>
  <c r="P967" i="3"/>
  <c r="C968" i="3"/>
  <c r="K968" i="3"/>
  <c r="P968" i="3"/>
  <c r="C969" i="3"/>
  <c r="K969" i="3"/>
  <c r="P969" i="3"/>
  <c r="C970" i="3"/>
  <c r="K970" i="3"/>
  <c r="P970" i="3"/>
  <c r="C971" i="3"/>
  <c r="I971" i="3"/>
  <c r="J971" i="3" s="1"/>
  <c r="K971" i="3"/>
  <c r="P971" i="3"/>
  <c r="C972" i="3"/>
  <c r="K972" i="3"/>
  <c r="P972" i="3"/>
  <c r="C973" i="3"/>
  <c r="K973" i="3"/>
  <c r="P973" i="3"/>
  <c r="C974" i="3"/>
  <c r="K974" i="3"/>
  <c r="P974" i="3"/>
  <c r="C975" i="3"/>
  <c r="I983" i="3" s="1"/>
  <c r="J983" i="3" s="1"/>
  <c r="K975" i="3"/>
  <c r="P975" i="3"/>
  <c r="C976" i="3"/>
  <c r="K976" i="3"/>
  <c r="P976" i="3"/>
  <c r="C977" i="3"/>
  <c r="K977" i="3"/>
  <c r="P977" i="3"/>
  <c r="C978" i="3"/>
  <c r="K978" i="3"/>
  <c r="P978" i="3"/>
  <c r="C979" i="3"/>
  <c r="I979" i="3"/>
  <c r="J979" i="3" s="1"/>
  <c r="K979" i="3"/>
  <c r="P979" i="3"/>
  <c r="C980" i="3"/>
  <c r="K980" i="3"/>
  <c r="P980" i="3"/>
  <c r="C981" i="3"/>
  <c r="K981" i="3"/>
  <c r="P981" i="3"/>
  <c r="C982" i="3"/>
  <c r="K982" i="3"/>
  <c r="P982" i="3"/>
  <c r="C983" i="3"/>
  <c r="K983" i="3"/>
  <c r="P983" i="3"/>
  <c r="C984" i="3"/>
  <c r="K984" i="3"/>
  <c r="P984" i="3"/>
  <c r="C985" i="3"/>
  <c r="K985" i="3"/>
  <c r="P985" i="3"/>
  <c r="C986" i="3"/>
  <c r="K986" i="3"/>
  <c r="P986" i="3"/>
  <c r="C987" i="3"/>
  <c r="I987" i="3"/>
  <c r="J987" i="3" s="1"/>
  <c r="K987" i="3"/>
  <c r="P987" i="3"/>
  <c r="C988" i="3"/>
  <c r="K988" i="3"/>
  <c r="P988" i="3"/>
  <c r="C989" i="3"/>
  <c r="K989" i="3"/>
  <c r="P989" i="3"/>
  <c r="C990" i="3"/>
  <c r="K990" i="3"/>
  <c r="P990" i="3"/>
  <c r="C991" i="3"/>
  <c r="K991" i="3"/>
  <c r="P991" i="3"/>
  <c r="C992" i="3"/>
  <c r="K992" i="3"/>
  <c r="P992" i="3"/>
  <c r="C993" i="3"/>
  <c r="K993" i="3"/>
  <c r="P993" i="3"/>
  <c r="C994" i="3"/>
  <c r="K994" i="3"/>
  <c r="P994" i="3"/>
  <c r="C995" i="3"/>
  <c r="I995" i="3"/>
  <c r="J995" i="3" s="1"/>
  <c r="K995" i="3"/>
  <c r="P995" i="3"/>
  <c r="C996" i="3"/>
  <c r="K996" i="3"/>
  <c r="P996" i="3"/>
  <c r="C997" i="3"/>
  <c r="K997" i="3"/>
  <c r="P997" i="3"/>
  <c r="C998" i="3"/>
  <c r="K998" i="3"/>
  <c r="P998" i="3"/>
  <c r="C999" i="3"/>
  <c r="K999" i="3"/>
  <c r="P999" i="3"/>
  <c r="C1000" i="3"/>
  <c r="K1000" i="3"/>
  <c r="P1000" i="3"/>
  <c r="C1001" i="3"/>
  <c r="K1001" i="3"/>
  <c r="P1001" i="3"/>
  <c r="C1002" i="3"/>
  <c r="K1002" i="3"/>
  <c r="P1002" i="3"/>
  <c r="C1003" i="3"/>
  <c r="I1003" i="3"/>
  <c r="J1003" i="3" s="1"/>
  <c r="K1003" i="3"/>
  <c r="P1003" i="3"/>
  <c r="C1004" i="3"/>
  <c r="K1004" i="3"/>
  <c r="P1004" i="3"/>
  <c r="C1005" i="3"/>
  <c r="K1005" i="3"/>
  <c r="P1005" i="3"/>
  <c r="C1006" i="3"/>
  <c r="K1006" i="3"/>
  <c r="P1006" i="3"/>
  <c r="C1007" i="3"/>
  <c r="K1007" i="3"/>
  <c r="P1007" i="3"/>
  <c r="C1008" i="3"/>
  <c r="K1008" i="3"/>
  <c r="P1008" i="3"/>
  <c r="C1009" i="3"/>
  <c r="K1009" i="3"/>
  <c r="P1009" i="3"/>
  <c r="C1010" i="3"/>
  <c r="K1010" i="3"/>
  <c r="P1010" i="3"/>
  <c r="C1011" i="3"/>
  <c r="I1011" i="3"/>
  <c r="J1011" i="3" s="1"/>
  <c r="K1011" i="3"/>
  <c r="P1011" i="3"/>
  <c r="C1012" i="3"/>
  <c r="K1012" i="3"/>
  <c r="P1012" i="3"/>
  <c r="C1013" i="3"/>
  <c r="K1013" i="3"/>
  <c r="P1013" i="3"/>
  <c r="C1014" i="3"/>
  <c r="K1014" i="3"/>
  <c r="P1014" i="3"/>
  <c r="C1015" i="3"/>
  <c r="K1015" i="3"/>
  <c r="P1015" i="3"/>
  <c r="C1016" i="3"/>
  <c r="K1016" i="3"/>
  <c r="P1016" i="3"/>
  <c r="C1017" i="3"/>
  <c r="K1017" i="3"/>
  <c r="P1017" i="3"/>
  <c r="C1018" i="3"/>
  <c r="K1018" i="3"/>
  <c r="P1018" i="3"/>
  <c r="C1019" i="3"/>
  <c r="I1019" i="3"/>
  <c r="J1019" i="3" s="1"/>
  <c r="K1019" i="3"/>
  <c r="P1019" i="3"/>
  <c r="C1020" i="3"/>
  <c r="K1020" i="3"/>
  <c r="P1020" i="3"/>
  <c r="C1021" i="3"/>
  <c r="K1021" i="3"/>
  <c r="P1021" i="3"/>
  <c r="C1022" i="3"/>
  <c r="K1022" i="3"/>
  <c r="P1022" i="3"/>
  <c r="C1023" i="3"/>
  <c r="K1023" i="3"/>
  <c r="P1023" i="3"/>
  <c r="C1024" i="3"/>
  <c r="K1024" i="3"/>
  <c r="P1024" i="3"/>
  <c r="C1025" i="3"/>
  <c r="K1025" i="3"/>
  <c r="P1025" i="3"/>
  <c r="C1026" i="3"/>
  <c r="K1026" i="3"/>
  <c r="P1026" i="3"/>
  <c r="C1027" i="3"/>
  <c r="I1027" i="3"/>
  <c r="J1027" i="3" s="1"/>
  <c r="K1027" i="3"/>
  <c r="P1027" i="3"/>
  <c r="C1028" i="3"/>
  <c r="K1028" i="3"/>
  <c r="P1028" i="3"/>
  <c r="C1029" i="3"/>
  <c r="K1029" i="3"/>
  <c r="P1029" i="3"/>
  <c r="C1030" i="3"/>
  <c r="K1030" i="3"/>
  <c r="P1030" i="3"/>
  <c r="C1031" i="3"/>
  <c r="K1031" i="3"/>
  <c r="P1031" i="3"/>
  <c r="C1032" i="3"/>
  <c r="K1032" i="3"/>
  <c r="P1032" i="3"/>
  <c r="C1033" i="3"/>
  <c r="K1033" i="3"/>
  <c r="P1033" i="3"/>
  <c r="C1034" i="3"/>
  <c r="K1034" i="3"/>
  <c r="P1034" i="3"/>
  <c r="C1035" i="3"/>
  <c r="I1035" i="3"/>
  <c r="J1035" i="3" s="1"/>
  <c r="K1035" i="3"/>
  <c r="P1035" i="3"/>
  <c r="C1036" i="3"/>
  <c r="K1036" i="3"/>
  <c r="P1036" i="3"/>
  <c r="C1037" i="3"/>
  <c r="K1037" i="3"/>
  <c r="P1037" i="3"/>
  <c r="C1038" i="3"/>
  <c r="K1038" i="3"/>
  <c r="P1038" i="3"/>
  <c r="C1039" i="3"/>
  <c r="K1039" i="3"/>
  <c r="P1039" i="3"/>
  <c r="C1040" i="3"/>
  <c r="K1040" i="3"/>
  <c r="P1040" i="3"/>
  <c r="C1041" i="3"/>
  <c r="K1041" i="3"/>
  <c r="P1041" i="3"/>
  <c r="C1042" i="3"/>
  <c r="K1042" i="3"/>
  <c r="P1042" i="3"/>
  <c r="C1043" i="3"/>
  <c r="I1043" i="3"/>
  <c r="J1043" i="3" s="1"/>
  <c r="K1043" i="3"/>
  <c r="P1043" i="3"/>
  <c r="C1044" i="3"/>
  <c r="K1044" i="3"/>
  <c r="P1044" i="3"/>
  <c r="C1045" i="3"/>
  <c r="K1045" i="3"/>
  <c r="P1045" i="3"/>
  <c r="C1046" i="3"/>
  <c r="K1046" i="3"/>
  <c r="P1046" i="3"/>
  <c r="C1047" i="3"/>
  <c r="K1047" i="3"/>
  <c r="P1047" i="3"/>
  <c r="C1048" i="3"/>
  <c r="K1048" i="3"/>
  <c r="P1048" i="3"/>
  <c r="C1049" i="3"/>
  <c r="K1049" i="3"/>
  <c r="P1049" i="3"/>
  <c r="C1050" i="3"/>
  <c r="K1050" i="3"/>
  <c r="P1050" i="3"/>
  <c r="C1051" i="3"/>
  <c r="I1051" i="3"/>
  <c r="J1051" i="3" s="1"/>
  <c r="K1051" i="3"/>
  <c r="P1051" i="3"/>
  <c r="C1052" i="3"/>
  <c r="K1052" i="3"/>
  <c r="P1052" i="3"/>
  <c r="C1053" i="3"/>
  <c r="K1053" i="3"/>
  <c r="P1053" i="3"/>
  <c r="C1054" i="3"/>
  <c r="K1054" i="3"/>
  <c r="P1054" i="3"/>
  <c r="C1055" i="3"/>
  <c r="K1055" i="3"/>
  <c r="P1055" i="3"/>
  <c r="C1056" i="3"/>
  <c r="K1056" i="3"/>
  <c r="P1056" i="3"/>
  <c r="C1057" i="3"/>
  <c r="K1057" i="3"/>
  <c r="P1057" i="3"/>
  <c r="C1058" i="3"/>
  <c r="K1058" i="3"/>
  <c r="P1058" i="3"/>
  <c r="C1059" i="3"/>
  <c r="I1059" i="3"/>
  <c r="J1059" i="3" s="1"/>
  <c r="K1059" i="3"/>
  <c r="P1059" i="3"/>
  <c r="C1060" i="3"/>
  <c r="K1060" i="3"/>
  <c r="P1060" i="3"/>
  <c r="C1061" i="3"/>
  <c r="K1061" i="3"/>
  <c r="P1061" i="3"/>
  <c r="C1062" i="3"/>
  <c r="K1062" i="3"/>
  <c r="P1062" i="3"/>
  <c r="C1063" i="3"/>
  <c r="K1063" i="3"/>
  <c r="P1063" i="3"/>
  <c r="C1064" i="3"/>
  <c r="K1064" i="3"/>
  <c r="P1064" i="3"/>
  <c r="C1065" i="3"/>
  <c r="K1065" i="3"/>
  <c r="P1065" i="3"/>
  <c r="C1066" i="3"/>
  <c r="I1079" i="3" s="1"/>
  <c r="J1079" i="3" s="1"/>
  <c r="K1066" i="3"/>
  <c r="P1066" i="3"/>
  <c r="C1067" i="3"/>
  <c r="I1067" i="3"/>
  <c r="J1067" i="3" s="1"/>
  <c r="K1067" i="3"/>
  <c r="P1067" i="3"/>
  <c r="C1068" i="3"/>
  <c r="K1068" i="3"/>
  <c r="P1068" i="3"/>
  <c r="C1069" i="3"/>
  <c r="K1069" i="3"/>
  <c r="P1069" i="3"/>
  <c r="C1070" i="3"/>
  <c r="K1070" i="3"/>
  <c r="P1070" i="3"/>
  <c r="C1071" i="3"/>
  <c r="K1071" i="3"/>
  <c r="P1071" i="3"/>
  <c r="C1072" i="3"/>
  <c r="K1072" i="3"/>
  <c r="P1072" i="3"/>
  <c r="C1073" i="3"/>
  <c r="K1073" i="3"/>
  <c r="P1073" i="3"/>
  <c r="C1074" i="3"/>
  <c r="I1087" i="3" s="1"/>
  <c r="J1087" i="3" s="1"/>
  <c r="K1074" i="3"/>
  <c r="P1074" i="3"/>
  <c r="C1075" i="3"/>
  <c r="I1075" i="3"/>
  <c r="J1075" i="3" s="1"/>
  <c r="K1075" i="3"/>
  <c r="P1075" i="3"/>
  <c r="C1076" i="3"/>
  <c r="K1076" i="3"/>
  <c r="P1076" i="3"/>
  <c r="C1077" i="3"/>
  <c r="K1077" i="3"/>
  <c r="P1077" i="3"/>
  <c r="C1078" i="3"/>
  <c r="K1078" i="3"/>
  <c r="P1078" i="3"/>
  <c r="C1079" i="3"/>
  <c r="K1079" i="3"/>
  <c r="P1079" i="3"/>
  <c r="C1080" i="3"/>
  <c r="K1080" i="3"/>
  <c r="P1080" i="3"/>
  <c r="C1081" i="3"/>
  <c r="K1081" i="3"/>
  <c r="P1081" i="3"/>
  <c r="C1082" i="3"/>
  <c r="I1095" i="3" s="1"/>
  <c r="J1095" i="3" s="1"/>
  <c r="K1082" i="3"/>
  <c r="P1082" i="3"/>
  <c r="C1083" i="3"/>
  <c r="I1083" i="3"/>
  <c r="J1083" i="3" s="1"/>
  <c r="K1083" i="3"/>
  <c r="P1083" i="3"/>
  <c r="C1084" i="3"/>
  <c r="K1084" i="3"/>
  <c r="P1084" i="3"/>
  <c r="C1085" i="3"/>
  <c r="K1085" i="3"/>
  <c r="P1085" i="3"/>
  <c r="C1086" i="3"/>
  <c r="K1086" i="3"/>
  <c r="P1086" i="3"/>
  <c r="C1087" i="3"/>
  <c r="K1087" i="3"/>
  <c r="P1087" i="3"/>
  <c r="C1088" i="3"/>
  <c r="K1088" i="3"/>
  <c r="P1088" i="3"/>
  <c r="C1089" i="3"/>
  <c r="K1089" i="3"/>
  <c r="P1089" i="3"/>
  <c r="C1090" i="3"/>
  <c r="I1103" i="3" s="1"/>
  <c r="J1103" i="3" s="1"/>
  <c r="K1090" i="3"/>
  <c r="P1090" i="3"/>
  <c r="C1091" i="3"/>
  <c r="I1091" i="3"/>
  <c r="J1091" i="3" s="1"/>
  <c r="K1091" i="3"/>
  <c r="P1091" i="3"/>
  <c r="C1092" i="3"/>
  <c r="K1092" i="3"/>
  <c r="P1092" i="3"/>
  <c r="C1093" i="3"/>
  <c r="K1093" i="3"/>
  <c r="P1093" i="3"/>
  <c r="C1094" i="3"/>
  <c r="K1094" i="3"/>
  <c r="P1094" i="3"/>
  <c r="C1095" i="3"/>
  <c r="K1095" i="3"/>
  <c r="P1095" i="3"/>
  <c r="C1096" i="3"/>
  <c r="K1096" i="3"/>
  <c r="P1096" i="3"/>
  <c r="C1097" i="3"/>
  <c r="K1097" i="3"/>
  <c r="P1097" i="3"/>
  <c r="C1098" i="3"/>
  <c r="I1111" i="3" s="1"/>
  <c r="J1111" i="3" s="1"/>
  <c r="K1098" i="3"/>
  <c r="P1098" i="3"/>
  <c r="C1099" i="3"/>
  <c r="I1099" i="3"/>
  <c r="J1099" i="3" s="1"/>
  <c r="K1099" i="3"/>
  <c r="P1099" i="3"/>
  <c r="C1100" i="3"/>
  <c r="K1100" i="3"/>
  <c r="P1100" i="3"/>
  <c r="C1101" i="3"/>
  <c r="K1101" i="3"/>
  <c r="P1101" i="3"/>
  <c r="C1102" i="3"/>
  <c r="K1102" i="3"/>
  <c r="P1102" i="3"/>
  <c r="C1103" i="3"/>
  <c r="K1103" i="3"/>
  <c r="P1103" i="3"/>
  <c r="C1104" i="3"/>
  <c r="I1119" i="3" s="1"/>
  <c r="J1119" i="3" s="1"/>
  <c r="K1104" i="3"/>
  <c r="P1104" i="3"/>
  <c r="C1105" i="3"/>
  <c r="K1105" i="3"/>
  <c r="P1105" i="3"/>
  <c r="C1106" i="3"/>
  <c r="K1106" i="3"/>
  <c r="P1106" i="3"/>
  <c r="C1107" i="3"/>
  <c r="I1107" i="3"/>
  <c r="J1107" i="3" s="1"/>
  <c r="K1107" i="3"/>
  <c r="P1107" i="3"/>
  <c r="C1108" i="3"/>
  <c r="K1108" i="3"/>
  <c r="P1108" i="3"/>
  <c r="C1109" i="3"/>
  <c r="K1109" i="3"/>
  <c r="P1109" i="3"/>
  <c r="C1110" i="3"/>
  <c r="K1110" i="3"/>
  <c r="P1110" i="3"/>
  <c r="C1111" i="3"/>
  <c r="K1111" i="3"/>
  <c r="P1111" i="3"/>
  <c r="C1112" i="3"/>
  <c r="I1127" i="3" s="1"/>
  <c r="J1127" i="3" s="1"/>
  <c r="K1112" i="3"/>
  <c r="P1112" i="3"/>
  <c r="C1113" i="3"/>
  <c r="K1113" i="3"/>
  <c r="P1113" i="3"/>
  <c r="C1114" i="3"/>
  <c r="K1114" i="3"/>
  <c r="P1114" i="3"/>
  <c r="C1115" i="3"/>
  <c r="I1115" i="3"/>
  <c r="J1115" i="3" s="1"/>
  <c r="K1115" i="3"/>
  <c r="P1115" i="3"/>
  <c r="C1116" i="3"/>
  <c r="K1116" i="3"/>
  <c r="P1116" i="3"/>
  <c r="C1117" i="3"/>
  <c r="K1117" i="3"/>
  <c r="P1117" i="3"/>
  <c r="C1118" i="3"/>
  <c r="K1118" i="3"/>
  <c r="P1118" i="3"/>
  <c r="C1119" i="3"/>
  <c r="I1135" i="3" s="1"/>
  <c r="J1135" i="3" s="1"/>
  <c r="K1119" i="3"/>
  <c r="P1119" i="3"/>
  <c r="C1120" i="3"/>
  <c r="K1120" i="3"/>
  <c r="P1120" i="3"/>
  <c r="C1121" i="3"/>
  <c r="K1121" i="3"/>
  <c r="P1121" i="3"/>
  <c r="C1122" i="3"/>
  <c r="K1122" i="3"/>
  <c r="P1122" i="3"/>
  <c r="C1123" i="3"/>
  <c r="I1123" i="3"/>
  <c r="J1123" i="3" s="1"/>
  <c r="K1123" i="3"/>
  <c r="P1123" i="3"/>
  <c r="C1124" i="3"/>
  <c r="K1124" i="3"/>
  <c r="P1124" i="3"/>
  <c r="C1125" i="3"/>
  <c r="K1125" i="3"/>
  <c r="P1125" i="3"/>
  <c r="C1126" i="3"/>
  <c r="K1126" i="3"/>
  <c r="P1126" i="3"/>
  <c r="C1127" i="3"/>
  <c r="K1127" i="3"/>
  <c r="P1127" i="3"/>
  <c r="C1128" i="3"/>
  <c r="I1143" i="3" s="1"/>
  <c r="J1143" i="3" s="1"/>
  <c r="K1128" i="3"/>
  <c r="P1128" i="3"/>
  <c r="C1129" i="3"/>
  <c r="K1129" i="3"/>
  <c r="P1129" i="3"/>
  <c r="C1130" i="3"/>
  <c r="K1130" i="3"/>
  <c r="P1130" i="3"/>
  <c r="C1131" i="3"/>
  <c r="I1131" i="3"/>
  <c r="J1131" i="3" s="1"/>
  <c r="K1131" i="3"/>
  <c r="P1131" i="3"/>
  <c r="C1132" i="3"/>
  <c r="K1132" i="3"/>
  <c r="P1132" i="3"/>
  <c r="C1133" i="3"/>
  <c r="K1133" i="3"/>
  <c r="P1133" i="3"/>
  <c r="C1134" i="3"/>
  <c r="K1134" i="3"/>
  <c r="P1134" i="3"/>
  <c r="C1135" i="3"/>
  <c r="I1151" i="3" s="1"/>
  <c r="J1151" i="3" s="1"/>
  <c r="K1135" i="3"/>
  <c r="P1135" i="3"/>
  <c r="C1136" i="3"/>
  <c r="K1136" i="3"/>
  <c r="P1136" i="3"/>
  <c r="C1137" i="3"/>
  <c r="K1137" i="3"/>
  <c r="P1137" i="3"/>
  <c r="C1138" i="3"/>
  <c r="K1138" i="3"/>
  <c r="P1138" i="3"/>
  <c r="C1139" i="3"/>
  <c r="I1139" i="3"/>
  <c r="J1139" i="3" s="1"/>
  <c r="K1139" i="3"/>
  <c r="P1139" i="3"/>
  <c r="C1140" i="3"/>
  <c r="K1140" i="3"/>
  <c r="P1140" i="3"/>
  <c r="C1141" i="3"/>
  <c r="K1141" i="3"/>
  <c r="P1141" i="3"/>
  <c r="C1142" i="3"/>
  <c r="K1142" i="3"/>
  <c r="P1142" i="3"/>
  <c r="C1143" i="3"/>
  <c r="I1159" i="3" s="1"/>
  <c r="J1159" i="3" s="1"/>
  <c r="K1143" i="3"/>
  <c r="P1143" i="3"/>
  <c r="C1144" i="3"/>
  <c r="K1144" i="3"/>
  <c r="P1144" i="3"/>
  <c r="C1145" i="3"/>
  <c r="K1145" i="3"/>
  <c r="P1145" i="3"/>
  <c r="C1146" i="3"/>
  <c r="K1146" i="3"/>
  <c r="P1146" i="3"/>
  <c r="C1147" i="3"/>
  <c r="I1147" i="3"/>
  <c r="J1147" i="3" s="1"/>
  <c r="K1147" i="3"/>
  <c r="P1147" i="3"/>
  <c r="C1148" i="3"/>
  <c r="K1148" i="3"/>
  <c r="P1148" i="3"/>
  <c r="C1149" i="3"/>
  <c r="K1149" i="3"/>
  <c r="P1149" i="3"/>
  <c r="C1150" i="3"/>
  <c r="K1150" i="3"/>
  <c r="P1150" i="3"/>
  <c r="C1151" i="3"/>
  <c r="I1167" i="3" s="1"/>
  <c r="J1167" i="3" s="1"/>
  <c r="K1151" i="3"/>
  <c r="P1151" i="3"/>
  <c r="C1152" i="3"/>
  <c r="K1152" i="3"/>
  <c r="P1152" i="3"/>
  <c r="C1153" i="3"/>
  <c r="K1153" i="3"/>
  <c r="P1153" i="3"/>
  <c r="C1154" i="3"/>
  <c r="K1154" i="3"/>
  <c r="P1154" i="3"/>
  <c r="C1155" i="3"/>
  <c r="I1155" i="3"/>
  <c r="J1155" i="3" s="1"/>
  <c r="K1155" i="3"/>
  <c r="P1155" i="3"/>
  <c r="C1156" i="3"/>
  <c r="K1156" i="3"/>
  <c r="P1156" i="3"/>
  <c r="C1157" i="3"/>
  <c r="K1157" i="3"/>
  <c r="P1157" i="3"/>
  <c r="C1158" i="3"/>
  <c r="K1158" i="3"/>
  <c r="P1158" i="3"/>
  <c r="C1159" i="3"/>
  <c r="K1159" i="3"/>
  <c r="P1159" i="3"/>
  <c r="C1160" i="3"/>
  <c r="K1160" i="3"/>
  <c r="P1160" i="3"/>
  <c r="C1161" i="3"/>
  <c r="K1161" i="3"/>
  <c r="P1161" i="3"/>
  <c r="C1162" i="3"/>
  <c r="K1162" i="3"/>
  <c r="P1162" i="3"/>
  <c r="C1163" i="3"/>
  <c r="I1163" i="3"/>
  <c r="J1163" i="3" s="1"/>
  <c r="K1163" i="3"/>
  <c r="P1163" i="3"/>
  <c r="C1164" i="3"/>
  <c r="K1164" i="3"/>
  <c r="P1164" i="3"/>
  <c r="C1165" i="3"/>
  <c r="K1165" i="3"/>
  <c r="P1165" i="3"/>
  <c r="C1166" i="3"/>
  <c r="K1166" i="3"/>
  <c r="P1166" i="3"/>
  <c r="C1167" i="3"/>
  <c r="I1183" i="3" s="1"/>
  <c r="J1183" i="3" s="1"/>
  <c r="K1167" i="3"/>
  <c r="P1167" i="3"/>
  <c r="C1168" i="3"/>
  <c r="K1168" i="3"/>
  <c r="P1168" i="3"/>
  <c r="C1169" i="3"/>
  <c r="K1169" i="3"/>
  <c r="P1169" i="3"/>
  <c r="C1170" i="3"/>
  <c r="K1170" i="3"/>
  <c r="P1170" i="3"/>
  <c r="C1171" i="3"/>
  <c r="I1171" i="3"/>
  <c r="J1171" i="3" s="1"/>
  <c r="K1171" i="3"/>
  <c r="P1171" i="3"/>
  <c r="C1172" i="3"/>
  <c r="K1172" i="3"/>
  <c r="P1172" i="3"/>
  <c r="C1173" i="3"/>
  <c r="K1173" i="3"/>
  <c r="P1173" i="3"/>
  <c r="C1174" i="3"/>
  <c r="K1174" i="3"/>
  <c r="P1174" i="3"/>
  <c r="C1175" i="3"/>
  <c r="K1175" i="3"/>
  <c r="P1175" i="3"/>
  <c r="C1176" i="3"/>
  <c r="K1176" i="3"/>
  <c r="P1176" i="3"/>
  <c r="C1177" i="3"/>
  <c r="K1177" i="3"/>
  <c r="P1177" i="3"/>
  <c r="C1178" i="3"/>
  <c r="K1178" i="3"/>
  <c r="P1178" i="3"/>
  <c r="C1179" i="3"/>
  <c r="I1179" i="3"/>
  <c r="J1179" i="3" s="1"/>
  <c r="K1179" i="3"/>
  <c r="P1179" i="3"/>
  <c r="C1180" i="3"/>
  <c r="K1180" i="3"/>
  <c r="P1180" i="3"/>
  <c r="C1181" i="3"/>
  <c r="K1181" i="3"/>
  <c r="P1181" i="3"/>
  <c r="C1182" i="3"/>
  <c r="K1182" i="3"/>
  <c r="P1182" i="3"/>
  <c r="C1183" i="3"/>
  <c r="K1183" i="3"/>
  <c r="P1183" i="3"/>
  <c r="C1184" i="3"/>
  <c r="K1184" i="3"/>
  <c r="P1184" i="3"/>
  <c r="C1185" i="3"/>
  <c r="K1185" i="3"/>
  <c r="P1185" i="3"/>
  <c r="C1186" i="3"/>
  <c r="K1186" i="3"/>
  <c r="P1186" i="3"/>
  <c r="C1187" i="3"/>
  <c r="I1187" i="3"/>
  <c r="J1187" i="3" s="1"/>
  <c r="K1187" i="3"/>
  <c r="P1187" i="3"/>
  <c r="C1188" i="3"/>
  <c r="K1188" i="3"/>
  <c r="P1188" i="3"/>
  <c r="C1189" i="3"/>
  <c r="I1206" i="3" s="1"/>
  <c r="J1206" i="3" s="1"/>
  <c r="K1189" i="3"/>
  <c r="P1189" i="3"/>
  <c r="C1190" i="3"/>
  <c r="K1190" i="3"/>
  <c r="P1190" i="3"/>
  <c r="C1191" i="3"/>
  <c r="K1191" i="3"/>
  <c r="P1191" i="3"/>
  <c r="C1192" i="3"/>
  <c r="K1192" i="3"/>
  <c r="P1192" i="3"/>
  <c r="C1193" i="3"/>
  <c r="K1193" i="3"/>
  <c r="P1193" i="3"/>
  <c r="C1194" i="3"/>
  <c r="K1194" i="3"/>
  <c r="P1194" i="3"/>
  <c r="C1195" i="3"/>
  <c r="I1195" i="3"/>
  <c r="J1195" i="3" s="1"/>
  <c r="K1195" i="3"/>
  <c r="P1195" i="3"/>
  <c r="C1196" i="3"/>
  <c r="K1196" i="3"/>
  <c r="P1196" i="3"/>
  <c r="C1197" i="3"/>
  <c r="K1197" i="3"/>
  <c r="P1197" i="3"/>
  <c r="C1198" i="3"/>
  <c r="K1198" i="3"/>
  <c r="P1198" i="3"/>
  <c r="C1199" i="3"/>
  <c r="K1199" i="3"/>
  <c r="P1199" i="3"/>
  <c r="C1200" i="3"/>
  <c r="K1200" i="3"/>
  <c r="P1200" i="3"/>
  <c r="C1201" i="3"/>
  <c r="K1201" i="3"/>
  <c r="P1201" i="3"/>
  <c r="C1202" i="3"/>
  <c r="I1202" i="3"/>
  <c r="J1202" i="3" s="1"/>
  <c r="K1202" i="3"/>
  <c r="P1202" i="3"/>
  <c r="C1203" i="3"/>
  <c r="K1203" i="3"/>
  <c r="P1203" i="3"/>
  <c r="C1204" i="3"/>
  <c r="I1222" i="3" s="1"/>
  <c r="J1222" i="3" s="1"/>
  <c r="K1204" i="3"/>
  <c r="P1204" i="3"/>
  <c r="C1205" i="3"/>
  <c r="K1205" i="3"/>
  <c r="P1205" i="3"/>
  <c r="C1206" i="3"/>
  <c r="K1206" i="3"/>
  <c r="P1206" i="3"/>
  <c r="C1207" i="3"/>
  <c r="K1207" i="3"/>
  <c r="P1207" i="3"/>
  <c r="C1208" i="3"/>
  <c r="K1208" i="3"/>
  <c r="P1208" i="3"/>
  <c r="C1209" i="3"/>
  <c r="K1209" i="3"/>
  <c r="P1209" i="3"/>
  <c r="C1210" i="3"/>
  <c r="K1210" i="3"/>
  <c r="P1210" i="3"/>
  <c r="C1211" i="3"/>
  <c r="K1211" i="3"/>
  <c r="P1211" i="3"/>
  <c r="C1212" i="3"/>
  <c r="K1212" i="3"/>
  <c r="P1212" i="3"/>
  <c r="C1213" i="3"/>
  <c r="K1213" i="3"/>
  <c r="P1213" i="3"/>
  <c r="C1214" i="3"/>
  <c r="I1214" i="3"/>
  <c r="J1214" i="3" s="1"/>
  <c r="K1214" i="3"/>
  <c r="P1214" i="3"/>
  <c r="C1215" i="3"/>
  <c r="K1215" i="3"/>
  <c r="P1215" i="3"/>
  <c r="C1216" i="3"/>
  <c r="K1216" i="3"/>
  <c r="P1216" i="3"/>
  <c r="C1217" i="3"/>
  <c r="K1217" i="3"/>
  <c r="P1217" i="3"/>
  <c r="C1218" i="3"/>
  <c r="I1238" i="3" s="1"/>
  <c r="J1238" i="3" s="1"/>
  <c r="K1218" i="3"/>
  <c r="P1218" i="3"/>
  <c r="C1219" i="3"/>
  <c r="K1219" i="3"/>
  <c r="P1219" i="3"/>
  <c r="C1220" i="3"/>
  <c r="K1220" i="3"/>
  <c r="P1220" i="3"/>
  <c r="C1221" i="3"/>
  <c r="K1221" i="3"/>
  <c r="P1221" i="3"/>
  <c r="C1222" i="3"/>
  <c r="K1222" i="3"/>
  <c r="P1222" i="3"/>
  <c r="C1223" i="3"/>
  <c r="K1223" i="3"/>
  <c r="P1223" i="3"/>
  <c r="C1224" i="3"/>
  <c r="K1224" i="3"/>
  <c r="P1224" i="3"/>
  <c r="C1225" i="3"/>
  <c r="K1225" i="3"/>
  <c r="P1225" i="3"/>
  <c r="C1226" i="3"/>
  <c r="K1226" i="3"/>
  <c r="P1226" i="3"/>
  <c r="C1227" i="3"/>
  <c r="K1227" i="3"/>
  <c r="P1227" i="3"/>
  <c r="C1228" i="3"/>
  <c r="K1228" i="3"/>
  <c r="P1228" i="3"/>
  <c r="C1229" i="3"/>
  <c r="K1229" i="3"/>
  <c r="P1229" i="3"/>
  <c r="C1230" i="3"/>
  <c r="I1230" i="3"/>
  <c r="J1230" i="3" s="1"/>
  <c r="K1230" i="3"/>
  <c r="P1230" i="3"/>
  <c r="C1231" i="3"/>
  <c r="K1231" i="3"/>
  <c r="P1231" i="3"/>
  <c r="C1232" i="3"/>
  <c r="K1232" i="3"/>
  <c r="P1232" i="3"/>
  <c r="C1233" i="3"/>
  <c r="K1233" i="3"/>
  <c r="P1233" i="3"/>
  <c r="C1234" i="3"/>
  <c r="K1234" i="3"/>
  <c r="P1234" i="3"/>
  <c r="C1235" i="3"/>
  <c r="K1235" i="3"/>
  <c r="P1235" i="3"/>
  <c r="C1236" i="3"/>
  <c r="K1236" i="3"/>
  <c r="P1236" i="3"/>
  <c r="C1237" i="3"/>
  <c r="K1237" i="3"/>
  <c r="P1237" i="3"/>
  <c r="C1238" i="3"/>
  <c r="K1238" i="3"/>
  <c r="P1238" i="3"/>
  <c r="C1239" i="3"/>
  <c r="K1239" i="3"/>
  <c r="P1239" i="3"/>
  <c r="C1240" i="3"/>
  <c r="K1240" i="3"/>
  <c r="P1240" i="3"/>
  <c r="C1241" i="3"/>
  <c r="K1241" i="3"/>
  <c r="P1241" i="3"/>
  <c r="C1242" i="3"/>
  <c r="K1242" i="3"/>
  <c r="P1242" i="3"/>
  <c r="C1243" i="3"/>
  <c r="C1244" i="3"/>
  <c r="C1245" i="3"/>
  <c r="C1246" i="3"/>
  <c r="C1247" i="3"/>
  <c r="C1248" i="3"/>
  <c r="C1249" i="3"/>
  <c r="C1250" i="3"/>
  <c r="C1251" i="3"/>
  <c r="M31" i="3"/>
  <c r="M33" i="3"/>
  <c r="M35" i="3"/>
  <c r="M37" i="3"/>
  <c r="M39" i="3"/>
  <c r="M41" i="3"/>
  <c r="M43" i="3"/>
  <c r="M45" i="3"/>
  <c r="M47" i="3"/>
  <c r="M49" i="3"/>
  <c r="M51" i="3"/>
  <c r="M53" i="3"/>
  <c r="M55" i="3"/>
  <c r="M57" i="3"/>
  <c r="M59" i="3"/>
  <c r="M61" i="3"/>
  <c r="M63" i="3"/>
  <c r="M65" i="3"/>
  <c r="M67" i="3"/>
  <c r="M69" i="3"/>
  <c r="M71" i="3"/>
  <c r="M73" i="3"/>
  <c r="M75" i="3"/>
  <c r="M77" i="3"/>
  <c r="M79" i="3"/>
  <c r="M81" i="3"/>
  <c r="M83" i="3"/>
  <c r="M85" i="3"/>
  <c r="M87" i="3"/>
  <c r="M89" i="3"/>
  <c r="M91" i="3"/>
  <c r="M93" i="3"/>
  <c r="M95" i="3"/>
  <c r="M97" i="3"/>
  <c r="M99" i="3"/>
  <c r="M101" i="3"/>
  <c r="M103" i="3"/>
  <c r="M105" i="3"/>
  <c r="M107" i="3"/>
  <c r="M109" i="3"/>
  <c r="M111" i="3"/>
  <c r="M113" i="3"/>
  <c r="M115" i="3"/>
  <c r="M117" i="3"/>
  <c r="M119" i="3"/>
  <c r="M121" i="3"/>
  <c r="M123" i="3"/>
  <c r="M125" i="3"/>
  <c r="M127" i="3"/>
  <c r="M129" i="3"/>
  <c r="M131" i="3"/>
  <c r="M133" i="3"/>
  <c r="M135" i="3"/>
  <c r="M137" i="3"/>
  <c r="M139" i="3"/>
  <c r="M141" i="3"/>
  <c r="M143" i="3"/>
  <c r="M145" i="3"/>
  <c r="M147" i="3"/>
  <c r="M149" i="3"/>
  <c r="M151" i="3"/>
  <c r="M153" i="3"/>
  <c r="M155" i="3"/>
  <c r="M157" i="3"/>
  <c r="M159" i="3"/>
  <c r="M161" i="3"/>
  <c r="M163" i="3"/>
  <c r="M165" i="3"/>
  <c r="M167" i="3"/>
  <c r="M169" i="3"/>
  <c r="M171" i="3"/>
  <c r="M173" i="3"/>
  <c r="M175" i="3"/>
  <c r="M177" i="3"/>
  <c r="M179" i="3"/>
  <c r="M181" i="3"/>
  <c r="M183" i="3"/>
  <c r="M185" i="3"/>
  <c r="M187" i="3"/>
  <c r="M189" i="3"/>
  <c r="M191" i="3"/>
  <c r="M193" i="3"/>
  <c r="M195" i="3"/>
  <c r="M197" i="3"/>
  <c r="M199" i="3"/>
  <c r="M201" i="3"/>
  <c r="M203" i="3"/>
  <c r="M205" i="3"/>
  <c r="M207" i="3"/>
  <c r="M209" i="3"/>
  <c r="M211" i="3"/>
  <c r="M213" i="3"/>
  <c r="M215" i="3"/>
  <c r="M217" i="3"/>
  <c r="M219" i="3"/>
  <c r="M221" i="3"/>
  <c r="M223" i="3"/>
  <c r="M225" i="3"/>
  <c r="M32" i="3"/>
  <c r="M34" i="3"/>
  <c r="M36" i="3"/>
  <c r="M38" i="3"/>
  <c r="M40" i="3"/>
  <c r="M42" i="3"/>
  <c r="M44" i="3"/>
  <c r="M46" i="3"/>
  <c r="M48" i="3"/>
  <c r="M50" i="3"/>
  <c r="M52" i="3"/>
  <c r="M54" i="3"/>
  <c r="M56" i="3"/>
  <c r="M58" i="3"/>
  <c r="M60" i="3"/>
  <c r="M62" i="3"/>
  <c r="M64" i="3"/>
  <c r="M66" i="3"/>
  <c r="M68" i="3"/>
  <c r="M70" i="3"/>
  <c r="M72" i="3"/>
  <c r="M74" i="3"/>
  <c r="M76" i="3"/>
  <c r="M78" i="3"/>
  <c r="M80" i="3"/>
  <c r="M82" i="3"/>
  <c r="M84" i="3"/>
  <c r="M86" i="3"/>
  <c r="M88" i="3"/>
  <c r="M90" i="3"/>
  <c r="M92" i="3"/>
  <c r="M94" i="3"/>
  <c r="M96" i="3"/>
  <c r="M98" i="3"/>
  <c r="M100" i="3"/>
  <c r="M102" i="3"/>
  <c r="M104" i="3"/>
  <c r="M106" i="3"/>
  <c r="M108" i="3"/>
  <c r="M110" i="3"/>
  <c r="M112" i="3"/>
  <c r="M114" i="3"/>
  <c r="M116" i="3"/>
  <c r="M118" i="3"/>
  <c r="M120" i="3"/>
  <c r="M122" i="3"/>
  <c r="M124" i="3"/>
  <c r="M126" i="3"/>
  <c r="M128" i="3"/>
  <c r="M130" i="3"/>
  <c r="M132" i="3"/>
  <c r="M134" i="3"/>
  <c r="M136" i="3"/>
  <c r="M138" i="3"/>
  <c r="M140" i="3"/>
  <c r="M142" i="3"/>
  <c r="M144" i="3"/>
  <c r="M146" i="3"/>
  <c r="M148" i="3"/>
  <c r="M150" i="3"/>
  <c r="M152" i="3"/>
  <c r="M154" i="3"/>
  <c r="M156" i="3"/>
  <c r="M158" i="3"/>
  <c r="M160" i="3"/>
  <c r="M162" i="3"/>
  <c r="M164" i="3"/>
  <c r="M166" i="3"/>
  <c r="M168" i="3"/>
  <c r="M170" i="3"/>
  <c r="M172" i="3"/>
  <c r="M174" i="3"/>
  <c r="M176" i="3"/>
  <c r="M178" i="3"/>
  <c r="M180" i="3"/>
  <c r="M182" i="3"/>
  <c r="M184" i="3"/>
  <c r="M186" i="3"/>
  <c r="M188" i="3"/>
  <c r="M190" i="3"/>
  <c r="M192" i="3"/>
  <c r="M194" i="3"/>
  <c r="M196" i="3"/>
  <c r="M198" i="3"/>
  <c r="M200" i="3"/>
  <c r="M202" i="3"/>
  <c r="M204" i="3"/>
  <c r="M206" i="3"/>
  <c r="M208" i="3"/>
  <c r="M210" i="3"/>
  <c r="M212" i="3"/>
  <c r="M214" i="3"/>
  <c r="M216" i="3"/>
  <c r="M218" i="3"/>
  <c r="M220" i="3"/>
  <c r="M222" i="3"/>
  <c r="M224" i="3"/>
  <c r="M226" i="3"/>
  <c r="M228" i="3"/>
  <c r="M230" i="3"/>
  <c r="M232" i="3"/>
  <c r="M234" i="3"/>
  <c r="M236" i="3"/>
  <c r="M238" i="3"/>
  <c r="M240" i="3"/>
  <c r="M242" i="3"/>
  <c r="M244" i="3"/>
  <c r="M246" i="3"/>
  <c r="M248" i="3"/>
  <c r="M250" i="3"/>
  <c r="M252" i="3"/>
  <c r="M254" i="3"/>
  <c r="M256" i="3"/>
  <c r="M258" i="3"/>
  <c r="M260" i="3"/>
  <c r="M262" i="3"/>
  <c r="M264" i="3"/>
  <c r="M266" i="3"/>
  <c r="M268" i="3"/>
  <c r="M270" i="3"/>
  <c r="M272" i="3"/>
  <c r="M274" i="3"/>
  <c r="M276" i="3"/>
  <c r="M278" i="3"/>
  <c r="M280" i="3"/>
  <c r="M282" i="3"/>
  <c r="M284" i="3"/>
  <c r="M227" i="3"/>
  <c r="M231" i="3"/>
  <c r="M235" i="3"/>
  <c r="M239" i="3"/>
  <c r="M243" i="3"/>
  <c r="M247" i="3"/>
  <c r="M251" i="3"/>
  <c r="M255" i="3"/>
  <c r="M259" i="3"/>
  <c r="M263" i="3"/>
  <c r="M267" i="3"/>
  <c r="M271" i="3"/>
  <c r="M275" i="3"/>
  <c r="M279" i="3"/>
  <c r="M283" i="3"/>
  <c r="M286" i="3"/>
  <c r="M288" i="3"/>
  <c r="M290" i="3"/>
  <c r="M292" i="3"/>
  <c r="M294" i="3"/>
  <c r="M296" i="3"/>
  <c r="M298" i="3"/>
  <c r="M300" i="3"/>
  <c r="M302" i="3"/>
  <c r="M304" i="3"/>
  <c r="M306" i="3"/>
  <c r="M308" i="3"/>
  <c r="M310" i="3"/>
  <c r="M312" i="3"/>
  <c r="M314" i="3"/>
  <c r="M316" i="3"/>
  <c r="M318" i="3"/>
  <c r="M320" i="3"/>
  <c r="M322" i="3"/>
  <c r="M324" i="3"/>
  <c r="M326" i="3"/>
  <c r="M328" i="3"/>
  <c r="M330" i="3"/>
  <c r="M332" i="3"/>
  <c r="M334" i="3"/>
  <c r="M336" i="3"/>
  <c r="M338" i="3"/>
  <c r="M340" i="3"/>
  <c r="M342" i="3"/>
  <c r="M344" i="3"/>
  <c r="M346" i="3"/>
  <c r="M348" i="3"/>
  <c r="M350" i="3"/>
  <c r="M352" i="3"/>
  <c r="M354" i="3"/>
  <c r="M356" i="3"/>
  <c r="M358" i="3"/>
  <c r="M360" i="3"/>
  <c r="M362" i="3"/>
  <c r="M364" i="3"/>
  <c r="M366" i="3"/>
  <c r="M368" i="3"/>
  <c r="M370" i="3"/>
  <c r="M372" i="3"/>
  <c r="M374" i="3"/>
  <c r="M376" i="3"/>
  <c r="M378" i="3"/>
  <c r="M380" i="3"/>
  <c r="M382" i="3"/>
  <c r="M384" i="3"/>
  <c r="M386" i="3"/>
  <c r="M388" i="3"/>
  <c r="M390" i="3"/>
  <c r="M392" i="3"/>
  <c r="M394" i="3"/>
  <c r="M396" i="3"/>
  <c r="M398" i="3"/>
  <c r="M400" i="3"/>
  <c r="M402" i="3"/>
  <c r="M404" i="3"/>
  <c r="M406" i="3"/>
  <c r="M408" i="3"/>
  <c r="M410" i="3"/>
  <c r="M412" i="3"/>
  <c r="M414" i="3"/>
  <c r="M416" i="3"/>
  <c r="M418" i="3"/>
  <c r="M420" i="3"/>
  <c r="M422" i="3"/>
  <c r="M424" i="3"/>
  <c r="M426" i="3"/>
  <c r="M428" i="3"/>
  <c r="M430" i="3"/>
  <c r="M432" i="3"/>
  <c r="M434" i="3"/>
  <c r="M436" i="3"/>
  <c r="M438" i="3"/>
  <c r="M440" i="3"/>
  <c r="M442" i="3"/>
  <c r="M444" i="3"/>
  <c r="M446" i="3"/>
  <c r="M448" i="3"/>
  <c r="M450" i="3"/>
  <c r="M452" i="3"/>
  <c r="M454" i="3"/>
  <c r="M456" i="3"/>
  <c r="M458" i="3"/>
  <c r="M460" i="3"/>
  <c r="M462" i="3"/>
  <c r="M464" i="3"/>
  <c r="M466" i="3"/>
  <c r="M468" i="3"/>
  <c r="M470" i="3"/>
  <c r="M472" i="3"/>
  <c r="M474" i="3"/>
  <c r="M476" i="3"/>
  <c r="M478" i="3"/>
  <c r="M480" i="3"/>
  <c r="M482" i="3"/>
  <c r="M484" i="3"/>
  <c r="M486" i="3"/>
  <c r="M488" i="3"/>
  <c r="M490" i="3"/>
  <c r="M492" i="3"/>
  <c r="M494" i="3"/>
  <c r="M496" i="3"/>
  <c r="M498" i="3"/>
  <c r="M500" i="3"/>
  <c r="M502" i="3"/>
  <c r="M504" i="3"/>
  <c r="M506" i="3"/>
  <c r="M508" i="3"/>
  <c r="M229" i="3"/>
  <c r="M233" i="3"/>
  <c r="M237" i="3"/>
  <c r="M241" i="3"/>
  <c r="M245" i="3"/>
  <c r="M249" i="3"/>
  <c r="M253" i="3"/>
  <c r="M257" i="3"/>
  <c r="M261" i="3"/>
  <c r="M265" i="3"/>
  <c r="M269" i="3"/>
  <c r="M273" i="3"/>
  <c r="M277" i="3"/>
  <c r="M281" i="3"/>
  <c r="M285" i="3"/>
  <c r="M287" i="3"/>
  <c r="M289" i="3"/>
  <c r="M291" i="3"/>
  <c r="M293" i="3"/>
  <c r="M295" i="3"/>
  <c r="M297" i="3"/>
  <c r="M299" i="3"/>
  <c r="M301" i="3"/>
  <c r="M303" i="3"/>
  <c r="M305" i="3"/>
  <c r="M307" i="3"/>
  <c r="M309" i="3"/>
  <c r="M311" i="3"/>
  <c r="M313" i="3"/>
  <c r="M315" i="3"/>
  <c r="M317" i="3"/>
  <c r="M319" i="3"/>
  <c r="M321" i="3"/>
  <c r="M323" i="3"/>
  <c r="M325" i="3"/>
  <c r="M327" i="3"/>
  <c r="M329" i="3"/>
  <c r="M331" i="3"/>
  <c r="M333" i="3"/>
  <c r="M335" i="3"/>
  <c r="M337" i="3"/>
  <c r="M339" i="3"/>
  <c r="M341" i="3"/>
  <c r="M343" i="3"/>
  <c r="M345" i="3"/>
  <c r="M347" i="3"/>
  <c r="M349" i="3"/>
  <c r="M351" i="3"/>
  <c r="M353" i="3"/>
  <c r="M355" i="3"/>
  <c r="M357" i="3"/>
  <c r="M359" i="3"/>
  <c r="M361" i="3"/>
  <c r="M363" i="3"/>
  <c r="M365" i="3"/>
  <c r="M367" i="3"/>
  <c r="M369" i="3"/>
  <c r="M371" i="3"/>
  <c r="M373" i="3"/>
  <c r="M375" i="3"/>
  <c r="M377" i="3"/>
  <c r="M379" i="3"/>
  <c r="M381" i="3"/>
  <c r="M383" i="3"/>
  <c r="M385" i="3"/>
  <c r="M387" i="3"/>
  <c r="M389" i="3"/>
  <c r="M391" i="3"/>
  <c r="M393" i="3"/>
  <c r="M395" i="3"/>
  <c r="M397" i="3"/>
  <c r="M399" i="3"/>
  <c r="M401" i="3"/>
  <c r="M403" i="3"/>
  <c r="M405" i="3"/>
  <c r="M407" i="3"/>
  <c r="M409" i="3"/>
  <c r="M411" i="3"/>
  <c r="M413" i="3"/>
  <c r="M415" i="3"/>
  <c r="M417" i="3"/>
  <c r="M419" i="3"/>
  <c r="M421" i="3"/>
  <c r="M423" i="3"/>
  <c r="M425" i="3"/>
  <c r="M427" i="3"/>
  <c r="M429" i="3"/>
  <c r="M431" i="3"/>
  <c r="M433" i="3"/>
  <c r="M435" i="3"/>
  <c r="M437" i="3"/>
  <c r="M439" i="3"/>
  <c r="M441" i="3"/>
  <c r="M443" i="3"/>
  <c r="M445" i="3"/>
  <c r="M447" i="3"/>
  <c r="M449" i="3"/>
  <c r="M451" i="3"/>
  <c r="M453" i="3"/>
  <c r="M455" i="3"/>
  <c r="M457" i="3"/>
  <c r="M459" i="3"/>
  <c r="M461" i="3"/>
  <c r="M463" i="3"/>
  <c r="M465" i="3"/>
  <c r="M467" i="3"/>
  <c r="M469" i="3"/>
  <c r="M471" i="3"/>
  <c r="M473" i="3"/>
  <c r="M475" i="3"/>
  <c r="M477" i="3"/>
  <c r="M479" i="3"/>
  <c r="M481" i="3"/>
  <c r="M483" i="3"/>
  <c r="M485" i="3"/>
  <c r="M487" i="3"/>
  <c r="M489" i="3"/>
  <c r="M491" i="3"/>
  <c r="M493" i="3"/>
  <c r="M495" i="3"/>
  <c r="M497" i="3"/>
  <c r="M499" i="3"/>
  <c r="M501" i="3"/>
  <c r="M503" i="3"/>
  <c r="M505" i="3"/>
  <c r="M507" i="3"/>
  <c r="M509" i="3"/>
  <c r="M511" i="3"/>
  <c r="M513" i="3"/>
  <c r="M515" i="3"/>
  <c r="M517" i="3"/>
  <c r="M519" i="3"/>
  <c r="M521" i="3"/>
  <c r="M523" i="3"/>
  <c r="M525" i="3"/>
  <c r="M527" i="3"/>
  <c r="M529" i="3"/>
  <c r="M531" i="3"/>
  <c r="M533" i="3"/>
  <c r="M535" i="3"/>
  <c r="M537" i="3"/>
  <c r="M539" i="3"/>
  <c r="M541" i="3"/>
  <c r="M543" i="3"/>
  <c r="M545" i="3"/>
  <c r="M547" i="3"/>
  <c r="M549" i="3"/>
  <c r="M551" i="3"/>
  <c r="M553" i="3"/>
  <c r="M555" i="3"/>
  <c r="M557" i="3"/>
  <c r="M559" i="3"/>
  <c r="M561" i="3"/>
  <c r="M563" i="3"/>
  <c r="M565" i="3"/>
  <c r="M567" i="3"/>
  <c r="M569" i="3"/>
  <c r="M571" i="3"/>
  <c r="M573" i="3"/>
  <c r="M575" i="3"/>
  <c r="M577" i="3"/>
  <c r="M579" i="3"/>
  <c r="M581" i="3"/>
  <c r="M583" i="3"/>
  <c r="M585" i="3"/>
  <c r="M587" i="3"/>
  <c r="M589" i="3"/>
  <c r="M591" i="3"/>
  <c r="M593" i="3"/>
  <c r="M595" i="3"/>
  <c r="M597" i="3"/>
  <c r="M599" i="3"/>
  <c r="M601" i="3"/>
  <c r="M603" i="3"/>
  <c r="M605" i="3"/>
  <c r="M607" i="3"/>
  <c r="M609" i="3"/>
  <c r="M611" i="3"/>
  <c r="M510" i="3"/>
  <c r="M514" i="3"/>
  <c r="M518" i="3"/>
  <c r="M522" i="3"/>
  <c r="M526" i="3"/>
  <c r="M530" i="3"/>
  <c r="M534" i="3"/>
  <c r="M538" i="3"/>
  <c r="M542" i="3"/>
  <c r="M546" i="3"/>
  <c r="M550" i="3"/>
  <c r="M554" i="3"/>
  <c r="M558" i="3"/>
  <c r="M562" i="3"/>
  <c r="M566" i="3"/>
  <c r="M570" i="3"/>
  <c r="M574" i="3"/>
  <c r="M578" i="3"/>
  <c r="M582" i="3"/>
  <c r="M586" i="3"/>
  <c r="M590" i="3"/>
  <c r="M594" i="3"/>
  <c r="M598" i="3"/>
  <c r="M602" i="3"/>
  <c r="M606" i="3"/>
  <c r="M610" i="3"/>
  <c r="M613" i="3"/>
  <c r="M615" i="3"/>
  <c r="M617" i="3"/>
  <c r="M619" i="3"/>
  <c r="M621" i="3"/>
  <c r="M623" i="3"/>
  <c r="M625" i="3"/>
  <c r="M627" i="3"/>
  <c r="M629" i="3"/>
  <c r="M631" i="3"/>
  <c r="M633" i="3"/>
  <c r="M635" i="3"/>
  <c r="M637" i="3"/>
  <c r="M639" i="3"/>
  <c r="M641" i="3"/>
  <c r="M643" i="3"/>
  <c r="M645" i="3"/>
  <c r="M647" i="3"/>
  <c r="M649" i="3"/>
  <c r="M651" i="3"/>
  <c r="M653" i="3"/>
  <c r="M655" i="3"/>
  <c r="M657" i="3"/>
  <c r="M659" i="3"/>
  <c r="M661" i="3"/>
  <c r="M663" i="3"/>
  <c r="M665" i="3"/>
  <c r="M667" i="3"/>
  <c r="M669" i="3"/>
  <c r="M671" i="3"/>
  <c r="M673" i="3"/>
  <c r="M675" i="3"/>
  <c r="M677" i="3"/>
  <c r="M679" i="3"/>
  <c r="M681" i="3"/>
  <c r="M683" i="3"/>
  <c r="M685" i="3"/>
  <c r="M687" i="3"/>
  <c r="M689" i="3"/>
  <c r="M691" i="3"/>
  <c r="M693" i="3"/>
  <c r="M695" i="3"/>
  <c r="M697" i="3"/>
  <c r="M699" i="3"/>
  <c r="M701" i="3"/>
  <c r="M703" i="3"/>
  <c r="M705" i="3"/>
  <c r="M707" i="3"/>
  <c r="M709" i="3"/>
  <c r="M711" i="3"/>
  <c r="M713" i="3"/>
  <c r="M715" i="3"/>
  <c r="M717" i="3"/>
  <c r="M719" i="3"/>
  <c r="M721" i="3"/>
  <c r="M723" i="3"/>
  <c r="M725" i="3"/>
  <c r="M727" i="3"/>
  <c r="M729" i="3"/>
  <c r="M731" i="3"/>
  <c r="M733" i="3"/>
  <c r="M735" i="3"/>
  <c r="M737" i="3"/>
  <c r="M739" i="3"/>
  <c r="M741" i="3"/>
  <c r="M743" i="3"/>
  <c r="M745" i="3"/>
  <c r="M747" i="3"/>
  <c r="M749" i="3"/>
  <c r="M751" i="3"/>
  <c r="M753" i="3"/>
  <c r="M755" i="3"/>
  <c r="M757" i="3"/>
  <c r="M759" i="3"/>
  <c r="M761" i="3"/>
  <c r="M763" i="3"/>
  <c r="M765" i="3"/>
  <c r="M767" i="3"/>
  <c r="M769" i="3"/>
  <c r="M771" i="3"/>
  <c r="M773" i="3"/>
  <c r="M775" i="3"/>
  <c r="M777" i="3"/>
  <c r="M779" i="3"/>
  <c r="M781" i="3"/>
  <c r="M783" i="3"/>
  <c r="M785" i="3"/>
  <c r="M787" i="3"/>
  <c r="M789" i="3"/>
  <c r="M791" i="3"/>
  <c r="M793" i="3"/>
  <c r="M795" i="3"/>
  <c r="M797" i="3"/>
  <c r="M799" i="3"/>
  <c r="M801" i="3"/>
  <c r="M803" i="3"/>
  <c r="M805" i="3"/>
  <c r="M807" i="3"/>
  <c r="M809" i="3"/>
  <c r="M811" i="3"/>
  <c r="M813" i="3"/>
  <c r="M815" i="3"/>
  <c r="M817" i="3"/>
  <c r="M819" i="3"/>
  <c r="M821" i="3"/>
  <c r="M823" i="3"/>
  <c r="M825" i="3"/>
  <c r="M827" i="3"/>
  <c r="M829" i="3"/>
  <c r="M831" i="3"/>
  <c r="M833" i="3"/>
  <c r="M835" i="3"/>
  <c r="M837" i="3"/>
  <c r="M839" i="3"/>
  <c r="M841" i="3"/>
  <c r="M843" i="3"/>
  <c r="M845" i="3"/>
  <c r="M847" i="3"/>
  <c r="M849" i="3"/>
  <c r="M851" i="3"/>
  <c r="M853" i="3"/>
  <c r="M855" i="3"/>
  <c r="M857" i="3"/>
  <c r="M859" i="3"/>
  <c r="M861" i="3"/>
  <c r="M863" i="3"/>
  <c r="M865" i="3"/>
  <c r="M867" i="3"/>
  <c r="M869" i="3"/>
  <c r="M871" i="3"/>
  <c r="M873" i="3"/>
  <c r="M875" i="3"/>
  <c r="M877" i="3"/>
  <c r="M879" i="3"/>
  <c r="M881" i="3"/>
  <c r="M883" i="3"/>
  <c r="M885" i="3"/>
  <c r="M887" i="3"/>
  <c r="M889" i="3"/>
  <c r="M891" i="3"/>
  <c r="M893" i="3"/>
  <c r="M895" i="3"/>
  <c r="M897" i="3"/>
  <c r="M899" i="3"/>
  <c r="M901" i="3"/>
  <c r="M903" i="3"/>
  <c r="M905" i="3"/>
  <c r="M907" i="3"/>
  <c r="M909" i="3"/>
  <c r="M911" i="3"/>
  <c r="M913" i="3"/>
  <c r="M915" i="3"/>
  <c r="M917" i="3"/>
  <c r="M919" i="3"/>
  <c r="M921" i="3"/>
  <c r="M923" i="3"/>
  <c r="M925" i="3"/>
  <c r="M927" i="3"/>
  <c r="M929" i="3"/>
  <c r="M931" i="3"/>
  <c r="M933" i="3"/>
  <c r="M935" i="3"/>
  <c r="M937" i="3"/>
  <c r="M939" i="3"/>
  <c r="M941" i="3"/>
  <c r="M943" i="3"/>
  <c r="M945" i="3"/>
  <c r="M947" i="3"/>
  <c r="M949" i="3"/>
  <c r="M951" i="3"/>
  <c r="M953" i="3"/>
  <c r="M955" i="3"/>
  <c r="M957" i="3"/>
  <c r="M959" i="3"/>
  <c r="M961" i="3"/>
  <c r="M963" i="3"/>
  <c r="M965" i="3"/>
  <c r="M967" i="3"/>
  <c r="M969" i="3"/>
  <c r="M971" i="3"/>
  <c r="M973" i="3"/>
  <c r="M975" i="3"/>
  <c r="M977" i="3"/>
  <c r="M979" i="3"/>
  <c r="M981" i="3"/>
  <c r="M983" i="3"/>
  <c r="M985" i="3"/>
  <c r="M987" i="3"/>
  <c r="M989" i="3"/>
  <c r="M991" i="3"/>
  <c r="M993" i="3"/>
  <c r="M995" i="3"/>
  <c r="M997" i="3"/>
  <c r="M512" i="3"/>
  <c r="M516" i="3"/>
  <c r="M520" i="3"/>
  <c r="M524" i="3"/>
  <c r="M528" i="3"/>
  <c r="M532" i="3"/>
  <c r="M536" i="3"/>
  <c r="M540" i="3"/>
  <c r="M544" i="3"/>
  <c r="M548" i="3"/>
  <c r="M552" i="3"/>
  <c r="M556" i="3"/>
  <c r="M560" i="3"/>
  <c r="M564" i="3"/>
  <c r="M568" i="3"/>
  <c r="M572" i="3"/>
  <c r="M576" i="3"/>
  <c r="M580" i="3"/>
  <c r="M584" i="3"/>
  <c r="M588" i="3"/>
  <c r="M592" i="3"/>
  <c r="M596" i="3"/>
  <c r="M600" i="3"/>
  <c r="M604" i="3"/>
  <c r="M608" i="3"/>
  <c r="M612" i="3"/>
  <c r="M614" i="3"/>
  <c r="M616" i="3"/>
  <c r="M618" i="3"/>
  <c r="M620" i="3"/>
  <c r="M622" i="3"/>
  <c r="M624" i="3"/>
  <c r="M626" i="3"/>
  <c r="M628" i="3"/>
  <c r="M630" i="3"/>
  <c r="M632" i="3"/>
  <c r="M634" i="3"/>
  <c r="M636" i="3"/>
  <c r="M638" i="3"/>
  <c r="M640" i="3"/>
  <c r="M642" i="3"/>
  <c r="M644" i="3"/>
  <c r="M646" i="3"/>
  <c r="M648" i="3"/>
  <c r="M650" i="3"/>
  <c r="M652" i="3"/>
  <c r="M654" i="3"/>
  <c r="M656" i="3"/>
  <c r="M658" i="3"/>
  <c r="M660" i="3"/>
  <c r="M662" i="3"/>
  <c r="M664" i="3"/>
  <c r="M666" i="3"/>
  <c r="M668" i="3"/>
  <c r="M670" i="3"/>
  <c r="M672" i="3"/>
  <c r="M674" i="3"/>
  <c r="M676" i="3"/>
  <c r="M678" i="3"/>
  <c r="M680" i="3"/>
  <c r="M682" i="3"/>
  <c r="M684" i="3"/>
  <c r="M686" i="3"/>
  <c r="M688" i="3"/>
  <c r="M690" i="3"/>
  <c r="M692" i="3"/>
  <c r="M694" i="3"/>
  <c r="M696" i="3"/>
  <c r="M698" i="3"/>
  <c r="M700" i="3"/>
  <c r="M702" i="3"/>
  <c r="M704" i="3"/>
  <c r="M706" i="3"/>
  <c r="M708" i="3"/>
  <c r="M710" i="3"/>
  <c r="M712" i="3"/>
  <c r="M714" i="3"/>
  <c r="M716" i="3"/>
  <c r="M718" i="3"/>
  <c r="M720" i="3"/>
  <c r="M722" i="3"/>
  <c r="M724" i="3"/>
  <c r="M726" i="3"/>
  <c r="M728" i="3"/>
  <c r="M730" i="3"/>
  <c r="M732" i="3"/>
  <c r="M734" i="3"/>
  <c r="M736" i="3"/>
  <c r="M738" i="3"/>
  <c r="M740" i="3"/>
  <c r="M742" i="3"/>
  <c r="M744" i="3"/>
  <c r="M746" i="3"/>
  <c r="M748" i="3"/>
  <c r="M750" i="3"/>
  <c r="M752" i="3"/>
  <c r="M754" i="3"/>
  <c r="M756" i="3"/>
  <c r="M758" i="3"/>
  <c r="M760" i="3"/>
  <c r="M762" i="3"/>
  <c r="M764" i="3"/>
  <c r="M766" i="3"/>
  <c r="M768" i="3"/>
  <c r="M770" i="3"/>
  <c r="M772" i="3"/>
  <c r="M774" i="3"/>
  <c r="M776" i="3"/>
  <c r="M778" i="3"/>
  <c r="M780" i="3"/>
  <c r="M782" i="3"/>
  <c r="M784" i="3"/>
  <c r="M786" i="3"/>
  <c r="M788" i="3"/>
  <c r="M790" i="3"/>
  <c r="M792" i="3"/>
  <c r="M794" i="3"/>
  <c r="M796" i="3"/>
  <c r="M798" i="3"/>
  <c r="M800" i="3"/>
  <c r="M802" i="3"/>
  <c r="M804" i="3"/>
  <c r="M806" i="3"/>
  <c r="M808" i="3"/>
  <c r="M810" i="3"/>
  <c r="M812" i="3"/>
  <c r="M814" i="3"/>
  <c r="M816" i="3"/>
  <c r="M818" i="3"/>
  <c r="M820" i="3"/>
  <c r="M822" i="3"/>
  <c r="M824" i="3"/>
  <c r="M826" i="3"/>
  <c r="M828" i="3"/>
  <c r="M830" i="3"/>
  <c r="M832" i="3"/>
  <c r="M834" i="3"/>
  <c r="M836" i="3"/>
  <c r="M838" i="3"/>
  <c r="M840" i="3"/>
  <c r="M842" i="3"/>
  <c r="M844" i="3"/>
  <c r="M846" i="3"/>
  <c r="M848" i="3"/>
  <c r="M850" i="3"/>
  <c r="M852" i="3"/>
  <c r="M854" i="3"/>
  <c r="M856" i="3"/>
  <c r="M858" i="3"/>
  <c r="M860" i="3"/>
  <c r="M862" i="3"/>
  <c r="M864" i="3"/>
  <c r="M866" i="3"/>
  <c r="M868" i="3"/>
  <c r="M870" i="3"/>
  <c r="M872" i="3"/>
  <c r="M874" i="3"/>
  <c r="M876" i="3"/>
  <c r="M878" i="3"/>
  <c r="M880" i="3"/>
  <c r="M882" i="3"/>
  <c r="M884" i="3"/>
  <c r="M886" i="3"/>
  <c r="M888" i="3"/>
  <c r="M890" i="3"/>
  <c r="M892" i="3"/>
  <c r="M894" i="3"/>
  <c r="M896" i="3"/>
  <c r="M898" i="3"/>
  <c r="M900" i="3"/>
  <c r="M902" i="3"/>
  <c r="M904" i="3"/>
  <c r="M906" i="3"/>
  <c r="M908" i="3"/>
  <c r="M910" i="3"/>
  <c r="M912" i="3"/>
  <c r="M914" i="3"/>
  <c r="M916" i="3"/>
  <c r="M918" i="3"/>
  <c r="M920" i="3"/>
  <c r="M922" i="3"/>
  <c r="M924" i="3"/>
  <c r="M926" i="3"/>
  <c r="M928" i="3"/>
  <c r="M930" i="3"/>
  <c r="M932" i="3"/>
  <c r="M934" i="3"/>
  <c r="M936" i="3"/>
  <c r="M938" i="3"/>
  <c r="M940" i="3"/>
  <c r="M942" i="3"/>
  <c r="M944" i="3"/>
  <c r="M946" i="3"/>
  <c r="M948" i="3"/>
  <c r="M950" i="3"/>
  <c r="M952" i="3"/>
  <c r="M954" i="3"/>
  <c r="M956" i="3"/>
  <c r="M958" i="3"/>
  <c r="M960" i="3"/>
  <c r="M962" i="3"/>
  <c r="M964" i="3"/>
  <c r="M966" i="3"/>
  <c r="M968" i="3"/>
  <c r="M970" i="3"/>
  <c r="M972" i="3"/>
  <c r="M974" i="3"/>
  <c r="M976" i="3"/>
  <c r="M978" i="3"/>
  <c r="M980" i="3"/>
  <c r="M982" i="3"/>
  <c r="M984" i="3"/>
  <c r="M986" i="3"/>
  <c r="M988" i="3"/>
  <c r="M990" i="3"/>
  <c r="M992" i="3"/>
  <c r="M994" i="3"/>
  <c r="M996" i="3"/>
  <c r="M998" i="3"/>
  <c r="M1000" i="3"/>
  <c r="M1002" i="3"/>
  <c r="M1004" i="3"/>
  <c r="M1006" i="3"/>
  <c r="M1008" i="3"/>
  <c r="M1010" i="3"/>
  <c r="M1012" i="3"/>
  <c r="M1014" i="3"/>
  <c r="M1016" i="3"/>
  <c r="M1018" i="3"/>
  <c r="M1020" i="3"/>
  <c r="M1022" i="3"/>
  <c r="M1024" i="3"/>
  <c r="M1026" i="3"/>
  <c r="M1028" i="3"/>
  <c r="M1030" i="3"/>
  <c r="M1032" i="3"/>
  <c r="M1034" i="3"/>
  <c r="M1036" i="3"/>
  <c r="M1038" i="3"/>
  <c r="M1040" i="3"/>
  <c r="M1042" i="3"/>
  <c r="M1044" i="3"/>
  <c r="M1046" i="3"/>
  <c r="M1048" i="3"/>
  <c r="M1050" i="3"/>
  <c r="M1052" i="3"/>
  <c r="M1054" i="3"/>
  <c r="M1056" i="3"/>
  <c r="M1058" i="3"/>
  <c r="M1060" i="3"/>
  <c r="M1062" i="3"/>
  <c r="M1064" i="3"/>
  <c r="M1066" i="3"/>
  <c r="M1068" i="3"/>
  <c r="M1070" i="3"/>
  <c r="M999" i="3"/>
  <c r="M1003" i="3"/>
  <c r="M1007" i="3"/>
  <c r="M1011" i="3"/>
  <c r="M1015" i="3"/>
  <c r="M1019" i="3"/>
  <c r="M1023" i="3"/>
  <c r="M1027" i="3"/>
  <c r="M1031" i="3"/>
  <c r="M1035" i="3"/>
  <c r="M1039" i="3"/>
  <c r="M1043" i="3"/>
  <c r="M1047" i="3"/>
  <c r="M1051" i="3"/>
  <c r="M1055" i="3"/>
  <c r="M1059" i="3"/>
  <c r="M1063" i="3"/>
  <c r="M1067" i="3"/>
  <c r="M1071" i="3"/>
  <c r="M1073" i="3"/>
  <c r="M1075" i="3"/>
  <c r="M1077" i="3"/>
  <c r="M1079" i="3"/>
  <c r="M1081" i="3"/>
  <c r="M1083" i="3"/>
  <c r="M1085" i="3"/>
  <c r="M1087" i="3"/>
  <c r="M1089" i="3"/>
  <c r="M1091" i="3"/>
  <c r="M1093" i="3"/>
  <c r="M1095" i="3"/>
  <c r="M1097" i="3"/>
  <c r="M1099" i="3"/>
  <c r="M1101" i="3"/>
  <c r="M1103" i="3"/>
  <c r="M1105" i="3"/>
  <c r="M1107" i="3"/>
  <c r="M1109" i="3"/>
  <c r="M1111" i="3"/>
  <c r="M1113" i="3"/>
  <c r="M1115" i="3"/>
  <c r="M1117" i="3"/>
  <c r="M1119" i="3"/>
  <c r="M1121" i="3"/>
  <c r="M1123" i="3"/>
  <c r="M1125" i="3"/>
  <c r="M1127" i="3"/>
  <c r="M1129" i="3"/>
  <c r="M1131" i="3"/>
  <c r="M1133" i="3"/>
  <c r="M1135" i="3"/>
  <c r="M1137" i="3"/>
  <c r="M1139" i="3"/>
  <c r="M1141" i="3"/>
  <c r="M1143" i="3"/>
  <c r="M1145" i="3"/>
  <c r="M1147" i="3"/>
  <c r="M1149" i="3"/>
  <c r="M1151" i="3"/>
  <c r="M1153" i="3"/>
  <c r="M1155" i="3"/>
  <c r="M1157" i="3"/>
  <c r="M1159" i="3"/>
  <c r="M1161" i="3"/>
  <c r="M1163" i="3"/>
  <c r="M1165" i="3"/>
  <c r="M1167" i="3"/>
  <c r="M1169" i="3"/>
  <c r="M1171" i="3"/>
  <c r="M1173" i="3"/>
  <c r="M1175" i="3"/>
  <c r="M1177" i="3"/>
  <c r="M1179" i="3"/>
  <c r="M1181" i="3"/>
  <c r="M1183" i="3"/>
  <c r="M1185" i="3"/>
  <c r="M1187" i="3"/>
  <c r="M1189" i="3"/>
  <c r="M1191" i="3"/>
  <c r="M1193" i="3"/>
  <c r="M1195" i="3"/>
  <c r="M1197" i="3"/>
  <c r="M1199" i="3"/>
  <c r="M1201" i="3"/>
  <c r="M1203" i="3"/>
  <c r="M1205" i="3"/>
  <c r="M1207" i="3"/>
  <c r="M1209" i="3"/>
  <c r="M1211" i="3"/>
  <c r="M1213" i="3"/>
  <c r="M1215" i="3"/>
  <c r="M1217" i="3"/>
  <c r="M1219" i="3"/>
  <c r="M1221" i="3"/>
  <c r="M1223" i="3"/>
  <c r="M1225" i="3"/>
  <c r="M1227" i="3"/>
  <c r="M1229" i="3"/>
  <c r="M1231" i="3"/>
  <c r="M1233" i="3"/>
  <c r="M1235" i="3"/>
  <c r="M1237" i="3"/>
  <c r="M1239" i="3"/>
  <c r="M1241" i="3"/>
  <c r="M1001" i="3"/>
  <c r="M1005" i="3"/>
  <c r="M1009" i="3"/>
  <c r="M1013" i="3"/>
  <c r="M1017" i="3"/>
  <c r="M1021" i="3"/>
  <c r="M1025" i="3"/>
  <c r="M1029" i="3"/>
  <c r="M1033" i="3"/>
  <c r="M1037" i="3"/>
  <c r="M1041" i="3"/>
  <c r="M1045" i="3"/>
  <c r="M1049" i="3"/>
  <c r="M1053" i="3"/>
  <c r="M1057" i="3"/>
  <c r="M1061" i="3"/>
  <c r="M1065" i="3"/>
  <c r="M1069" i="3"/>
  <c r="M1072" i="3"/>
  <c r="M1074" i="3"/>
  <c r="M1076" i="3"/>
  <c r="M1078" i="3"/>
  <c r="M1080" i="3"/>
  <c r="M1082" i="3"/>
  <c r="M1084" i="3"/>
  <c r="M1086" i="3"/>
  <c r="M1088" i="3"/>
  <c r="M1090" i="3"/>
  <c r="M1092" i="3"/>
  <c r="M1094" i="3"/>
  <c r="M1096" i="3"/>
  <c r="M1098" i="3"/>
  <c r="M1100" i="3"/>
  <c r="M1102" i="3"/>
  <c r="M1104" i="3"/>
  <c r="M1106" i="3"/>
  <c r="M1108" i="3"/>
  <c r="M1110" i="3"/>
  <c r="M1112" i="3"/>
  <c r="M1114" i="3"/>
  <c r="M1116" i="3"/>
  <c r="M1118" i="3"/>
  <c r="M1120" i="3"/>
  <c r="M1122" i="3"/>
  <c r="M1124" i="3"/>
  <c r="M1126" i="3"/>
  <c r="M1128" i="3"/>
  <c r="M1130" i="3"/>
  <c r="M1132" i="3"/>
  <c r="M1134" i="3"/>
  <c r="M1136" i="3"/>
  <c r="M1138" i="3"/>
  <c r="M1140" i="3"/>
  <c r="M1142" i="3"/>
  <c r="M1144" i="3"/>
  <c r="M1146" i="3"/>
  <c r="M1148" i="3"/>
  <c r="M1150" i="3"/>
  <c r="M1152" i="3"/>
  <c r="M1154" i="3"/>
  <c r="M1156" i="3"/>
  <c r="M1158" i="3"/>
  <c r="M1160" i="3"/>
  <c r="M1162" i="3"/>
  <c r="M1164" i="3"/>
  <c r="M1166" i="3"/>
  <c r="M1168" i="3"/>
  <c r="M1170" i="3"/>
  <c r="M1172" i="3"/>
  <c r="M1174" i="3"/>
  <c r="M1176" i="3"/>
  <c r="M1178" i="3"/>
  <c r="M1180" i="3"/>
  <c r="M1182" i="3"/>
  <c r="M1184" i="3"/>
  <c r="M1186" i="3"/>
  <c r="M1188" i="3"/>
  <c r="M1190" i="3"/>
  <c r="M1192" i="3"/>
  <c r="M1194" i="3"/>
  <c r="M1196" i="3"/>
  <c r="M1198" i="3"/>
  <c r="M1200" i="3"/>
  <c r="M1202" i="3"/>
  <c r="M1204" i="3"/>
  <c r="M1206" i="3"/>
  <c r="M1208" i="3"/>
  <c r="M1210" i="3"/>
  <c r="M1212" i="3"/>
  <c r="M1214" i="3"/>
  <c r="M1216" i="3"/>
  <c r="M1218" i="3"/>
  <c r="M1220" i="3"/>
  <c r="M1222" i="3"/>
  <c r="M1224" i="3"/>
  <c r="M1226" i="3"/>
  <c r="M1228" i="3"/>
  <c r="M1230" i="3"/>
  <c r="M1232" i="3"/>
  <c r="M1234" i="3"/>
  <c r="M1236" i="3"/>
  <c r="M1238" i="3"/>
  <c r="M1240" i="3"/>
  <c r="M1242" i="3"/>
  <c r="M23" i="3"/>
  <c r="M25" i="3"/>
  <c r="M27" i="3"/>
  <c r="M29" i="3"/>
  <c r="M26" i="3"/>
  <c r="M28" i="3"/>
  <c r="M30" i="3"/>
  <c r="M24" i="3"/>
  <c r="I1234" i="3" l="1"/>
  <c r="J1234" i="3" s="1"/>
  <c r="I1200" i="3"/>
  <c r="J1200" i="3" s="1"/>
  <c r="L1200" i="3" s="1"/>
  <c r="I1193" i="3"/>
  <c r="J1193" i="3" s="1"/>
  <c r="I1185" i="3"/>
  <c r="J1185" i="3" s="1"/>
  <c r="L1185" i="3" s="1"/>
  <c r="I1177" i="3"/>
  <c r="J1177" i="3" s="1"/>
  <c r="I1169" i="3"/>
  <c r="J1169" i="3" s="1"/>
  <c r="L1169" i="3" s="1"/>
  <c r="I1161" i="3"/>
  <c r="J1161" i="3" s="1"/>
  <c r="I1153" i="3"/>
  <c r="J1153" i="3" s="1"/>
  <c r="L1153" i="3" s="1"/>
  <c r="I1145" i="3"/>
  <c r="J1145" i="3" s="1"/>
  <c r="I1137" i="3"/>
  <c r="J1137" i="3" s="1"/>
  <c r="L1137" i="3" s="1"/>
  <c r="I1129" i="3"/>
  <c r="J1129" i="3" s="1"/>
  <c r="I1121" i="3"/>
  <c r="J1121" i="3" s="1"/>
  <c r="L1121" i="3" s="1"/>
  <c r="I1113" i="3"/>
  <c r="J1113" i="3" s="1"/>
  <c r="I1105" i="3"/>
  <c r="J1105" i="3" s="1"/>
  <c r="L1105" i="3" s="1"/>
  <c r="I1097" i="3"/>
  <c r="J1097" i="3" s="1"/>
  <c r="I1089" i="3"/>
  <c r="J1089" i="3" s="1"/>
  <c r="L1089" i="3" s="1"/>
  <c r="I1081" i="3"/>
  <c r="J1081" i="3" s="1"/>
  <c r="I1073" i="3"/>
  <c r="J1073" i="3" s="1"/>
  <c r="L1073" i="3" s="1"/>
  <c r="I1065" i="3"/>
  <c r="J1065" i="3" s="1"/>
  <c r="I1057" i="3"/>
  <c r="J1057" i="3" s="1"/>
  <c r="L1057" i="3" s="1"/>
  <c r="I1049" i="3"/>
  <c r="J1049" i="3" s="1"/>
  <c r="I1041" i="3"/>
  <c r="J1041" i="3" s="1"/>
  <c r="L1041" i="3" s="1"/>
  <c r="I1033" i="3"/>
  <c r="J1033" i="3" s="1"/>
  <c r="I1025" i="3"/>
  <c r="J1025" i="3" s="1"/>
  <c r="L1025" i="3" s="1"/>
  <c r="I1017" i="3"/>
  <c r="J1017" i="3" s="1"/>
  <c r="I1009" i="3"/>
  <c r="J1009" i="3" s="1"/>
  <c r="L1009" i="3" s="1"/>
  <c r="I1001" i="3"/>
  <c r="J1001" i="3" s="1"/>
  <c r="I993" i="3"/>
  <c r="J993" i="3" s="1"/>
  <c r="L993" i="3" s="1"/>
  <c r="I985" i="3"/>
  <c r="J985" i="3" s="1"/>
  <c r="I977" i="3"/>
  <c r="J977" i="3" s="1"/>
  <c r="L977" i="3" s="1"/>
  <c r="I965" i="3"/>
  <c r="J965" i="3" s="1"/>
  <c r="I949" i="3"/>
  <c r="J949" i="3" s="1"/>
  <c r="L949" i="3" s="1"/>
  <c r="I947" i="3"/>
  <c r="J947" i="3" s="1"/>
  <c r="I933" i="3"/>
  <c r="J933" i="3" s="1"/>
  <c r="L933" i="3" s="1"/>
  <c r="I931" i="3"/>
  <c r="J931" i="3" s="1"/>
  <c r="I917" i="3"/>
  <c r="J917" i="3" s="1"/>
  <c r="L917" i="3" s="1"/>
  <c r="I915" i="3"/>
  <c r="J915" i="3" s="1"/>
  <c r="I901" i="3"/>
  <c r="J901" i="3" s="1"/>
  <c r="L901" i="3" s="1"/>
  <c r="I899" i="3"/>
  <c r="J899" i="3" s="1"/>
  <c r="I883" i="3"/>
  <c r="J883" i="3" s="1"/>
  <c r="L883" i="3" s="1"/>
  <c r="I1242" i="3"/>
  <c r="J1242" i="3" s="1"/>
  <c r="I1226" i="3"/>
  <c r="J1226" i="3" s="1"/>
  <c r="I1210" i="3"/>
  <c r="J1210" i="3" s="1"/>
  <c r="I1191" i="3"/>
  <c r="J1191" i="3" s="1"/>
  <c r="I1204" i="3"/>
  <c r="J1204" i="3" s="1"/>
  <c r="I1197" i="3"/>
  <c r="J1197" i="3" s="1"/>
  <c r="L1197" i="3" s="1"/>
  <c r="I1175" i="3"/>
  <c r="J1175" i="3" s="1"/>
  <c r="I1189" i="3"/>
  <c r="J1189" i="3" s="1"/>
  <c r="L1189" i="3" s="1"/>
  <c r="I1181" i="3"/>
  <c r="J1181" i="3" s="1"/>
  <c r="I1173" i="3"/>
  <c r="J1173" i="3" s="1"/>
  <c r="L1173" i="3" s="1"/>
  <c r="I1165" i="3"/>
  <c r="J1165" i="3" s="1"/>
  <c r="I1157" i="3"/>
  <c r="J1157" i="3" s="1"/>
  <c r="L1157" i="3" s="1"/>
  <c r="I1149" i="3"/>
  <c r="J1149" i="3" s="1"/>
  <c r="I1141" i="3"/>
  <c r="J1141" i="3" s="1"/>
  <c r="L1141" i="3" s="1"/>
  <c r="I1133" i="3"/>
  <c r="J1133" i="3" s="1"/>
  <c r="I1125" i="3"/>
  <c r="J1125" i="3" s="1"/>
  <c r="L1125" i="3" s="1"/>
  <c r="I1117" i="3"/>
  <c r="J1117" i="3" s="1"/>
  <c r="I1109" i="3"/>
  <c r="J1109" i="3" s="1"/>
  <c r="L1109" i="3" s="1"/>
  <c r="I1101" i="3"/>
  <c r="J1101" i="3" s="1"/>
  <c r="I1093" i="3"/>
  <c r="J1093" i="3" s="1"/>
  <c r="L1093" i="3" s="1"/>
  <c r="I1071" i="3"/>
  <c r="J1071" i="3" s="1"/>
  <c r="I1085" i="3"/>
  <c r="J1085" i="3" s="1"/>
  <c r="L1085" i="3" s="1"/>
  <c r="I1063" i="3"/>
  <c r="J1063" i="3" s="1"/>
  <c r="I1077" i="3"/>
  <c r="J1077" i="3" s="1"/>
  <c r="L1077" i="3" s="1"/>
  <c r="I1055" i="3"/>
  <c r="J1055" i="3" s="1"/>
  <c r="I1069" i="3"/>
  <c r="J1069" i="3" s="1"/>
  <c r="L1069" i="3" s="1"/>
  <c r="I1047" i="3"/>
  <c r="J1047" i="3" s="1"/>
  <c r="I1061" i="3"/>
  <c r="J1061" i="3" s="1"/>
  <c r="L1061" i="3" s="1"/>
  <c r="I1039" i="3"/>
  <c r="J1039" i="3" s="1"/>
  <c r="I1053" i="3"/>
  <c r="J1053" i="3" s="1"/>
  <c r="I1031" i="3"/>
  <c r="J1031" i="3" s="1"/>
  <c r="I1045" i="3"/>
  <c r="J1045" i="3" s="1"/>
  <c r="I1023" i="3"/>
  <c r="J1023" i="3" s="1"/>
  <c r="I1037" i="3"/>
  <c r="J1037" i="3" s="1"/>
  <c r="L1037" i="3" s="1"/>
  <c r="I1015" i="3"/>
  <c r="J1015" i="3" s="1"/>
  <c r="I1029" i="3"/>
  <c r="J1029" i="3" s="1"/>
  <c r="L1029" i="3" s="1"/>
  <c r="I1007" i="3"/>
  <c r="J1007" i="3" s="1"/>
  <c r="I1021" i="3"/>
  <c r="J1021" i="3" s="1"/>
  <c r="L1021" i="3" s="1"/>
  <c r="I999" i="3"/>
  <c r="J999" i="3" s="1"/>
  <c r="I1013" i="3"/>
  <c r="J1013" i="3" s="1"/>
  <c r="L1013" i="3" s="1"/>
  <c r="I991" i="3"/>
  <c r="J991" i="3" s="1"/>
  <c r="I1005" i="3"/>
  <c r="J1005" i="3" s="1"/>
  <c r="L1005" i="3" s="1"/>
  <c r="I997" i="3"/>
  <c r="J997" i="3" s="1"/>
  <c r="I989" i="3"/>
  <c r="J989" i="3" s="1"/>
  <c r="L989" i="3" s="1"/>
  <c r="I981" i="3"/>
  <c r="J981" i="3" s="1"/>
  <c r="I973" i="3"/>
  <c r="J973" i="3" s="1"/>
  <c r="L973" i="3" s="1"/>
  <c r="I951" i="3"/>
  <c r="J951" i="3" s="1"/>
  <c r="I957" i="3"/>
  <c r="J957" i="3" s="1"/>
  <c r="L957" i="3" s="1"/>
  <c r="I941" i="3"/>
  <c r="J941" i="3" s="1"/>
  <c r="I939" i="3"/>
  <c r="J939" i="3" s="1"/>
  <c r="L939" i="3" s="1"/>
  <c r="I919" i="3"/>
  <c r="J919" i="3" s="1"/>
  <c r="I925" i="3"/>
  <c r="J925" i="3" s="1"/>
  <c r="L925" i="3" s="1"/>
  <c r="I923" i="3"/>
  <c r="J923" i="3" s="1"/>
  <c r="I903" i="3"/>
  <c r="J903" i="3" s="1"/>
  <c r="I909" i="3"/>
  <c r="J909" i="3" s="1"/>
  <c r="I907" i="3"/>
  <c r="J907" i="3" s="1"/>
  <c r="L907" i="3" s="1"/>
  <c r="I887" i="3"/>
  <c r="J887" i="3" s="1"/>
  <c r="I893" i="3"/>
  <c r="J893" i="3" s="1"/>
  <c r="L893" i="3" s="1"/>
  <c r="I875" i="3"/>
  <c r="J875" i="3" s="1"/>
  <c r="I969" i="3"/>
  <c r="J969" i="3" s="1"/>
  <c r="L969" i="3" s="1"/>
  <c r="I961" i="3"/>
  <c r="J961" i="3" s="1"/>
  <c r="I953" i="3"/>
  <c r="J953" i="3" s="1"/>
  <c r="L953" i="3" s="1"/>
  <c r="I945" i="3"/>
  <c r="J945" i="3" s="1"/>
  <c r="I937" i="3"/>
  <c r="J937" i="3" s="1"/>
  <c r="L937" i="3" s="1"/>
  <c r="I929" i="3"/>
  <c r="J929" i="3" s="1"/>
  <c r="I921" i="3"/>
  <c r="J921" i="3" s="1"/>
  <c r="L921" i="3" s="1"/>
  <c r="I913" i="3"/>
  <c r="J913" i="3" s="1"/>
  <c r="I891" i="3"/>
  <c r="J891" i="3" s="1"/>
  <c r="L891" i="3" s="1"/>
  <c r="I905" i="3"/>
  <c r="J905" i="3" s="1"/>
  <c r="I897" i="3"/>
  <c r="J897" i="3" s="1"/>
  <c r="L897" i="3" s="1"/>
  <c r="I889" i="3"/>
  <c r="J889" i="3" s="1"/>
  <c r="I881" i="3"/>
  <c r="J881" i="3" s="1"/>
  <c r="L881" i="3" s="1"/>
  <c r="I873" i="3"/>
  <c r="J873" i="3" s="1"/>
  <c r="I865" i="3"/>
  <c r="J865" i="3" s="1"/>
  <c r="L865" i="3" s="1"/>
  <c r="I857" i="3"/>
  <c r="J857" i="3" s="1"/>
  <c r="I850" i="3"/>
  <c r="J850" i="3" s="1"/>
  <c r="L850" i="3" s="1"/>
  <c r="I842" i="3"/>
  <c r="J842" i="3" s="1"/>
  <c r="I834" i="3"/>
  <c r="J834" i="3" s="1"/>
  <c r="L834" i="3" s="1"/>
  <c r="I826" i="3"/>
  <c r="J826" i="3" s="1"/>
  <c r="I818" i="3"/>
  <c r="J818" i="3" s="1"/>
  <c r="L818" i="3" s="1"/>
  <c r="I810" i="3"/>
  <c r="J810" i="3" s="1"/>
  <c r="I802" i="3"/>
  <c r="J802" i="3" s="1"/>
  <c r="L802" i="3" s="1"/>
  <c r="I794" i="3"/>
  <c r="J794" i="3" s="1"/>
  <c r="I786" i="3"/>
  <c r="J786" i="3" s="1"/>
  <c r="L786" i="3" s="1"/>
  <c r="I778" i="3"/>
  <c r="J778" i="3" s="1"/>
  <c r="I770" i="3"/>
  <c r="J770" i="3" s="1"/>
  <c r="L770" i="3" s="1"/>
  <c r="I762" i="3"/>
  <c r="J762" i="3" s="1"/>
  <c r="I754" i="3"/>
  <c r="J754" i="3" s="1"/>
  <c r="L754" i="3" s="1"/>
  <c r="I746" i="3"/>
  <c r="J746" i="3" s="1"/>
  <c r="I738" i="3"/>
  <c r="J738" i="3" s="1"/>
  <c r="L738" i="3" s="1"/>
  <c r="I730" i="3"/>
  <c r="J730" i="3" s="1"/>
  <c r="I722" i="3"/>
  <c r="J722" i="3" s="1"/>
  <c r="L722" i="3" s="1"/>
  <c r="I714" i="3"/>
  <c r="J714" i="3" s="1"/>
  <c r="I706" i="3"/>
  <c r="J706" i="3" s="1"/>
  <c r="L706" i="3" s="1"/>
  <c r="I698" i="3"/>
  <c r="J698" i="3" s="1"/>
  <c r="I690" i="3"/>
  <c r="J690" i="3" s="1"/>
  <c r="L690" i="3" s="1"/>
  <c r="I682" i="3"/>
  <c r="J682" i="3" s="1"/>
  <c r="I674" i="3"/>
  <c r="J674" i="3" s="1"/>
  <c r="I666" i="3"/>
  <c r="J666" i="3" s="1"/>
  <c r="I658" i="3"/>
  <c r="J658" i="3" s="1"/>
  <c r="I650" i="3"/>
  <c r="J650" i="3" s="1"/>
  <c r="I642" i="3"/>
  <c r="J642" i="3" s="1"/>
  <c r="I634" i="3"/>
  <c r="J634" i="3" s="1"/>
  <c r="I626" i="3"/>
  <c r="J626" i="3" s="1"/>
  <c r="I618" i="3"/>
  <c r="J618" i="3" s="1"/>
  <c r="I610" i="3"/>
  <c r="J610" i="3" s="1"/>
  <c r="L610" i="3" s="1"/>
  <c r="I594" i="3"/>
  <c r="J594" i="3" s="1"/>
  <c r="I590" i="3"/>
  <c r="J590" i="3" s="1"/>
  <c r="L590" i="3" s="1"/>
  <c r="I458" i="3"/>
  <c r="J458" i="3" s="1"/>
  <c r="I450" i="3"/>
  <c r="J450" i="3" s="1"/>
  <c r="I442" i="3"/>
  <c r="J442" i="3" s="1"/>
  <c r="I434" i="3"/>
  <c r="J434" i="3" s="1"/>
  <c r="I426" i="3"/>
  <c r="J426" i="3" s="1"/>
  <c r="I418" i="3"/>
  <c r="J418" i="3" s="1"/>
  <c r="I410" i="3"/>
  <c r="J410" i="3" s="1"/>
  <c r="I402" i="3"/>
  <c r="J402" i="3" s="1"/>
  <c r="I394" i="3"/>
  <c r="J394" i="3" s="1"/>
  <c r="I386" i="3"/>
  <c r="J386" i="3" s="1"/>
  <c r="I378" i="3"/>
  <c r="J378" i="3" s="1"/>
  <c r="I370" i="3"/>
  <c r="J370" i="3" s="1"/>
  <c r="L370" i="3" s="1"/>
  <c r="I362" i="3"/>
  <c r="J362" i="3" s="1"/>
  <c r="I354" i="3"/>
  <c r="J354" i="3" s="1"/>
  <c r="L354" i="3" s="1"/>
  <c r="I346" i="3"/>
  <c r="J346" i="3" s="1"/>
  <c r="I334" i="3"/>
  <c r="J334" i="3" s="1"/>
  <c r="I322" i="3"/>
  <c r="J322" i="3" s="1"/>
  <c r="I314" i="3"/>
  <c r="J314" i="3" s="1"/>
  <c r="L314" i="3" s="1"/>
  <c r="I306" i="3"/>
  <c r="J306" i="3" s="1"/>
  <c r="I290" i="3"/>
  <c r="J290" i="3" s="1"/>
  <c r="L290" i="3" s="1"/>
  <c r="I300" i="3"/>
  <c r="J300" i="3" s="1"/>
  <c r="I270" i="3"/>
  <c r="J270" i="3" s="1"/>
  <c r="L270" i="3" s="1"/>
  <c r="I284" i="3"/>
  <c r="J284" i="3" s="1"/>
  <c r="I250" i="3"/>
  <c r="J250" i="3" s="1"/>
  <c r="I268" i="3"/>
  <c r="J268" i="3" s="1"/>
  <c r="I234" i="3"/>
  <c r="J234" i="3" s="1"/>
  <c r="I252" i="3"/>
  <c r="J252" i="3" s="1"/>
  <c r="I236" i="3"/>
  <c r="J236" i="3" s="1"/>
  <c r="I216" i="3"/>
  <c r="J216" i="3" s="1"/>
  <c r="I197" i="3"/>
  <c r="J197" i="3" s="1"/>
  <c r="L197" i="3" s="1"/>
  <c r="I200" i="3"/>
  <c r="J200" i="3" s="1"/>
  <c r="I181" i="3"/>
  <c r="J181" i="3" s="1"/>
  <c r="L181" i="3" s="1"/>
  <c r="I165" i="3"/>
  <c r="J165" i="3" s="1"/>
  <c r="I176" i="3"/>
  <c r="J176" i="3" s="1"/>
  <c r="L176" i="3" s="1"/>
  <c r="I145" i="3"/>
  <c r="J145" i="3" s="1"/>
  <c r="I159" i="3"/>
  <c r="J159" i="3" s="1"/>
  <c r="L159" i="3" s="1"/>
  <c r="I112" i="3"/>
  <c r="J112" i="3" s="1"/>
  <c r="I104" i="3"/>
  <c r="J104" i="3" s="1"/>
  <c r="L104" i="3" s="1"/>
  <c r="I108" i="3"/>
  <c r="J108" i="3" s="1"/>
  <c r="I80" i="3"/>
  <c r="J80" i="3" s="1"/>
  <c r="L80" i="3" s="1"/>
  <c r="I56" i="3"/>
  <c r="J56" i="3" s="1"/>
  <c r="L56" i="3" s="1"/>
  <c r="I69" i="3"/>
  <c r="J69" i="3" s="1"/>
  <c r="I55" i="3"/>
  <c r="J55" i="3" s="1"/>
  <c r="I53" i="3"/>
  <c r="J53" i="3" s="1"/>
  <c r="I36" i="3"/>
  <c r="J36" i="3" s="1"/>
  <c r="I50" i="3"/>
  <c r="J50" i="3" s="1"/>
  <c r="L50" i="3" s="1"/>
  <c r="I885" i="3"/>
  <c r="J885" i="3" s="1"/>
  <c r="I877" i="3"/>
  <c r="J877" i="3" s="1"/>
  <c r="L877" i="3" s="1"/>
  <c r="I869" i="3"/>
  <c r="J869" i="3" s="1"/>
  <c r="I861" i="3"/>
  <c r="J861" i="3" s="1"/>
  <c r="L861" i="3" s="1"/>
  <c r="I854" i="3"/>
  <c r="J854" i="3" s="1"/>
  <c r="I846" i="3"/>
  <c r="J846" i="3" s="1"/>
  <c r="L846" i="3" s="1"/>
  <c r="I838" i="3"/>
  <c r="J838" i="3" s="1"/>
  <c r="I830" i="3"/>
  <c r="J830" i="3" s="1"/>
  <c r="L830" i="3" s="1"/>
  <c r="I822" i="3"/>
  <c r="J822" i="3" s="1"/>
  <c r="I814" i="3"/>
  <c r="J814" i="3" s="1"/>
  <c r="L814" i="3" s="1"/>
  <c r="I806" i="3"/>
  <c r="J806" i="3" s="1"/>
  <c r="I798" i="3"/>
  <c r="J798" i="3" s="1"/>
  <c r="L798" i="3" s="1"/>
  <c r="I790" i="3"/>
  <c r="J790" i="3" s="1"/>
  <c r="I782" i="3"/>
  <c r="J782" i="3" s="1"/>
  <c r="L782" i="3" s="1"/>
  <c r="I774" i="3"/>
  <c r="J774" i="3" s="1"/>
  <c r="I766" i="3"/>
  <c r="J766" i="3" s="1"/>
  <c r="L766" i="3" s="1"/>
  <c r="I758" i="3"/>
  <c r="J758" i="3" s="1"/>
  <c r="I750" i="3"/>
  <c r="J750" i="3" s="1"/>
  <c r="L750" i="3" s="1"/>
  <c r="I742" i="3"/>
  <c r="J742" i="3" s="1"/>
  <c r="I734" i="3"/>
  <c r="J734" i="3" s="1"/>
  <c r="L734" i="3" s="1"/>
  <c r="I726" i="3"/>
  <c r="J726" i="3" s="1"/>
  <c r="I718" i="3"/>
  <c r="J718" i="3" s="1"/>
  <c r="L718" i="3" s="1"/>
  <c r="I710" i="3"/>
  <c r="J710" i="3" s="1"/>
  <c r="I702" i="3"/>
  <c r="J702" i="3" s="1"/>
  <c r="L702" i="3" s="1"/>
  <c r="I694" i="3"/>
  <c r="J694" i="3" s="1"/>
  <c r="I686" i="3"/>
  <c r="J686" i="3" s="1"/>
  <c r="I678" i="3"/>
  <c r="J678" i="3" s="1"/>
  <c r="I670" i="3"/>
  <c r="J670" i="3" s="1"/>
  <c r="I662" i="3"/>
  <c r="J662" i="3" s="1"/>
  <c r="I654" i="3"/>
  <c r="J654" i="3" s="1"/>
  <c r="I646" i="3"/>
  <c r="J646" i="3" s="1"/>
  <c r="I638" i="3"/>
  <c r="J638" i="3" s="1"/>
  <c r="I630" i="3"/>
  <c r="J630" i="3" s="1"/>
  <c r="I622" i="3"/>
  <c r="J622" i="3" s="1"/>
  <c r="I614" i="3"/>
  <c r="J614" i="3" s="1"/>
  <c r="I602" i="3"/>
  <c r="J602" i="3" s="1"/>
  <c r="L602" i="3" s="1"/>
  <c r="I598" i="3"/>
  <c r="J598" i="3" s="1"/>
  <c r="I512" i="3"/>
  <c r="J512" i="3" s="1"/>
  <c r="I488" i="3"/>
  <c r="J488" i="3" s="1"/>
  <c r="I454" i="3"/>
  <c r="J454" i="3" s="1"/>
  <c r="I446" i="3"/>
  <c r="J446" i="3" s="1"/>
  <c r="I438" i="3"/>
  <c r="J438" i="3" s="1"/>
  <c r="I430" i="3"/>
  <c r="J430" i="3" s="1"/>
  <c r="I422" i="3"/>
  <c r="J422" i="3" s="1"/>
  <c r="I414" i="3"/>
  <c r="J414" i="3" s="1"/>
  <c r="I406" i="3"/>
  <c r="J406" i="3" s="1"/>
  <c r="I398" i="3"/>
  <c r="J398" i="3" s="1"/>
  <c r="I390" i="3"/>
  <c r="J390" i="3" s="1"/>
  <c r="I382" i="3"/>
  <c r="J382" i="3" s="1"/>
  <c r="I374" i="3"/>
  <c r="J374" i="3" s="1"/>
  <c r="I366" i="3"/>
  <c r="J366" i="3" s="1"/>
  <c r="I358" i="3"/>
  <c r="J358" i="3" s="1"/>
  <c r="I350" i="3"/>
  <c r="J350" i="3" s="1"/>
  <c r="I338" i="3"/>
  <c r="J338" i="3" s="1"/>
  <c r="L338" i="3" s="1"/>
  <c r="I330" i="3"/>
  <c r="J330" i="3" s="1"/>
  <c r="I318" i="3"/>
  <c r="J318" i="3" s="1"/>
  <c r="I298" i="3"/>
  <c r="J298" i="3" s="1"/>
  <c r="I278" i="3"/>
  <c r="J278" i="3" s="1"/>
  <c r="I292" i="3"/>
  <c r="J292" i="3" s="1"/>
  <c r="I258" i="3"/>
  <c r="J258" i="3" s="1"/>
  <c r="I276" i="3"/>
  <c r="J276" i="3" s="1"/>
  <c r="I242" i="3"/>
  <c r="J242" i="3" s="1"/>
  <c r="I260" i="3"/>
  <c r="J260" i="3" s="1"/>
  <c r="I244" i="3"/>
  <c r="J244" i="3" s="1"/>
  <c r="I224" i="3"/>
  <c r="J224" i="3" s="1"/>
  <c r="I208" i="3"/>
  <c r="J208" i="3" s="1"/>
  <c r="I186" i="3"/>
  <c r="J186" i="3" s="1"/>
  <c r="I192" i="3"/>
  <c r="J192" i="3" s="1"/>
  <c r="L192" i="3" s="1"/>
  <c r="I174" i="3"/>
  <c r="J174" i="3" s="1"/>
  <c r="I184" i="3"/>
  <c r="J184" i="3" s="1"/>
  <c r="L184" i="3" s="1"/>
  <c r="I157" i="3"/>
  <c r="J157" i="3" s="1"/>
  <c r="I167" i="3"/>
  <c r="J167" i="3" s="1"/>
  <c r="L167" i="3" s="1"/>
  <c r="I168" i="3"/>
  <c r="J168" i="3" s="1"/>
  <c r="I137" i="3"/>
  <c r="J137" i="3" s="1"/>
  <c r="I151" i="3"/>
  <c r="J151" i="3" s="1"/>
  <c r="I143" i="3"/>
  <c r="J143" i="3" s="1"/>
  <c r="I133" i="3"/>
  <c r="J133" i="3" s="1"/>
  <c r="I135" i="3"/>
  <c r="J135" i="3" s="1"/>
  <c r="I98" i="3"/>
  <c r="J98" i="3" s="1"/>
  <c r="I96" i="3"/>
  <c r="J96" i="3" s="1"/>
  <c r="L96" i="3" s="1"/>
  <c r="I88" i="3"/>
  <c r="J88" i="3" s="1"/>
  <c r="I82" i="3"/>
  <c r="J82" i="3" s="1"/>
  <c r="L82" i="3" s="1"/>
  <c r="I72" i="3"/>
  <c r="J72" i="3" s="1"/>
  <c r="I61" i="3"/>
  <c r="J61" i="3" s="1"/>
  <c r="I44" i="3"/>
  <c r="J44" i="3" s="1"/>
  <c r="I26" i="3"/>
  <c r="J26" i="3" s="1"/>
  <c r="I34" i="3"/>
  <c r="J34" i="3" s="1"/>
  <c r="I42" i="3"/>
  <c r="J42" i="3" s="1"/>
  <c r="L42" i="3" s="1"/>
  <c r="N23" i="3"/>
  <c r="N24" i="3" s="1"/>
  <c r="I302" i="3"/>
  <c r="J302" i="3" s="1"/>
  <c r="I294" i="3"/>
  <c r="J294" i="3" s="1"/>
  <c r="I282" i="3"/>
  <c r="J282" i="3" s="1"/>
  <c r="L282" i="3" s="1"/>
  <c r="I274" i="3"/>
  <c r="J274" i="3" s="1"/>
  <c r="I266" i="3"/>
  <c r="J266" i="3" s="1"/>
  <c r="L266" i="3" s="1"/>
  <c r="I254" i="3"/>
  <c r="J254" i="3" s="1"/>
  <c r="I246" i="3"/>
  <c r="J246" i="3" s="1"/>
  <c r="L246" i="3" s="1"/>
  <c r="I238" i="3"/>
  <c r="J238" i="3" s="1"/>
  <c r="I228" i="3"/>
  <c r="J228" i="3" s="1"/>
  <c r="I193" i="3"/>
  <c r="J193" i="3" s="1"/>
  <c r="I185" i="3"/>
  <c r="J185" i="3" s="1"/>
  <c r="L185" i="3" s="1"/>
  <c r="I194" i="3"/>
  <c r="J194" i="3" s="1"/>
  <c r="I177" i="3"/>
  <c r="J177" i="3" s="1"/>
  <c r="I182" i="3"/>
  <c r="J182" i="3" s="1"/>
  <c r="I178" i="3"/>
  <c r="J178" i="3" s="1"/>
  <c r="I170" i="3"/>
  <c r="J170" i="3" s="1"/>
  <c r="I161" i="3"/>
  <c r="J161" i="3" s="1"/>
  <c r="L161" i="3" s="1"/>
  <c r="I149" i="3"/>
  <c r="J149" i="3" s="1"/>
  <c r="I141" i="3"/>
  <c r="J141" i="3" s="1"/>
  <c r="L141" i="3" s="1"/>
  <c r="I125" i="3"/>
  <c r="J125" i="3" s="1"/>
  <c r="I120" i="3"/>
  <c r="J120" i="3" s="1"/>
  <c r="I94" i="3"/>
  <c r="J94" i="3" s="1"/>
  <c r="I68" i="3"/>
  <c r="J68" i="3" s="1"/>
  <c r="L68" i="3" s="1"/>
  <c r="I78" i="3"/>
  <c r="J78" i="3" s="1"/>
  <c r="I60" i="3"/>
  <c r="J60" i="3" s="1"/>
  <c r="L60" i="3" s="1"/>
  <c r="I63" i="3"/>
  <c r="J63" i="3" s="1"/>
  <c r="I52" i="3"/>
  <c r="J52" i="3" s="1"/>
  <c r="L52" i="3" s="1"/>
  <c r="I48" i="3"/>
  <c r="J48" i="3" s="1"/>
  <c r="I40" i="3"/>
  <c r="J40" i="3" s="1"/>
  <c r="L40" i="3" s="1"/>
  <c r="I28" i="3"/>
  <c r="J28" i="3" s="1"/>
  <c r="I1240" i="3"/>
  <c r="J1240" i="3" s="1"/>
  <c r="L1240" i="3" s="1"/>
  <c r="I1218" i="3"/>
  <c r="J1218" i="3" s="1"/>
  <c r="I1237" i="3"/>
  <c r="J1237" i="3" s="1"/>
  <c r="L1237" i="3" s="1"/>
  <c r="I1232" i="3"/>
  <c r="J1232" i="3" s="1"/>
  <c r="I1229" i="3"/>
  <c r="J1229" i="3" s="1"/>
  <c r="L1229" i="3" s="1"/>
  <c r="I1224" i="3"/>
  <c r="J1224" i="3" s="1"/>
  <c r="I1221" i="3"/>
  <c r="J1221" i="3" s="1"/>
  <c r="L1221" i="3" s="1"/>
  <c r="I1216" i="3"/>
  <c r="J1216" i="3" s="1"/>
  <c r="I1208" i="3"/>
  <c r="J1208" i="3" s="1"/>
  <c r="L1208" i="3" s="1"/>
  <c r="I1241" i="3"/>
  <c r="J1241" i="3" s="1"/>
  <c r="L1241" i="3" s="1"/>
  <c r="I1236" i="3"/>
  <c r="J1236" i="3" s="1"/>
  <c r="L1236" i="3" s="1"/>
  <c r="I1233" i="3"/>
  <c r="J1233" i="3" s="1"/>
  <c r="L1233" i="3" s="1"/>
  <c r="I1228" i="3"/>
  <c r="J1228" i="3" s="1"/>
  <c r="L1228" i="3" s="1"/>
  <c r="I1225" i="3"/>
  <c r="J1225" i="3" s="1"/>
  <c r="L1225" i="3" s="1"/>
  <c r="I1220" i="3"/>
  <c r="J1220" i="3" s="1"/>
  <c r="L1220" i="3" s="1"/>
  <c r="I1212" i="3"/>
  <c r="J1212" i="3" s="1"/>
  <c r="L1212" i="3" s="1"/>
  <c r="I1217" i="3"/>
  <c r="J1217" i="3" s="1"/>
  <c r="L1217" i="3" s="1"/>
  <c r="I1209" i="3"/>
  <c r="J1209" i="3" s="1"/>
  <c r="L1209" i="3" s="1"/>
  <c r="I1205" i="3"/>
  <c r="J1205" i="3" s="1"/>
  <c r="L1205" i="3" s="1"/>
  <c r="L1065" i="3"/>
  <c r="L1053" i="3"/>
  <c r="L1049" i="3"/>
  <c r="L1045" i="3"/>
  <c r="I1062" i="3"/>
  <c r="J1062" i="3" s="1"/>
  <c r="L1062" i="3" s="1"/>
  <c r="I1058" i="3"/>
  <c r="J1058" i="3" s="1"/>
  <c r="L1058" i="3" s="1"/>
  <c r="I1054" i="3"/>
  <c r="J1054" i="3" s="1"/>
  <c r="L1054" i="3" s="1"/>
  <c r="I1050" i="3"/>
  <c r="J1050" i="3" s="1"/>
  <c r="L1050" i="3" s="1"/>
  <c r="I1046" i="3"/>
  <c r="J1046" i="3" s="1"/>
  <c r="L1046" i="3" s="1"/>
  <c r="I1042" i="3"/>
  <c r="J1042" i="3" s="1"/>
  <c r="L1042" i="3" s="1"/>
  <c r="I1038" i="3"/>
  <c r="J1038" i="3" s="1"/>
  <c r="L1038" i="3" s="1"/>
  <c r="L1017" i="3"/>
  <c r="I1034" i="3"/>
  <c r="J1034" i="3" s="1"/>
  <c r="L1034" i="3" s="1"/>
  <c r="I1030" i="3"/>
  <c r="J1030" i="3" s="1"/>
  <c r="L1030" i="3" s="1"/>
  <c r="I1026" i="3"/>
  <c r="J1026" i="3" s="1"/>
  <c r="L1026" i="3" s="1"/>
  <c r="I1022" i="3"/>
  <c r="J1022" i="3" s="1"/>
  <c r="L1022" i="3" s="1"/>
  <c r="L1001" i="3"/>
  <c r="I1018" i="3"/>
  <c r="J1018" i="3" s="1"/>
  <c r="L1018" i="3" s="1"/>
  <c r="L997" i="3"/>
  <c r="I1014" i="3"/>
  <c r="J1014" i="3" s="1"/>
  <c r="L1014" i="3" s="1"/>
  <c r="I1010" i="3"/>
  <c r="J1010" i="3" s="1"/>
  <c r="L1010" i="3" s="1"/>
  <c r="I1006" i="3"/>
  <c r="J1006" i="3" s="1"/>
  <c r="L1006" i="3" s="1"/>
  <c r="L985" i="3"/>
  <c r="I1002" i="3"/>
  <c r="J1002" i="3" s="1"/>
  <c r="L1002" i="3" s="1"/>
  <c r="L981" i="3"/>
  <c r="I998" i="3"/>
  <c r="J998" i="3" s="1"/>
  <c r="L998" i="3" s="1"/>
  <c r="I994" i="3"/>
  <c r="J994" i="3" s="1"/>
  <c r="L994" i="3" s="1"/>
  <c r="I990" i="3"/>
  <c r="J990" i="3" s="1"/>
  <c r="L990" i="3" s="1"/>
  <c r="I986" i="3"/>
  <c r="J986" i="3" s="1"/>
  <c r="L986" i="3" s="1"/>
  <c r="L965" i="3"/>
  <c r="I982" i="3"/>
  <c r="J982" i="3" s="1"/>
  <c r="L982" i="3" s="1"/>
  <c r="L961" i="3"/>
  <c r="I978" i="3"/>
  <c r="J978" i="3" s="1"/>
  <c r="L978" i="3" s="1"/>
  <c r="I974" i="3"/>
  <c r="J974" i="3" s="1"/>
  <c r="L974" i="3" s="1"/>
  <c r="I970" i="3"/>
  <c r="J970" i="3" s="1"/>
  <c r="L970" i="3" s="1"/>
  <c r="I966" i="3"/>
  <c r="J966" i="3" s="1"/>
  <c r="L966" i="3" s="1"/>
  <c r="L945" i="3"/>
  <c r="I962" i="3"/>
  <c r="J962" i="3" s="1"/>
  <c r="L962" i="3" s="1"/>
  <c r="L941" i="3"/>
  <c r="I958" i="3"/>
  <c r="J958" i="3" s="1"/>
  <c r="L958" i="3" s="1"/>
  <c r="I954" i="3"/>
  <c r="J954" i="3" s="1"/>
  <c r="L954" i="3" s="1"/>
  <c r="I950" i="3"/>
  <c r="J950" i="3" s="1"/>
  <c r="L950" i="3" s="1"/>
  <c r="L929" i="3"/>
  <c r="I946" i="3"/>
  <c r="J946" i="3" s="1"/>
  <c r="L946" i="3" s="1"/>
  <c r="I942" i="3"/>
  <c r="J942" i="3" s="1"/>
  <c r="L942" i="3" s="1"/>
  <c r="I938" i="3"/>
  <c r="J938" i="3" s="1"/>
  <c r="L938" i="3" s="1"/>
  <c r="I934" i="3"/>
  <c r="J934" i="3" s="1"/>
  <c r="L934" i="3" s="1"/>
  <c r="L913" i="3"/>
  <c r="I930" i="3"/>
  <c r="J930" i="3" s="1"/>
  <c r="L930" i="3" s="1"/>
  <c r="L909" i="3"/>
  <c r="I926" i="3"/>
  <c r="J926" i="3" s="1"/>
  <c r="L926" i="3" s="1"/>
  <c r="L905" i="3"/>
  <c r="I922" i="3"/>
  <c r="J922" i="3" s="1"/>
  <c r="L922" i="3" s="1"/>
  <c r="I918" i="3"/>
  <c r="J918" i="3" s="1"/>
  <c r="L918" i="3" s="1"/>
  <c r="I914" i="3"/>
  <c r="J914" i="3" s="1"/>
  <c r="L914" i="3" s="1"/>
  <c r="I910" i="3"/>
  <c r="J910" i="3" s="1"/>
  <c r="L910" i="3" s="1"/>
  <c r="L889" i="3"/>
  <c r="I906" i="3"/>
  <c r="J906" i="3" s="1"/>
  <c r="L906" i="3" s="1"/>
  <c r="L885" i="3"/>
  <c r="I902" i="3"/>
  <c r="J902" i="3" s="1"/>
  <c r="L902" i="3" s="1"/>
  <c r="I898" i="3"/>
  <c r="J898" i="3" s="1"/>
  <c r="L898" i="3" s="1"/>
  <c r="I894" i="3"/>
  <c r="J894" i="3" s="1"/>
  <c r="L894" i="3" s="1"/>
  <c r="L873" i="3"/>
  <c r="I890" i="3"/>
  <c r="J890" i="3" s="1"/>
  <c r="L890" i="3" s="1"/>
  <c r="L869" i="3"/>
  <c r="I886" i="3"/>
  <c r="J886" i="3" s="1"/>
  <c r="L886" i="3" s="1"/>
  <c r="I882" i="3"/>
  <c r="J882" i="3" s="1"/>
  <c r="L882" i="3" s="1"/>
  <c r="I876" i="3"/>
  <c r="J876" i="3" s="1"/>
  <c r="L876" i="3" s="1"/>
  <c r="L857" i="3"/>
  <c r="I874" i="3"/>
  <c r="J874" i="3" s="1"/>
  <c r="L874" i="3" s="1"/>
  <c r="I870" i="3"/>
  <c r="J870" i="3" s="1"/>
  <c r="L870" i="3" s="1"/>
  <c r="I866" i="3"/>
  <c r="J866" i="3" s="1"/>
  <c r="L866" i="3" s="1"/>
  <c r="I862" i="3"/>
  <c r="J862" i="3" s="1"/>
  <c r="L862" i="3" s="1"/>
  <c r="I858" i="3"/>
  <c r="J858" i="3" s="1"/>
  <c r="L858" i="3" s="1"/>
  <c r="L698" i="3"/>
  <c r="L694" i="3"/>
  <c r="L686" i="3"/>
  <c r="L682" i="3"/>
  <c r="L678" i="3"/>
  <c r="I695" i="3"/>
  <c r="J695" i="3" s="1"/>
  <c r="L695" i="3" s="1"/>
  <c r="L674" i="3"/>
  <c r="I691" i="3"/>
  <c r="J691" i="3" s="1"/>
  <c r="L691" i="3" s="1"/>
  <c r="L670" i="3"/>
  <c r="I687" i="3"/>
  <c r="J687" i="3" s="1"/>
  <c r="L687" i="3" s="1"/>
  <c r="L666" i="3"/>
  <c r="I683" i="3"/>
  <c r="J683" i="3" s="1"/>
  <c r="L683" i="3" s="1"/>
  <c r="L662" i="3"/>
  <c r="I679" i="3"/>
  <c r="J679" i="3" s="1"/>
  <c r="L679" i="3" s="1"/>
  <c r="L658" i="3"/>
  <c r="I675" i="3"/>
  <c r="J675" i="3" s="1"/>
  <c r="L675" i="3" s="1"/>
  <c r="L654" i="3"/>
  <c r="I671" i="3"/>
  <c r="J671" i="3" s="1"/>
  <c r="L671" i="3" s="1"/>
  <c r="L650" i="3"/>
  <c r="I667" i="3"/>
  <c r="J667" i="3" s="1"/>
  <c r="L667" i="3" s="1"/>
  <c r="L646" i="3"/>
  <c r="I663" i="3"/>
  <c r="J663" i="3" s="1"/>
  <c r="L663" i="3" s="1"/>
  <c r="L642" i="3"/>
  <c r="I659" i="3"/>
  <c r="J659" i="3" s="1"/>
  <c r="L659" i="3" s="1"/>
  <c r="L638" i="3"/>
  <c r="I655" i="3"/>
  <c r="J655" i="3" s="1"/>
  <c r="L655" i="3" s="1"/>
  <c r="L634" i="3"/>
  <c r="I651" i="3"/>
  <c r="J651" i="3" s="1"/>
  <c r="L651" i="3" s="1"/>
  <c r="L630" i="3"/>
  <c r="I647" i="3"/>
  <c r="J647" i="3" s="1"/>
  <c r="L647" i="3" s="1"/>
  <c r="L626" i="3"/>
  <c r="I643" i="3"/>
  <c r="J643" i="3" s="1"/>
  <c r="L643" i="3" s="1"/>
  <c r="L622" i="3"/>
  <c r="I639" i="3"/>
  <c r="J639" i="3" s="1"/>
  <c r="L639" i="3" s="1"/>
  <c r="L618" i="3"/>
  <c r="I635" i="3"/>
  <c r="J635" i="3" s="1"/>
  <c r="L635" i="3" s="1"/>
  <c r="L614" i="3"/>
  <c r="I631" i="3"/>
  <c r="J631" i="3" s="1"/>
  <c r="L631" i="3" s="1"/>
  <c r="I627" i="3"/>
  <c r="J627" i="3" s="1"/>
  <c r="L627" i="3" s="1"/>
  <c r="I623" i="3"/>
  <c r="J623" i="3" s="1"/>
  <c r="L623" i="3" s="1"/>
  <c r="I619" i="3"/>
  <c r="J619" i="3" s="1"/>
  <c r="L619" i="3" s="1"/>
  <c r="I615" i="3"/>
  <c r="J615" i="3" s="1"/>
  <c r="L615" i="3" s="1"/>
  <c r="I611" i="3"/>
  <c r="J611" i="3" s="1"/>
  <c r="L611" i="3" s="1"/>
  <c r="I607" i="3"/>
  <c r="J607" i="3" s="1"/>
  <c r="L607" i="3" s="1"/>
  <c r="I586" i="3"/>
  <c r="J586" i="3" s="1"/>
  <c r="L586" i="3" s="1"/>
  <c r="I578" i="3"/>
  <c r="J578" i="3" s="1"/>
  <c r="I570" i="3"/>
  <c r="J570" i="3" s="1"/>
  <c r="I562" i="3"/>
  <c r="J562" i="3" s="1"/>
  <c r="I554" i="3"/>
  <c r="J554" i="3" s="1"/>
  <c r="I546" i="3"/>
  <c r="J546" i="3" s="1"/>
  <c r="I538" i="3"/>
  <c r="J538" i="3" s="1"/>
  <c r="I530" i="3"/>
  <c r="J530" i="3" s="1"/>
  <c r="I522" i="3"/>
  <c r="J522" i="3" s="1"/>
  <c r="I514" i="3"/>
  <c r="J514" i="3" s="1"/>
  <c r="I506" i="3"/>
  <c r="J506" i="3" s="1"/>
  <c r="L506" i="3" s="1"/>
  <c r="I498" i="3"/>
  <c r="J498" i="3" s="1"/>
  <c r="I490" i="3"/>
  <c r="J490" i="3" s="1"/>
  <c r="L490" i="3" s="1"/>
  <c r="I482" i="3"/>
  <c r="J482" i="3" s="1"/>
  <c r="I474" i="3"/>
  <c r="J474" i="3" s="1"/>
  <c r="I466" i="3"/>
  <c r="J466" i="3" s="1"/>
  <c r="I1213" i="3"/>
  <c r="J1213" i="3" s="1"/>
  <c r="L1213" i="3" s="1"/>
  <c r="I1201" i="3"/>
  <c r="J1201" i="3" s="1"/>
  <c r="L1201" i="3" s="1"/>
  <c r="I1074" i="3"/>
  <c r="J1074" i="3" s="1"/>
  <c r="L1074" i="3" s="1"/>
  <c r="I1070" i="3"/>
  <c r="J1070" i="3" s="1"/>
  <c r="L1070" i="3" s="1"/>
  <c r="I1066" i="3"/>
  <c r="J1066" i="3" s="1"/>
  <c r="L1066" i="3" s="1"/>
  <c r="L1033" i="3"/>
  <c r="L1242" i="3"/>
  <c r="L1238" i="3"/>
  <c r="L1234" i="3"/>
  <c r="L1230" i="3"/>
  <c r="L1226" i="3"/>
  <c r="L1222" i="3"/>
  <c r="I1239" i="3"/>
  <c r="J1239" i="3" s="1"/>
  <c r="L1239" i="3" s="1"/>
  <c r="L1218" i="3"/>
  <c r="I1235" i="3"/>
  <c r="J1235" i="3" s="1"/>
  <c r="L1235" i="3" s="1"/>
  <c r="L1214" i="3"/>
  <c r="I1231" i="3"/>
  <c r="J1231" i="3" s="1"/>
  <c r="L1231" i="3" s="1"/>
  <c r="L1210" i="3"/>
  <c r="I1227" i="3"/>
  <c r="J1227" i="3" s="1"/>
  <c r="L1227" i="3" s="1"/>
  <c r="L1206" i="3"/>
  <c r="I1223" i="3"/>
  <c r="J1223" i="3" s="1"/>
  <c r="L1223" i="3" s="1"/>
  <c r="L1202" i="3"/>
  <c r="I1219" i="3"/>
  <c r="J1219" i="3" s="1"/>
  <c r="L1219" i="3" s="1"/>
  <c r="I1215" i="3"/>
  <c r="J1215" i="3" s="1"/>
  <c r="L1215" i="3" s="1"/>
  <c r="I1211" i="3"/>
  <c r="J1211" i="3" s="1"/>
  <c r="L1211" i="3" s="1"/>
  <c r="I1207" i="3"/>
  <c r="J1207" i="3" s="1"/>
  <c r="L1207" i="3" s="1"/>
  <c r="I1203" i="3"/>
  <c r="J1203" i="3" s="1"/>
  <c r="L1203" i="3" s="1"/>
  <c r="I1199" i="3"/>
  <c r="J1199" i="3" s="1"/>
  <c r="L1199" i="3" s="1"/>
  <c r="I1072" i="3"/>
  <c r="J1072" i="3" s="1"/>
  <c r="L1072" i="3" s="1"/>
  <c r="I1068" i="3"/>
  <c r="J1068" i="3" s="1"/>
  <c r="L1068" i="3" s="1"/>
  <c r="I1064" i="3"/>
  <c r="J1064" i="3" s="1"/>
  <c r="L1064" i="3" s="1"/>
  <c r="I1060" i="3"/>
  <c r="J1060" i="3" s="1"/>
  <c r="L1060" i="3" s="1"/>
  <c r="I1056" i="3"/>
  <c r="J1056" i="3" s="1"/>
  <c r="L1056" i="3" s="1"/>
  <c r="I1052" i="3"/>
  <c r="J1052" i="3" s="1"/>
  <c r="L1052" i="3" s="1"/>
  <c r="I1048" i="3"/>
  <c r="J1048" i="3" s="1"/>
  <c r="L1048" i="3" s="1"/>
  <c r="I1044" i="3"/>
  <c r="J1044" i="3" s="1"/>
  <c r="L1044" i="3" s="1"/>
  <c r="I1040" i="3"/>
  <c r="J1040" i="3" s="1"/>
  <c r="L1040" i="3" s="1"/>
  <c r="I1036" i="3"/>
  <c r="J1036" i="3" s="1"/>
  <c r="L1036" i="3" s="1"/>
  <c r="I1032" i="3"/>
  <c r="J1032" i="3" s="1"/>
  <c r="L1032" i="3" s="1"/>
  <c r="I1028" i="3"/>
  <c r="J1028" i="3" s="1"/>
  <c r="L1028" i="3" s="1"/>
  <c r="I1024" i="3"/>
  <c r="J1024" i="3" s="1"/>
  <c r="L1024" i="3" s="1"/>
  <c r="I1020" i="3"/>
  <c r="J1020" i="3" s="1"/>
  <c r="L1020" i="3" s="1"/>
  <c r="I1016" i="3"/>
  <c r="J1016" i="3" s="1"/>
  <c r="L1016" i="3" s="1"/>
  <c r="I1012" i="3"/>
  <c r="J1012" i="3" s="1"/>
  <c r="L1012" i="3" s="1"/>
  <c r="I1008" i="3"/>
  <c r="J1008" i="3" s="1"/>
  <c r="L1008" i="3" s="1"/>
  <c r="I1004" i="3"/>
  <c r="J1004" i="3" s="1"/>
  <c r="L1004" i="3" s="1"/>
  <c r="I1000" i="3"/>
  <c r="J1000" i="3" s="1"/>
  <c r="L1000" i="3" s="1"/>
  <c r="I996" i="3"/>
  <c r="J996" i="3" s="1"/>
  <c r="L996" i="3" s="1"/>
  <c r="I992" i="3"/>
  <c r="J992" i="3" s="1"/>
  <c r="L992" i="3" s="1"/>
  <c r="I988" i="3"/>
  <c r="J988" i="3" s="1"/>
  <c r="L988" i="3" s="1"/>
  <c r="I984" i="3"/>
  <c r="J984" i="3" s="1"/>
  <c r="L984" i="3" s="1"/>
  <c r="I980" i="3"/>
  <c r="J980" i="3" s="1"/>
  <c r="L980" i="3" s="1"/>
  <c r="I976" i="3"/>
  <c r="J976" i="3" s="1"/>
  <c r="L976" i="3" s="1"/>
  <c r="I972" i="3"/>
  <c r="J972" i="3" s="1"/>
  <c r="L972" i="3" s="1"/>
  <c r="I968" i="3"/>
  <c r="J968" i="3" s="1"/>
  <c r="L968" i="3" s="1"/>
  <c r="I964" i="3"/>
  <c r="J964" i="3" s="1"/>
  <c r="L964" i="3" s="1"/>
  <c r="I960" i="3"/>
  <c r="J960" i="3" s="1"/>
  <c r="L960" i="3" s="1"/>
  <c r="I956" i="3"/>
  <c r="J956" i="3" s="1"/>
  <c r="L956" i="3" s="1"/>
  <c r="I952" i="3"/>
  <c r="J952" i="3" s="1"/>
  <c r="L952" i="3" s="1"/>
  <c r="I948" i="3"/>
  <c r="J948" i="3" s="1"/>
  <c r="L948" i="3" s="1"/>
  <c r="I944" i="3"/>
  <c r="J944" i="3" s="1"/>
  <c r="L944" i="3" s="1"/>
  <c r="I940" i="3"/>
  <c r="J940" i="3" s="1"/>
  <c r="L940" i="3" s="1"/>
  <c r="I936" i="3"/>
  <c r="J936" i="3" s="1"/>
  <c r="L936" i="3" s="1"/>
  <c r="I932" i="3"/>
  <c r="J932" i="3" s="1"/>
  <c r="L932" i="3" s="1"/>
  <c r="I928" i="3"/>
  <c r="J928" i="3" s="1"/>
  <c r="L928" i="3" s="1"/>
  <c r="I924" i="3"/>
  <c r="J924" i="3" s="1"/>
  <c r="L924" i="3" s="1"/>
  <c r="I920" i="3"/>
  <c r="J920" i="3" s="1"/>
  <c r="L920" i="3" s="1"/>
  <c r="I916" i="3"/>
  <c r="J916" i="3" s="1"/>
  <c r="L916" i="3" s="1"/>
  <c r="I912" i="3"/>
  <c r="J912" i="3" s="1"/>
  <c r="L912" i="3" s="1"/>
  <c r="I908" i="3"/>
  <c r="J908" i="3" s="1"/>
  <c r="L908" i="3" s="1"/>
  <c r="I904" i="3"/>
  <c r="J904" i="3" s="1"/>
  <c r="L904" i="3" s="1"/>
  <c r="I900" i="3"/>
  <c r="J900" i="3" s="1"/>
  <c r="L900" i="3" s="1"/>
  <c r="I896" i="3"/>
  <c r="J896" i="3" s="1"/>
  <c r="L896" i="3" s="1"/>
  <c r="I892" i="3"/>
  <c r="J892" i="3" s="1"/>
  <c r="L892" i="3" s="1"/>
  <c r="I888" i="3"/>
  <c r="J888" i="3" s="1"/>
  <c r="L888" i="3" s="1"/>
  <c r="I884" i="3"/>
  <c r="J884" i="3" s="1"/>
  <c r="L884" i="3" s="1"/>
  <c r="I880" i="3"/>
  <c r="J880" i="3" s="1"/>
  <c r="L880" i="3" s="1"/>
  <c r="I872" i="3"/>
  <c r="J872" i="3" s="1"/>
  <c r="L872" i="3" s="1"/>
  <c r="I868" i="3"/>
  <c r="J868" i="3" s="1"/>
  <c r="L868" i="3" s="1"/>
  <c r="I864" i="3"/>
  <c r="J864" i="3" s="1"/>
  <c r="L864" i="3" s="1"/>
  <c r="I860" i="3"/>
  <c r="J860" i="3" s="1"/>
  <c r="L860" i="3" s="1"/>
  <c r="L708" i="3"/>
  <c r="L704" i="3"/>
  <c r="L700" i="3"/>
  <c r="I697" i="3"/>
  <c r="J697" i="3" s="1"/>
  <c r="L697" i="3" s="1"/>
  <c r="I693" i="3"/>
  <c r="J693" i="3" s="1"/>
  <c r="L693" i="3" s="1"/>
  <c r="I689" i="3"/>
  <c r="J689" i="3" s="1"/>
  <c r="L689" i="3" s="1"/>
  <c r="I685" i="3"/>
  <c r="J685" i="3" s="1"/>
  <c r="L685" i="3" s="1"/>
  <c r="I681" i="3"/>
  <c r="J681" i="3" s="1"/>
  <c r="L681" i="3" s="1"/>
  <c r="I677" i="3"/>
  <c r="J677" i="3" s="1"/>
  <c r="L677" i="3" s="1"/>
  <c r="I673" i="3"/>
  <c r="J673" i="3" s="1"/>
  <c r="L673" i="3" s="1"/>
  <c r="I669" i="3"/>
  <c r="J669" i="3" s="1"/>
  <c r="L669" i="3" s="1"/>
  <c r="I665" i="3"/>
  <c r="J665" i="3" s="1"/>
  <c r="L665" i="3" s="1"/>
  <c r="I661" i="3"/>
  <c r="J661" i="3" s="1"/>
  <c r="L661" i="3" s="1"/>
  <c r="I657" i="3"/>
  <c r="J657" i="3" s="1"/>
  <c r="L657" i="3" s="1"/>
  <c r="I653" i="3"/>
  <c r="J653" i="3" s="1"/>
  <c r="L653" i="3" s="1"/>
  <c r="I649" i="3"/>
  <c r="J649" i="3" s="1"/>
  <c r="L649" i="3" s="1"/>
  <c r="I645" i="3"/>
  <c r="J645" i="3" s="1"/>
  <c r="L645" i="3" s="1"/>
  <c r="I641" i="3"/>
  <c r="J641" i="3" s="1"/>
  <c r="L641" i="3" s="1"/>
  <c r="I637" i="3"/>
  <c r="J637" i="3" s="1"/>
  <c r="L637" i="3" s="1"/>
  <c r="I633" i="3"/>
  <c r="J633" i="3" s="1"/>
  <c r="L633" i="3" s="1"/>
  <c r="I629" i="3"/>
  <c r="J629" i="3" s="1"/>
  <c r="L629" i="3" s="1"/>
  <c r="I606" i="3"/>
  <c r="J606" i="3" s="1"/>
  <c r="L606" i="3" s="1"/>
  <c r="I625" i="3"/>
  <c r="J625" i="3" s="1"/>
  <c r="L625" i="3" s="1"/>
  <c r="I621" i="3"/>
  <c r="J621" i="3" s="1"/>
  <c r="L621" i="3" s="1"/>
  <c r="I617" i="3"/>
  <c r="J617" i="3" s="1"/>
  <c r="L617" i="3" s="1"/>
  <c r="I613" i="3"/>
  <c r="J613" i="3" s="1"/>
  <c r="L613" i="3" s="1"/>
  <c r="I609" i="3"/>
  <c r="J609" i="3" s="1"/>
  <c r="L609" i="3" s="1"/>
  <c r="I584" i="3"/>
  <c r="J584" i="3" s="1"/>
  <c r="L584" i="3" s="1"/>
  <c r="I576" i="3"/>
  <c r="J576" i="3" s="1"/>
  <c r="I568" i="3"/>
  <c r="J568" i="3" s="1"/>
  <c r="L568" i="3" s="1"/>
  <c r="I582" i="3"/>
  <c r="J582" i="3" s="1"/>
  <c r="I560" i="3"/>
  <c r="J560" i="3" s="1"/>
  <c r="L560" i="3" s="1"/>
  <c r="I574" i="3"/>
  <c r="J574" i="3" s="1"/>
  <c r="I552" i="3"/>
  <c r="J552" i="3" s="1"/>
  <c r="L552" i="3" s="1"/>
  <c r="I566" i="3"/>
  <c r="J566" i="3" s="1"/>
  <c r="I544" i="3"/>
  <c r="J544" i="3" s="1"/>
  <c r="L544" i="3" s="1"/>
  <c r="I558" i="3"/>
  <c r="J558" i="3" s="1"/>
  <c r="I536" i="3"/>
  <c r="J536" i="3" s="1"/>
  <c r="L536" i="3" s="1"/>
  <c r="I550" i="3"/>
  <c r="J550" i="3" s="1"/>
  <c r="I528" i="3"/>
  <c r="J528" i="3" s="1"/>
  <c r="L528" i="3" s="1"/>
  <c r="I542" i="3"/>
  <c r="J542" i="3" s="1"/>
  <c r="I520" i="3"/>
  <c r="J520" i="3" s="1"/>
  <c r="L520" i="3" s="1"/>
  <c r="I534" i="3"/>
  <c r="J534" i="3" s="1"/>
  <c r="I526" i="3"/>
  <c r="J526" i="3" s="1"/>
  <c r="I504" i="3"/>
  <c r="J504" i="3" s="1"/>
  <c r="I518" i="3"/>
  <c r="J518" i="3" s="1"/>
  <c r="L518" i="3" s="1"/>
  <c r="I496" i="3"/>
  <c r="J496" i="3" s="1"/>
  <c r="I510" i="3"/>
  <c r="J510" i="3" s="1"/>
  <c r="L510" i="3" s="1"/>
  <c r="I502" i="3"/>
  <c r="J502" i="3" s="1"/>
  <c r="I480" i="3"/>
  <c r="J480" i="3" s="1"/>
  <c r="L480" i="3" s="1"/>
  <c r="I494" i="3"/>
  <c r="J494" i="3" s="1"/>
  <c r="I472" i="3"/>
  <c r="J472" i="3" s="1"/>
  <c r="L472" i="3" s="1"/>
  <c r="I486" i="3"/>
  <c r="J486" i="3" s="1"/>
  <c r="I464" i="3"/>
  <c r="J464" i="3" s="1"/>
  <c r="L464" i="3" s="1"/>
  <c r="I478" i="3"/>
  <c r="J478" i="3" s="1"/>
  <c r="I470" i="3"/>
  <c r="J470" i="3" s="1"/>
  <c r="L470" i="3" s="1"/>
  <c r="I462" i="3"/>
  <c r="J462" i="3" s="1"/>
  <c r="I391" i="3"/>
  <c r="J391" i="3" s="1"/>
  <c r="L391" i="3" s="1"/>
  <c r="I387" i="3"/>
  <c r="J387" i="3" s="1"/>
  <c r="L387" i="3" s="1"/>
  <c r="I383" i="3"/>
  <c r="J383" i="3" s="1"/>
  <c r="L383" i="3" s="1"/>
  <c r="I379" i="3"/>
  <c r="J379" i="3" s="1"/>
  <c r="L379" i="3" s="1"/>
  <c r="I373" i="3"/>
  <c r="J373" i="3" s="1"/>
  <c r="L373" i="3" s="1"/>
  <c r="I369" i="3"/>
  <c r="J369" i="3" s="1"/>
  <c r="L369" i="3" s="1"/>
  <c r="I363" i="3"/>
  <c r="J363" i="3" s="1"/>
  <c r="L363" i="3" s="1"/>
  <c r="I359" i="3"/>
  <c r="J359" i="3" s="1"/>
  <c r="L359" i="3" s="1"/>
  <c r="I355" i="3"/>
  <c r="J355" i="3" s="1"/>
  <c r="L355" i="3" s="1"/>
  <c r="I351" i="3"/>
  <c r="J351" i="3" s="1"/>
  <c r="L351" i="3" s="1"/>
  <c r="I345" i="3"/>
  <c r="J345" i="3" s="1"/>
  <c r="L345" i="3" s="1"/>
  <c r="I341" i="3"/>
  <c r="J341" i="3" s="1"/>
  <c r="L341" i="3" s="1"/>
  <c r="I337" i="3"/>
  <c r="J337" i="3" s="1"/>
  <c r="L337" i="3" s="1"/>
  <c r="I333" i="3"/>
  <c r="J333" i="3" s="1"/>
  <c r="L333" i="3" s="1"/>
  <c r="I327" i="3"/>
  <c r="J327" i="3" s="1"/>
  <c r="L327" i="3" s="1"/>
  <c r="I323" i="3"/>
  <c r="J323" i="3" s="1"/>
  <c r="L323" i="3" s="1"/>
  <c r="I319" i="3"/>
  <c r="J319" i="3" s="1"/>
  <c r="L319" i="3" s="1"/>
  <c r="I315" i="3"/>
  <c r="J315" i="3" s="1"/>
  <c r="L315" i="3" s="1"/>
  <c r="I311" i="3"/>
  <c r="J311" i="3" s="1"/>
  <c r="L311" i="3" s="1"/>
  <c r="I305" i="3"/>
  <c r="J305" i="3" s="1"/>
  <c r="L305" i="3" s="1"/>
  <c r="I301" i="3"/>
  <c r="J301" i="3" s="1"/>
  <c r="L301" i="3" s="1"/>
  <c r="I297" i="3"/>
  <c r="J297" i="3" s="1"/>
  <c r="L297" i="3" s="1"/>
  <c r="I293" i="3"/>
  <c r="J293" i="3" s="1"/>
  <c r="L293" i="3" s="1"/>
  <c r="I289" i="3"/>
  <c r="J289" i="3" s="1"/>
  <c r="L289" i="3" s="1"/>
  <c r="I285" i="3"/>
  <c r="J285" i="3" s="1"/>
  <c r="L285" i="3" s="1"/>
  <c r="I281" i="3"/>
  <c r="J281" i="3" s="1"/>
  <c r="L281" i="3" s="1"/>
  <c r="I275" i="3"/>
  <c r="J275" i="3" s="1"/>
  <c r="L275" i="3" s="1"/>
  <c r="I263" i="3"/>
  <c r="J263" i="3" s="1"/>
  <c r="L263" i="3" s="1"/>
  <c r="I259" i="3"/>
  <c r="J259" i="3" s="1"/>
  <c r="L259" i="3" s="1"/>
  <c r="I255" i="3"/>
  <c r="J255" i="3" s="1"/>
  <c r="L255" i="3" s="1"/>
  <c r="I251" i="3"/>
  <c r="J251" i="3" s="1"/>
  <c r="L251" i="3" s="1"/>
  <c r="I247" i="3"/>
  <c r="J247" i="3" s="1"/>
  <c r="L247" i="3" s="1"/>
  <c r="I243" i="3"/>
  <c r="J243" i="3" s="1"/>
  <c r="L243" i="3" s="1"/>
  <c r="I239" i="3"/>
  <c r="J239" i="3" s="1"/>
  <c r="L239" i="3" s="1"/>
  <c r="I235" i="3"/>
  <c r="J235" i="3" s="1"/>
  <c r="L235" i="3" s="1"/>
  <c r="I225" i="3"/>
  <c r="J225" i="3" s="1"/>
  <c r="L225" i="3" s="1"/>
  <c r="I217" i="3"/>
  <c r="J217" i="3" s="1"/>
  <c r="L217" i="3" s="1"/>
  <c r="I230" i="3"/>
  <c r="J230" i="3" s="1"/>
  <c r="I209" i="3"/>
  <c r="J209" i="3" s="1"/>
  <c r="L209" i="3" s="1"/>
  <c r="I222" i="3"/>
  <c r="J222" i="3" s="1"/>
  <c r="I201" i="3"/>
  <c r="J201" i="3" s="1"/>
  <c r="L201" i="3" s="1"/>
  <c r="I214" i="3"/>
  <c r="J214" i="3" s="1"/>
  <c r="I206" i="3"/>
  <c r="J206" i="3" s="1"/>
  <c r="L206" i="3" s="1"/>
  <c r="L392" i="3"/>
  <c r="L388" i="3"/>
  <c r="L384" i="3"/>
  <c r="L380" i="3"/>
  <c r="L376" i="3"/>
  <c r="L372" i="3"/>
  <c r="I389" i="3"/>
  <c r="J389" i="3" s="1"/>
  <c r="L389" i="3" s="1"/>
  <c r="L368" i="3"/>
  <c r="I385" i="3"/>
  <c r="J385" i="3" s="1"/>
  <c r="L385" i="3" s="1"/>
  <c r="L364" i="3"/>
  <c r="I381" i="3"/>
  <c r="J381" i="3" s="1"/>
  <c r="L381" i="3" s="1"/>
  <c r="L360" i="3"/>
  <c r="I375" i="3"/>
  <c r="J375" i="3" s="1"/>
  <c r="L375" i="3" s="1"/>
  <c r="L356" i="3"/>
  <c r="I371" i="3"/>
  <c r="J371" i="3" s="1"/>
  <c r="L371" i="3" s="1"/>
  <c r="L352" i="3"/>
  <c r="I367" i="3"/>
  <c r="J367" i="3" s="1"/>
  <c r="L367" i="3" s="1"/>
  <c r="L348" i="3"/>
  <c r="I361" i="3"/>
  <c r="J361" i="3" s="1"/>
  <c r="L361" i="3" s="1"/>
  <c r="L344" i="3"/>
  <c r="I342" i="3"/>
  <c r="J342" i="3" s="1"/>
  <c r="I357" i="3"/>
  <c r="J357" i="3" s="1"/>
  <c r="L357" i="3" s="1"/>
  <c r="L340" i="3"/>
  <c r="I353" i="3"/>
  <c r="J353" i="3" s="1"/>
  <c r="L353" i="3" s="1"/>
  <c r="L336" i="3"/>
  <c r="I347" i="3"/>
  <c r="J347" i="3" s="1"/>
  <c r="L347" i="3" s="1"/>
  <c r="L332" i="3"/>
  <c r="I343" i="3"/>
  <c r="J343" i="3" s="1"/>
  <c r="L343" i="3" s="1"/>
  <c r="L328" i="3"/>
  <c r="I326" i="3"/>
  <c r="J326" i="3" s="1"/>
  <c r="I339" i="3"/>
  <c r="J339" i="3" s="1"/>
  <c r="L339" i="3" s="1"/>
  <c r="L324" i="3"/>
  <c r="I335" i="3"/>
  <c r="J335" i="3" s="1"/>
  <c r="L335" i="3" s="1"/>
  <c r="L320" i="3"/>
  <c r="I331" i="3"/>
  <c r="J331" i="3" s="1"/>
  <c r="L331" i="3" s="1"/>
  <c r="L316" i="3"/>
  <c r="I325" i="3"/>
  <c r="J325" i="3" s="1"/>
  <c r="L325" i="3" s="1"/>
  <c r="L312" i="3"/>
  <c r="I310" i="3"/>
  <c r="J310" i="3" s="1"/>
  <c r="I321" i="3"/>
  <c r="J321" i="3" s="1"/>
  <c r="L321" i="3" s="1"/>
  <c r="L308" i="3"/>
  <c r="I317" i="3"/>
  <c r="J317" i="3" s="1"/>
  <c r="L317" i="3" s="1"/>
  <c r="L304" i="3"/>
  <c r="I313" i="3"/>
  <c r="J313" i="3" s="1"/>
  <c r="L313" i="3" s="1"/>
  <c r="L300" i="3"/>
  <c r="I309" i="3"/>
  <c r="J309" i="3" s="1"/>
  <c r="L309" i="3" s="1"/>
  <c r="L296" i="3"/>
  <c r="I303" i="3"/>
  <c r="J303" i="3" s="1"/>
  <c r="L303" i="3" s="1"/>
  <c r="L292" i="3"/>
  <c r="I299" i="3"/>
  <c r="J299" i="3" s="1"/>
  <c r="L299" i="3" s="1"/>
  <c r="L288" i="3"/>
  <c r="I286" i="3"/>
  <c r="J286" i="3" s="1"/>
  <c r="I295" i="3"/>
  <c r="J295" i="3" s="1"/>
  <c r="L295" i="3" s="1"/>
  <c r="L284" i="3"/>
  <c r="I291" i="3"/>
  <c r="J291" i="3" s="1"/>
  <c r="L291" i="3" s="1"/>
  <c r="L280" i="3"/>
  <c r="I287" i="3"/>
  <c r="J287" i="3" s="1"/>
  <c r="L287" i="3" s="1"/>
  <c r="L276" i="3"/>
  <c r="I283" i="3"/>
  <c r="J283" i="3" s="1"/>
  <c r="L283" i="3" s="1"/>
  <c r="L272" i="3"/>
  <c r="I279" i="3"/>
  <c r="J279" i="3" s="1"/>
  <c r="L279" i="3" s="1"/>
  <c r="L264" i="3"/>
  <c r="I262" i="3"/>
  <c r="J262" i="3" s="1"/>
  <c r="L260" i="3"/>
  <c r="I261" i="3"/>
  <c r="J261" i="3" s="1"/>
  <c r="L261" i="3" s="1"/>
  <c r="L256" i="3"/>
  <c r="I257" i="3"/>
  <c r="J257" i="3" s="1"/>
  <c r="L257" i="3" s="1"/>
  <c r="L252" i="3"/>
  <c r="I253" i="3"/>
  <c r="J253" i="3" s="1"/>
  <c r="L253" i="3" s="1"/>
  <c r="L248" i="3"/>
  <c r="I249" i="3"/>
  <c r="J249" i="3" s="1"/>
  <c r="L249" i="3" s="1"/>
  <c r="L244" i="3"/>
  <c r="I245" i="3"/>
  <c r="J245" i="3" s="1"/>
  <c r="L245" i="3" s="1"/>
  <c r="L240" i="3"/>
  <c r="I241" i="3"/>
  <c r="J241" i="3" s="1"/>
  <c r="L241" i="3" s="1"/>
  <c r="L236" i="3"/>
  <c r="I237" i="3"/>
  <c r="J237" i="3" s="1"/>
  <c r="L237" i="3" s="1"/>
  <c r="I229" i="3"/>
  <c r="J229" i="3" s="1"/>
  <c r="L229" i="3" s="1"/>
  <c r="I221" i="3"/>
  <c r="J221" i="3" s="1"/>
  <c r="L221" i="3" s="1"/>
  <c r="I213" i="3"/>
  <c r="J213" i="3" s="1"/>
  <c r="L213" i="3" s="1"/>
  <c r="I226" i="3"/>
  <c r="J226" i="3" s="1"/>
  <c r="I205" i="3"/>
  <c r="J205" i="3" s="1"/>
  <c r="L205" i="3" s="1"/>
  <c r="I218" i="3"/>
  <c r="J218" i="3" s="1"/>
  <c r="I210" i="3"/>
  <c r="J210" i="3" s="1"/>
  <c r="I202" i="3"/>
  <c r="J202" i="3" s="1"/>
  <c r="L232" i="3"/>
  <c r="I231" i="3"/>
  <c r="J231" i="3" s="1"/>
  <c r="L231" i="3" s="1"/>
  <c r="L228" i="3"/>
  <c r="I227" i="3"/>
  <c r="J227" i="3" s="1"/>
  <c r="L227" i="3" s="1"/>
  <c r="L224" i="3"/>
  <c r="I223" i="3"/>
  <c r="J223" i="3" s="1"/>
  <c r="L223" i="3" s="1"/>
  <c r="L220" i="3"/>
  <c r="I219" i="3"/>
  <c r="J219" i="3" s="1"/>
  <c r="L219" i="3" s="1"/>
  <c r="L216" i="3"/>
  <c r="I215" i="3"/>
  <c r="J215" i="3" s="1"/>
  <c r="L215" i="3" s="1"/>
  <c r="L212" i="3"/>
  <c r="I211" i="3"/>
  <c r="J211" i="3" s="1"/>
  <c r="L211" i="3" s="1"/>
  <c r="L208" i="3"/>
  <c r="I207" i="3"/>
  <c r="J207" i="3" s="1"/>
  <c r="L207" i="3" s="1"/>
  <c r="L204" i="3"/>
  <c r="I203" i="3"/>
  <c r="J203" i="3" s="1"/>
  <c r="L203" i="3" s="1"/>
  <c r="L200" i="3"/>
  <c r="I198" i="3"/>
  <c r="J198" i="3" s="1"/>
  <c r="I199" i="3"/>
  <c r="J199" i="3" s="1"/>
  <c r="L199" i="3" s="1"/>
  <c r="L196" i="3"/>
  <c r="I195" i="3"/>
  <c r="J195" i="3" s="1"/>
  <c r="L195" i="3" s="1"/>
  <c r="I190" i="3"/>
  <c r="J190" i="3" s="1"/>
  <c r="L190" i="3" s="1"/>
  <c r="I191" i="3"/>
  <c r="J191" i="3" s="1"/>
  <c r="L191" i="3" s="1"/>
  <c r="L188" i="3"/>
  <c r="I187" i="3"/>
  <c r="J187" i="3" s="1"/>
  <c r="L187" i="3" s="1"/>
  <c r="I183" i="3"/>
  <c r="J183" i="3" s="1"/>
  <c r="L183" i="3" s="1"/>
  <c r="L180" i="3"/>
  <c r="I179" i="3"/>
  <c r="J179" i="3" s="1"/>
  <c r="L179" i="3" s="1"/>
  <c r="I175" i="3"/>
  <c r="J175" i="3" s="1"/>
  <c r="L175" i="3" s="1"/>
  <c r="L172" i="3"/>
  <c r="I169" i="3"/>
  <c r="J169" i="3" s="1"/>
  <c r="L169" i="3" s="1"/>
  <c r="L163" i="3"/>
  <c r="I164" i="3"/>
  <c r="J164" i="3" s="1"/>
  <c r="L164" i="3" s="1"/>
  <c r="I160" i="3"/>
  <c r="J160" i="3" s="1"/>
  <c r="L160" i="3" s="1"/>
  <c r="L155" i="3"/>
  <c r="I153" i="3"/>
  <c r="J153" i="3" s="1"/>
  <c r="I156" i="3"/>
  <c r="J156" i="3" s="1"/>
  <c r="L156" i="3" s="1"/>
  <c r="L151" i="3"/>
  <c r="I152" i="3"/>
  <c r="J152" i="3" s="1"/>
  <c r="L152" i="3" s="1"/>
  <c r="L147" i="3"/>
  <c r="I148" i="3"/>
  <c r="J148" i="3" s="1"/>
  <c r="L148" i="3" s="1"/>
  <c r="L143" i="3"/>
  <c r="I144" i="3"/>
  <c r="J144" i="3" s="1"/>
  <c r="L144" i="3" s="1"/>
  <c r="L139" i="3"/>
  <c r="I140" i="3"/>
  <c r="J140" i="3" s="1"/>
  <c r="L140" i="3" s="1"/>
  <c r="L135" i="3"/>
  <c r="I136" i="3"/>
  <c r="J136" i="3" s="1"/>
  <c r="L136" i="3" s="1"/>
  <c r="L131" i="3"/>
  <c r="I126" i="3"/>
  <c r="J126" i="3" s="1"/>
  <c r="L126" i="3" s="1"/>
  <c r="I115" i="3"/>
  <c r="J115" i="3" s="1"/>
  <c r="L115" i="3" s="1"/>
  <c r="I131" i="3"/>
  <c r="J131" i="3" s="1"/>
  <c r="I107" i="3"/>
  <c r="J107" i="3" s="1"/>
  <c r="L107" i="3" s="1"/>
  <c r="I123" i="3"/>
  <c r="J123" i="3" s="1"/>
  <c r="I118" i="3"/>
  <c r="J118" i="3" s="1"/>
  <c r="L118" i="3" s="1"/>
  <c r="I110" i="3"/>
  <c r="J110" i="3" s="1"/>
  <c r="I102" i="3"/>
  <c r="J102" i="3" s="1"/>
  <c r="L193" i="3"/>
  <c r="L189" i="3"/>
  <c r="L177" i="3"/>
  <c r="L173" i="3"/>
  <c r="L165" i="3"/>
  <c r="I158" i="3"/>
  <c r="J158" i="3" s="1"/>
  <c r="L158" i="3" s="1"/>
  <c r="I154" i="3"/>
  <c r="J154" i="3" s="1"/>
  <c r="L154" i="3" s="1"/>
  <c r="I150" i="3"/>
  <c r="J150" i="3" s="1"/>
  <c r="L150" i="3" s="1"/>
  <c r="I146" i="3"/>
  <c r="J146" i="3" s="1"/>
  <c r="L146" i="3" s="1"/>
  <c r="I142" i="3"/>
  <c r="J142" i="3" s="1"/>
  <c r="L142" i="3" s="1"/>
  <c r="I132" i="3"/>
  <c r="J132" i="3" s="1"/>
  <c r="L132" i="3" s="1"/>
  <c r="I111" i="3"/>
  <c r="J111" i="3" s="1"/>
  <c r="L111" i="3" s="1"/>
  <c r="I127" i="3"/>
  <c r="J127" i="3" s="1"/>
  <c r="L127" i="3" s="1"/>
  <c r="I122" i="3"/>
  <c r="J122" i="3" s="1"/>
  <c r="I103" i="3"/>
  <c r="J103" i="3" s="1"/>
  <c r="L103" i="3" s="1"/>
  <c r="I114" i="3"/>
  <c r="J114" i="3" s="1"/>
  <c r="I106" i="3"/>
  <c r="J106" i="3" s="1"/>
  <c r="L106" i="3" s="1"/>
  <c r="I99" i="3"/>
  <c r="J99" i="3" s="1"/>
  <c r="L99" i="3" s="1"/>
  <c r="I95" i="3"/>
  <c r="J95" i="3" s="1"/>
  <c r="L95" i="3" s="1"/>
  <c r="I91" i="3"/>
  <c r="J91" i="3" s="1"/>
  <c r="L91" i="3" s="1"/>
  <c r="I87" i="3"/>
  <c r="J87" i="3" s="1"/>
  <c r="L87" i="3" s="1"/>
  <c r="I83" i="3"/>
  <c r="J83" i="3" s="1"/>
  <c r="L83" i="3" s="1"/>
  <c r="I79" i="3"/>
  <c r="J79" i="3" s="1"/>
  <c r="L79" i="3" s="1"/>
  <c r="I75" i="3"/>
  <c r="J75" i="3" s="1"/>
  <c r="L75" i="3" s="1"/>
  <c r="L63" i="3"/>
  <c r="L55" i="3"/>
  <c r="L48" i="3"/>
  <c r="L44" i="3"/>
  <c r="L36" i="3"/>
  <c r="L28" i="3"/>
  <c r="L24" i="3"/>
  <c r="I138" i="3"/>
  <c r="J138" i="3" s="1"/>
  <c r="L138" i="3" s="1"/>
  <c r="I134" i="3"/>
  <c r="J134" i="3" s="1"/>
  <c r="L134" i="3" s="1"/>
  <c r="I130" i="3"/>
  <c r="J130" i="3" s="1"/>
  <c r="L130" i="3" s="1"/>
  <c r="I124" i="3"/>
  <c r="J124" i="3" s="1"/>
  <c r="L124" i="3" s="1"/>
  <c r="L116" i="3"/>
  <c r="L112" i="3"/>
  <c r="I113" i="3"/>
  <c r="J113" i="3" s="1"/>
  <c r="L113" i="3" s="1"/>
  <c r="L108" i="3"/>
  <c r="I109" i="3"/>
  <c r="J109" i="3" s="1"/>
  <c r="L109" i="3" s="1"/>
  <c r="I105" i="3"/>
  <c r="J105" i="3" s="1"/>
  <c r="L105" i="3" s="1"/>
  <c r="L100" i="3"/>
  <c r="I101" i="3"/>
  <c r="J101" i="3" s="1"/>
  <c r="L101" i="3" s="1"/>
  <c r="I97" i="3"/>
  <c r="J97" i="3" s="1"/>
  <c r="L97" i="3" s="1"/>
  <c r="L92" i="3"/>
  <c r="I90" i="3"/>
  <c r="J90" i="3" s="1"/>
  <c r="I93" i="3"/>
  <c r="J93" i="3" s="1"/>
  <c r="L93" i="3" s="1"/>
  <c r="L88" i="3"/>
  <c r="I86" i="3"/>
  <c r="J86" i="3" s="1"/>
  <c r="I89" i="3"/>
  <c r="J89" i="3" s="1"/>
  <c r="L89" i="3" s="1"/>
  <c r="L84" i="3"/>
  <c r="I85" i="3"/>
  <c r="J85" i="3" s="1"/>
  <c r="L85" i="3" s="1"/>
  <c r="I81" i="3"/>
  <c r="J81" i="3" s="1"/>
  <c r="L81" i="3" s="1"/>
  <c r="L76" i="3"/>
  <c r="I74" i="3"/>
  <c r="J74" i="3" s="1"/>
  <c r="L74" i="3" s="1"/>
  <c r="I77" i="3"/>
  <c r="J77" i="3" s="1"/>
  <c r="L77" i="3" s="1"/>
  <c r="I70" i="3"/>
  <c r="J70" i="3" s="1"/>
  <c r="I67" i="3"/>
  <c r="J67" i="3" s="1"/>
  <c r="L67" i="3" s="1"/>
  <c r="I66" i="3"/>
  <c r="J66" i="3" s="1"/>
  <c r="L66" i="3" s="1"/>
  <c r="I62" i="3"/>
  <c r="J62" i="3" s="1"/>
  <c r="L62" i="3" s="1"/>
  <c r="I59" i="3"/>
  <c r="J59" i="3" s="1"/>
  <c r="L59" i="3" s="1"/>
  <c r="I58" i="3"/>
  <c r="J58" i="3" s="1"/>
  <c r="L58" i="3" s="1"/>
  <c r="I54" i="3"/>
  <c r="J54" i="3" s="1"/>
  <c r="L54" i="3" s="1"/>
  <c r="L46" i="3"/>
  <c r="L38" i="3"/>
  <c r="L34" i="3"/>
  <c r="I32" i="3"/>
  <c r="J32" i="3" s="1"/>
  <c r="L32" i="3" s="1"/>
  <c r="L30" i="3"/>
  <c r="L26" i="3"/>
  <c r="L1232" i="3"/>
  <c r="L1224" i="3"/>
  <c r="L1216" i="3"/>
  <c r="L1204" i="3"/>
  <c r="I1198" i="3"/>
  <c r="J1198" i="3" s="1"/>
  <c r="L1198" i="3" s="1"/>
  <c r="I1194" i="3"/>
  <c r="J1194" i="3" s="1"/>
  <c r="L1194" i="3" s="1"/>
  <c r="I1192" i="3"/>
  <c r="J1192" i="3" s="1"/>
  <c r="L1192" i="3" s="1"/>
  <c r="I1190" i="3"/>
  <c r="J1190" i="3" s="1"/>
  <c r="L1190" i="3" s="1"/>
  <c r="L1195" i="3"/>
  <c r="L1193" i="3"/>
  <c r="L1191" i="3"/>
  <c r="L1187" i="3"/>
  <c r="L1183" i="3"/>
  <c r="L1181" i="3"/>
  <c r="L1179" i="3"/>
  <c r="L1177" i="3"/>
  <c r="L1175" i="3"/>
  <c r="L1171" i="3"/>
  <c r="L1167" i="3"/>
  <c r="L1165" i="3"/>
  <c r="L1163" i="3"/>
  <c r="L1161" i="3"/>
  <c r="L1159" i="3"/>
  <c r="L1155" i="3"/>
  <c r="L1151" i="3"/>
  <c r="L1149" i="3"/>
  <c r="L1147" i="3"/>
  <c r="L1145" i="3"/>
  <c r="L1143" i="3"/>
  <c r="L1139" i="3"/>
  <c r="L1135" i="3"/>
  <c r="L1133" i="3"/>
  <c r="L1131" i="3"/>
  <c r="L1129" i="3"/>
  <c r="L1127" i="3"/>
  <c r="L1123" i="3"/>
  <c r="L1119" i="3"/>
  <c r="L1117" i="3"/>
  <c r="L1115" i="3"/>
  <c r="L1113" i="3"/>
  <c r="L1111" i="3"/>
  <c r="L1107" i="3"/>
  <c r="L1103" i="3"/>
  <c r="L1101" i="3"/>
  <c r="L1099" i="3"/>
  <c r="L1097" i="3"/>
  <c r="L1095" i="3"/>
  <c r="L1091" i="3"/>
  <c r="L1087" i="3"/>
  <c r="L1083" i="3"/>
  <c r="L1081" i="3"/>
  <c r="L1079" i="3"/>
  <c r="L1075" i="3"/>
  <c r="I1092" i="3"/>
  <c r="J1092" i="3" s="1"/>
  <c r="L1092" i="3" s="1"/>
  <c r="L1071" i="3"/>
  <c r="I1088" i="3"/>
  <c r="J1088" i="3" s="1"/>
  <c r="L1088" i="3" s="1"/>
  <c r="L1067" i="3"/>
  <c r="I1084" i="3"/>
  <c r="J1084" i="3" s="1"/>
  <c r="L1084" i="3" s="1"/>
  <c r="L1063" i="3"/>
  <c r="I1080" i="3"/>
  <c r="J1080" i="3" s="1"/>
  <c r="L1080" i="3" s="1"/>
  <c r="L1059" i="3"/>
  <c r="I1076" i="3"/>
  <c r="J1076" i="3" s="1"/>
  <c r="L1076" i="3" s="1"/>
  <c r="L1055" i="3"/>
  <c r="L1051" i="3"/>
  <c r="L1047" i="3"/>
  <c r="L1043" i="3"/>
  <c r="L1039" i="3"/>
  <c r="L1035" i="3"/>
  <c r="L1031" i="3"/>
  <c r="L1027" i="3"/>
  <c r="L1023" i="3"/>
  <c r="L1019" i="3"/>
  <c r="L1015" i="3"/>
  <c r="L1011" i="3"/>
  <c r="L1007" i="3"/>
  <c r="L1003" i="3"/>
  <c r="L999" i="3"/>
  <c r="L995" i="3"/>
  <c r="L991" i="3"/>
  <c r="L987" i="3"/>
  <c r="L983" i="3"/>
  <c r="L979" i="3"/>
  <c r="L975" i="3"/>
  <c r="L971" i="3"/>
  <c r="L967" i="3"/>
  <c r="L963" i="3"/>
  <c r="L959" i="3"/>
  <c r="L955" i="3"/>
  <c r="L951" i="3"/>
  <c r="L947" i="3"/>
  <c r="L943" i="3"/>
  <c r="L935" i="3"/>
  <c r="L931" i="3"/>
  <c r="L927" i="3"/>
  <c r="L923" i="3"/>
  <c r="L919" i="3"/>
  <c r="L915" i="3"/>
  <c r="L911" i="3"/>
  <c r="L903" i="3"/>
  <c r="L899" i="3"/>
  <c r="L895" i="3"/>
  <c r="L887" i="3"/>
  <c r="L879" i="3"/>
  <c r="L875" i="3"/>
  <c r="L871" i="3"/>
  <c r="L867" i="3"/>
  <c r="L863" i="3"/>
  <c r="L859" i="3"/>
  <c r="I1196" i="3"/>
  <c r="J1196" i="3" s="1"/>
  <c r="L1196" i="3" s="1"/>
  <c r="I1188" i="3"/>
  <c r="J1188" i="3" s="1"/>
  <c r="L1188" i="3" s="1"/>
  <c r="I1186" i="3"/>
  <c r="J1186" i="3" s="1"/>
  <c r="L1186" i="3" s="1"/>
  <c r="I1184" i="3"/>
  <c r="J1184" i="3" s="1"/>
  <c r="L1184" i="3" s="1"/>
  <c r="I1182" i="3"/>
  <c r="J1182" i="3" s="1"/>
  <c r="L1182" i="3" s="1"/>
  <c r="I1180" i="3"/>
  <c r="J1180" i="3" s="1"/>
  <c r="L1180" i="3" s="1"/>
  <c r="I1178" i="3"/>
  <c r="J1178" i="3" s="1"/>
  <c r="L1178" i="3" s="1"/>
  <c r="I1176" i="3"/>
  <c r="J1176" i="3" s="1"/>
  <c r="L1176" i="3" s="1"/>
  <c r="I1174" i="3"/>
  <c r="J1174" i="3" s="1"/>
  <c r="L1174" i="3" s="1"/>
  <c r="I1172" i="3"/>
  <c r="J1172" i="3" s="1"/>
  <c r="L1172" i="3" s="1"/>
  <c r="I1170" i="3"/>
  <c r="J1170" i="3" s="1"/>
  <c r="L1170" i="3" s="1"/>
  <c r="I1168" i="3"/>
  <c r="J1168" i="3" s="1"/>
  <c r="L1168" i="3" s="1"/>
  <c r="I1166" i="3"/>
  <c r="J1166" i="3" s="1"/>
  <c r="L1166" i="3" s="1"/>
  <c r="I1164" i="3"/>
  <c r="J1164" i="3" s="1"/>
  <c r="L1164" i="3" s="1"/>
  <c r="I1162" i="3"/>
  <c r="J1162" i="3" s="1"/>
  <c r="L1162" i="3" s="1"/>
  <c r="I1160" i="3"/>
  <c r="J1160" i="3" s="1"/>
  <c r="L1160" i="3" s="1"/>
  <c r="I1158" i="3"/>
  <c r="J1158" i="3" s="1"/>
  <c r="L1158" i="3" s="1"/>
  <c r="I1156" i="3"/>
  <c r="J1156" i="3" s="1"/>
  <c r="L1156" i="3" s="1"/>
  <c r="I1154" i="3"/>
  <c r="J1154" i="3" s="1"/>
  <c r="L1154" i="3" s="1"/>
  <c r="I1152" i="3"/>
  <c r="J1152" i="3" s="1"/>
  <c r="L1152" i="3" s="1"/>
  <c r="I1150" i="3"/>
  <c r="J1150" i="3" s="1"/>
  <c r="L1150" i="3" s="1"/>
  <c r="I1148" i="3"/>
  <c r="J1148" i="3" s="1"/>
  <c r="L1148" i="3" s="1"/>
  <c r="I1146" i="3"/>
  <c r="J1146" i="3" s="1"/>
  <c r="L1146" i="3" s="1"/>
  <c r="I1144" i="3"/>
  <c r="J1144" i="3" s="1"/>
  <c r="L1144" i="3" s="1"/>
  <c r="I1142" i="3"/>
  <c r="J1142" i="3" s="1"/>
  <c r="L1142" i="3" s="1"/>
  <c r="I1140" i="3"/>
  <c r="J1140" i="3" s="1"/>
  <c r="L1140" i="3" s="1"/>
  <c r="I1138" i="3"/>
  <c r="J1138" i="3" s="1"/>
  <c r="L1138" i="3" s="1"/>
  <c r="I1136" i="3"/>
  <c r="J1136" i="3" s="1"/>
  <c r="L1136" i="3" s="1"/>
  <c r="I1134" i="3"/>
  <c r="J1134" i="3" s="1"/>
  <c r="L1134" i="3" s="1"/>
  <c r="I1132" i="3"/>
  <c r="J1132" i="3" s="1"/>
  <c r="L1132" i="3" s="1"/>
  <c r="I1130" i="3"/>
  <c r="J1130" i="3" s="1"/>
  <c r="L1130" i="3" s="1"/>
  <c r="I1128" i="3"/>
  <c r="J1128" i="3" s="1"/>
  <c r="L1128" i="3" s="1"/>
  <c r="I1126" i="3"/>
  <c r="J1126" i="3" s="1"/>
  <c r="L1126" i="3" s="1"/>
  <c r="I1124" i="3"/>
  <c r="J1124" i="3" s="1"/>
  <c r="L1124" i="3" s="1"/>
  <c r="I1122" i="3"/>
  <c r="J1122" i="3" s="1"/>
  <c r="L1122" i="3" s="1"/>
  <c r="I1120" i="3"/>
  <c r="J1120" i="3" s="1"/>
  <c r="L1120" i="3" s="1"/>
  <c r="I1118" i="3"/>
  <c r="J1118" i="3" s="1"/>
  <c r="L1118" i="3" s="1"/>
  <c r="I1116" i="3"/>
  <c r="J1116" i="3" s="1"/>
  <c r="L1116" i="3" s="1"/>
  <c r="I1114" i="3"/>
  <c r="J1114" i="3" s="1"/>
  <c r="L1114" i="3" s="1"/>
  <c r="I1112" i="3"/>
  <c r="J1112" i="3" s="1"/>
  <c r="L1112" i="3" s="1"/>
  <c r="I1110" i="3"/>
  <c r="J1110" i="3" s="1"/>
  <c r="L1110" i="3" s="1"/>
  <c r="I1108" i="3"/>
  <c r="J1108" i="3" s="1"/>
  <c r="L1108" i="3" s="1"/>
  <c r="I1106" i="3"/>
  <c r="J1106" i="3" s="1"/>
  <c r="L1106" i="3" s="1"/>
  <c r="I1104" i="3"/>
  <c r="J1104" i="3" s="1"/>
  <c r="L1104" i="3" s="1"/>
  <c r="I1102" i="3"/>
  <c r="J1102" i="3" s="1"/>
  <c r="L1102" i="3" s="1"/>
  <c r="I1100" i="3"/>
  <c r="J1100" i="3" s="1"/>
  <c r="L1100" i="3" s="1"/>
  <c r="I1098" i="3"/>
  <c r="J1098" i="3" s="1"/>
  <c r="L1098" i="3" s="1"/>
  <c r="I1096" i="3"/>
  <c r="J1096" i="3" s="1"/>
  <c r="L1096" i="3" s="1"/>
  <c r="I1094" i="3"/>
  <c r="J1094" i="3" s="1"/>
  <c r="L1094" i="3" s="1"/>
  <c r="I1090" i="3"/>
  <c r="J1090" i="3" s="1"/>
  <c r="L1090" i="3" s="1"/>
  <c r="I1086" i="3"/>
  <c r="J1086" i="3" s="1"/>
  <c r="L1086" i="3" s="1"/>
  <c r="I1082" i="3"/>
  <c r="J1082" i="3" s="1"/>
  <c r="L1082" i="3" s="1"/>
  <c r="I1078" i="3"/>
  <c r="J1078" i="3" s="1"/>
  <c r="L1078" i="3" s="1"/>
  <c r="I855" i="3"/>
  <c r="J855" i="3" s="1"/>
  <c r="L855" i="3" s="1"/>
  <c r="I853" i="3"/>
  <c r="J853" i="3" s="1"/>
  <c r="L853" i="3" s="1"/>
  <c r="I851" i="3"/>
  <c r="J851" i="3" s="1"/>
  <c r="L851" i="3" s="1"/>
  <c r="I849" i="3"/>
  <c r="J849" i="3" s="1"/>
  <c r="L849" i="3" s="1"/>
  <c r="I847" i="3"/>
  <c r="J847" i="3" s="1"/>
  <c r="L847" i="3" s="1"/>
  <c r="I845" i="3"/>
  <c r="J845" i="3" s="1"/>
  <c r="L845" i="3" s="1"/>
  <c r="I843" i="3"/>
  <c r="J843" i="3" s="1"/>
  <c r="L843" i="3" s="1"/>
  <c r="I841" i="3"/>
  <c r="J841" i="3" s="1"/>
  <c r="L841" i="3" s="1"/>
  <c r="I839" i="3"/>
  <c r="J839" i="3" s="1"/>
  <c r="L839" i="3" s="1"/>
  <c r="I837" i="3"/>
  <c r="J837" i="3" s="1"/>
  <c r="L837" i="3" s="1"/>
  <c r="I835" i="3"/>
  <c r="J835" i="3" s="1"/>
  <c r="L835" i="3" s="1"/>
  <c r="I833" i="3"/>
  <c r="J833" i="3" s="1"/>
  <c r="L833" i="3" s="1"/>
  <c r="I831" i="3"/>
  <c r="J831" i="3" s="1"/>
  <c r="L831" i="3" s="1"/>
  <c r="I829" i="3"/>
  <c r="J829" i="3" s="1"/>
  <c r="L829" i="3" s="1"/>
  <c r="I827" i="3"/>
  <c r="J827" i="3" s="1"/>
  <c r="L827" i="3" s="1"/>
  <c r="I825" i="3"/>
  <c r="J825" i="3" s="1"/>
  <c r="L825" i="3" s="1"/>
  <c r="I823" i="3"/>
  <c r="J823" i="3" s="1"/>
  <c r="L823" i="3" s="1"/>
  <c r="I821" i="3"/>
  <c r="J821" i="3" s="1"/>
  <c r="L821" i="3" s="1"/>
  <c r="I819" i="3"/>
  <c r="J819" i="3" s="1"/>
  <c r="L819" i="3" s="1"/>
  <c r="I817" i="3"/>
  <c r="J817" i="3" s="1"/>
  <c r="L817" i="3" s="1"/>
  <c r="I815" i="3"/>
  <c r="J815" i="3" s="1"/>
  <c r="L815" i="3" s="1"/>
  <c r="I813" i="3"/>
  <c r="J813" i="3" s="1"/>
  <c r="L813" i="3" s="1"/>
  <c r="I811" i="3"/>
  <c r="J811" i="3" s="1"/>
  <c r="L811" i="3" s="1"/>
  <c r="I809" i="3"/>
  <c r="J809" i="3" s="1"/>
  <c r="L809" i="3" s="1"/>
  <c r="I807" i="3"/>
  <c r="J807" i="3" s="1"/>
  <c r="L807" i="3" s="1"/>
  <c r="I805" i="3"/>
  <c r="J805" i="3" s="1"/>
  <c r="L805" i="3" s="1"/>
  <c r="I803" i="3"/>
  <c r="J803" i="3" s="1"/>
  <c r="L803" i="3" s="1"/>
  <c r="I801" i="3"/>
  <c r="J801" i="3" s="1"/>
  <c r="L801" i="3" s="1"/>
  <c r="I799" i="3"/>
  <c r="J799" i="3" s="1"/>
  <c r="L799" i="3" s="1"/>
  <c r="I797" i="3"/>
  <c r="J797" i="3" s="1"/>
  <c r="L797" i="3" s="1"/>
  <c r="I795" i="3"/>
  <c r="J795" i="3" s="1"/>
  <c r="L795" i="3" s="1"/>
  <c r="I793" i="3"/>
  <c r="J793" i="3" s="1"/>
  <c r="L793" i="3" s="1"/>
  <c r="I791" i="3"/>
  <c r="J791" i="3" s="1"/>
  <c r="L791" i="3" s="1"/>
  <c r="I789" i="3"/>
  <c r="J789" i="3" s="1"/>
  <c r="L789" i="3" s="1"/>
  <c r="I787" i="3"/>
  <c r="J787" i="3" s="1"/>
  <c r="L787" i="3" s="1"/>
  <c r="I785" i="3"/>
  <c r="J785" i="3" s="1"/>
  <c r="L785" i="3" s="1"/>
  <c r="I783" i="3"/>
  <c r="J783" i="3" s="1"/>
  <c r="L783" i="3" s="1"/>
  <c r="I781" i="3"/>
  <c r="J781" i="3" s="1"/>
  <c r="L781" i="3" s="1"/>
  <c r="I779" i="3"/>
  <c r="J779" i="3" s="1"/>
  <c r="L779" i="3" s="1"/>
  <c r="I777" i="3"/>
  <c r="J777" i="3" s="1"/>
  <c r="L777" i="3" s="1"/>
  <c r="I775" i="3"/>
  <c r="J775" i="3" s="1"/>
  <c r="L775" i="3" s="1"/>
  <c r="I773" i="3"/>
  <c r="J773" i="3" s="1"/>
  <c r="L773" i="3" s="1"/>
  <c r="I771" i="3"/>
  <c r="J771" i="3" s="1"/>
  <c r="L771" i="3" s="1"/>
  <c r="I769" i="3"/>
  <c r="J769" i="3" s="1"/>
  <c r="L769" i="3" s="1"/>
  <c r="I767" i="3"/>
  <c r="J767" i="3" s="1"/>
  <c r="L767" i="3" s="1"/>
  <c r="I765" i="3"/>
  <c r="J765" i="3" s="1"/>
  <c r="L765" i="3" s="1"/>
  <c r="I763" i="3"/>
  <c r="J763" i="3" s="1"/>
  <c r="L763" i="3" s="1"/>
  <c r="I761" i="3"/>
  <c r="J761" i="3" s="1"/>
  <c r="L761" i="3" s="1"/>
  <c r="I759" i="3"/>
  <c r="J759" i="3" s="1"/>
  <c r="L759" i="3" s="1"/>
  <c r="I757" i="3"/>
  <c r="J757" i="3" s="1"/>
  <c r="L757" i="3" s="1"/>
  <c r="I755" i="3"/>
  <c r="J755" i="3" s="1"/>
  <c r="L755" i="3" s="1"/>
  <c r="I753" i="3"/>
  <c r="J753" i="3" s="1"/>
  <c r="L753" i="3" s="1"/>
  <c r="I751" i="3"/>
  <c r="J751" i="3" s="1"/>
  <c r="L751" i="3" s="1"/>
  <c r="I749" i="3"/>
  <c r="J749" i="3" s="1"/>
  <c r="L749" i="3" s="1"/>
  <c r="I747" i="3"/>
  <c r="J747" i="3" s="1"/>
  <c r="L747" i="3" s="1"/>
  <c r="I745" i="3"/>
  <c r="J745" i="3" s="1"/>
  <c r="L745" i="3" s="1"/>
  <c r="I743" i="3"/>
  <c r="J743" i="3" s="1"/>
  <c r="L743" i="3" s="1"/>
  <c r="I741" i="3"/>
  <c r="J741" i="3" s="1"/>
  <c r="L741" i="3" s="1"/>
  <c r="I739" i="3"/>
  <c r="J739" i="3" s="1"/>
  <c r="L739" i="3" s="1"/>
  <c r="I737" i="3"/>
  <c r="J737" i="3" s="1"/>
  <c r="L737" i="3" s="1"/>
  <c r="I735" i="3"/>
  <c r="J735" i="3" s="1"/>
  <c r="L735" i="3" s="1"/>
  <c r="I733" i="3"/>
  <c r="J733" i="3" s="1"/>
  <c r="L733" i="3" s="1"/>
  <c r="I731" i="3"/>
  <c r="J731" i="3" s="1"/>
  <c r="L731" i="3" s="1"/>
  <c r="I729" i="3"/>
  <c r="J729" i="3" s="1"/>
  <c r="L729" i="3" s="1"/>
  <c r="I727" i="3"/>
  <c r="J727" i="3" s="1"/>
  <c r="L727" i="3" s="1"/>
  <c r="I725" i="3"/>
  <c r="J725" i="3" s="1"/>
  <c r="L725" i="3" s="1"/>
  <c r="I723" i="3"/>
  <c r="J723" i="3" s="1"/>
  <c r="L723" i="3" s="1"/>
  <c r="I721" i="3"/>
  <c r="J721" i="3" s="1"/>
  <c r="L721" i="3" s="1"/>
  <c r="I719" i="3"/>
  <c r="J719" i="3" s="1"/>
  <c r="L719" i="3" s="1"/>
  <c r="I717" i="3"/>
  <c r="J717" i="3" s="1"/>
  <c r="L717" i="3" s="1"/>
  <c r="L696" i="3"/>
  <c r="I713" i="3"/>
  <c r="J713" i="3" s="1"/>
  <c r="L713" i="3" s="1"/>
  <c r="L692" i="3"/>
  <c r="I709" i="3"/>
  <c r="J709" i="3" s="1"/>
  <c r="L709" i="3" s="1"/>
  <c r="L688" i="3"/>
  <c r="I705" i="3"/>
  <c r="J705" i="3" s="1"/>
  <c r="L705" i="3" s="1"/>
  <c r="L684" i="3"/>
  <c r="I701" i="3"/>
  <c r="J701" i="3" s="1"/>
  <c r="L701" i="3" s="1"/>
  <c r="L680" i="3"/>
  <c r="L676" i="3"/>
  <c r="L672" i="3"/>
  <c r="L668" i="3"/>
  <c r="L664" i="3"/>
  <c r="L660" i="3"/>
  <c r="L656" i="3"/>
  <c r="L652" i="3"/>
  <c r="L648" i="3"/>
  <c r="L644" i="3"/>
  <c r="L640" i="3"/>
  <c r="L636" i="3"/>
  <c r="L632" i="3"/>
  <c r="L628" i="3"/>
  <c r="L624" i="3"/>
  <c r="L620" i="3"/>
  <c r="L616" i="3"/>
  <c r="L612" i="3"/>
  <c r="L608" i="3"/>
  <c r="I878" i="3"/>
  <c r="J878" i="3" s="1"/>
  <c r="L878" i="3" s="1"/>
  <c r="L854" i="3"/>
  <c r="L852" i="3"/>
  <c r="L848" i="3"/>
  <c r="L844" i="3"/>
  <c r="L842" i="3"/>
  <c r="L840" i="3"/>
  <c r="L838" i="3"/>
  <c r="L836" i="3"/>
  <c r="L832" i="3"/>
  <c r="L828" i="3"/>
  <c r="L826" i="3"/>
  <c r="L824" i="3"/>
  <c r="L822" i="3"/>
  <c r="L820" i="3"/>
  <c r="L816" i="3"/>
  <c r="L812" i="3"/>
  <c r="L810" i="3"/>
  <c r="L808" i="3"/>
  <c r="L806" i="3"/>
  <c r="L804" i="3"/>
  <c r="L800" i="3"/>
  <c r="L796" i="3"/>
  <c r="L794" i="3"/>
  <c r="L792" i="3"/>
  <c r="L790" i="3"/>
  <c r="L788" i="3"/>
  <c r="L784" i="3"/>
  <c r="L780" i="3"/>
  <c r="L778" i="3"/>
  <c r="L776" i="3"/>
  <c r="L774" i="3"/>
  <c r="L772" i="3"/>
  <c r="L768" i="3"/>
  <c r="L764" i="3"/>
  <c r="L762" i="3"/>
  <c r="L760" i="3"/>
  <c r="L758" i="3"/>
  <c r="L756" i="3"/>
  <c r="L752" i="3"/>
  <c r="L748" i="3"/>
  <c r="L746" i="3"/>
  <c r="L744" i="3"/>
  <c r="L742" i="3"/>
  <c r="L740" i="3"/>
  <c r="L736" i="3"/>
  <c r="L732" i="3"/>
  <c r="L730" i="3"/>
  <c r="L728" i="3"/>
  <c r="L726" i="3"/>
  <c r="L724" i="3"/>
  <c r="L720" i="3"/>
  <c r="L716" i="3"/>
  <c r="L714" i="3"/>
  <c r="L712" i="3"/>
  <c r="L710" i="3"/>
  <c r="I715" i="3"/>
  <c r="J715" i="3" s="1"/>
  <c r="L715" i="3" s="1"/>
  <c r="I711" i="3"/>
  <c r="J711" i="3" s="1"/>
  <c r="L711" i="3" s="1"/>
  <c r="I707" i="3"/>
  <c r="J707" i="3" s="1"/>
  <c r="L707" i="3" s="1"/>
  <c r="I703" i="3"/>
  <c r="J703" i="3" s="1"/>
  <c r="L703" i="3" s="1"/>
  <c r="I699" i="3"/>
  <c r="J699" i="3" s="1"/>
  <c r="L699" i="3" s="1"/>
  <c r="I605" i="3"/>
  <c r="J605" i="3" s="1"/>
  <c r="L605" i="3" s="1"/>
  <c r="I603" i="3"/>
  <c r="J603" i="3" s="1"/>
  <c r="L603" i="3" s="1"/>
  <c r="I601" i="3"/>
  <c r="J601" i="3" s="1"/>
  <c r="L601" i="3" s="1"/>
  <c r="I599" i="3"/>
  <c r="J599" i="3" s="1"/>
  <c r="L599" i="3" s="1"/>
  <c r="I597" i="3"/>
  <c r="J597" i="3" s="1"/>
  <c r="L597" i="3" s="1"/>
  <c r="I595" i="3"/>
  <c r="J595" i="3" s="1"/>
  <c r="L595" i="3" s="1"/>
  <c r="I593" i="3"/>
  <c r="J593" i="3" s="1"/>
  <c r="L593" i="3" s="1"/>
  <c r="I591" i="3"/>
  <c r="J591" i="3" s="1"/>
  <c r="L591" i="3" s="1"/>
  <c r="I589" i="3"/>
  <c r="J589" i="3" s="1"/>
  <c r="L589" i="3" s="1"/>
  <c r="I587" i="3"/>
  <c r="J587" i="3" s="1"/>
  <c r="L587" i="3" s="1"/>
  <c r="I585" i="3"/>
  <c r="J585" i="3" s="1"/>
  <c r="L585" i="3" s="1"/>
  <c r="I583" i="3"/>
  <c r="J583" i="3" s="1"/>
  <c r="L583" i="3" s="1"/>
  <c r="I581" i="3"/>
  <c r="J581" i="3" s="1"/>
  <c r="L581" i="3" s="1"/>
  <c r="I579" i="3"/>
  <c r="J579" i="3" s="1"/>
  <c r="L579" i="3" s="1"/>
  <c r="I577" i="3"/>
  <c r="J577" i="3" s="1"/>
  <c r="L577" i="3" s="1"/>
  <c r="I575" i="3"/>
  <c r="J575" i="3" s="1"/>
  <c r="L575" i="3" s="1"/>
  <c r="I573" i="3"/>
  <c r="J573" i="3" s="1"/>
  <c r="L573" i="3" s="1"/>
  <c r="I571" i="3"/>
  <c r="J571" i="3" s="1"/>
  <c r="L571" i="3" s="1"/>
  <c r="I569" i="3"/>
  <c r="J569" i="3" s="1"/>
  <c r="L569" i="3" s="1"/>
  <c r="I567" i="3"/>
  <c r="J567" i="3" s="1"/>
  <c r="L567" i="3" s="1"/>
  <c r="I565" i="3"/>
  <c r="J565" i="3" s="1"/>
  <c r="L565" i="3" s="1"/>
  <c r="I563" i="3"/>
  <c r="J563" i="3" s="1"/>
  <c r="L563" i="3" s="1"/>
  <c r="I561" i="3"/>
  <c r="J561" i="3" s="1"/>
  <c r="L561" i="3" s="1"/>
  <c r="I559" i="3"/>
  <c r="J559" i="3" s="1"/>
  <c r="L559" i="3" s="1"/>
  <c r="I557" i="3"/>
  <c r="J557" i="3" s="1"/>
  <c r="L557" i="3" s="1"/>
  <c r="I555" i="3"/>
  <c r="J555" i="3" s="1"/>
  <c r="L555" i="3" s="1"/>
  <c r="I553" i="3"/>
  <c r="J553" i="3" s="1"/>
  <c r="L553" i="3" s="1"/>
  <c r="I551" i="3"/>
  <c r="J551" i="3" s="1"/>
  <c r="L551" i="3" s="1"/>
  <c r="I549" i="3"/>
  <c r="J549" i="3" s="1"/>
  <c r="L549" i="3" s="1"/>
  <c r="I547" i="3"/>
  <c r="J547" i="3" s="1"/>
  <c r="L547" i="3" s="1"/>
  <c r="I545" i="3"/>
  <c r="J545" i="3" s="1"/>
  <c r="L545" i="3" s="1"/>
  <c r="I543" i="3"/>
  <c r="J543" i="3" s="1"/>
  <c r="L543" i="3" s="1"/>
  <c r="I541" i="3"/>
  <c r="J541" i="3" s="1"/>
  <c r="L541" i="3" s="1"/>
  <c r="I539" i="3"/>
  <c r="J539" i="3" s="1"/>
  <c r="L539" i="3" s="1"/>
  <c r="I537" i="3"/>
  <c r="J537" i="3" s="1"/>
  <c r="L537" i="3" s="1"/>
  <c r="I535" i="3"/>
  <c r="J535" i="3" s="1"/>
  <c r="L535" i="3" s="1"/>
  <c r="I533" i="3"/>
  <c r="J533" i="3" s="1"/>
  <c r="L533" i="3" s="1"/>
  <c r="I531" i="3"/>
  <c r="J531" i="3" s="1"/>
  <c r="L531" i="3" s="1"/>
  <c r="I529" i="3"/>
  <c r="J529" i="3" s="1"/>
  <c r="L529" i="3" s="1"/>
  <c r="I527" i="3"/>
  <c r="J527" i="3" s="1"/>
  <c r="L527" i="3" s="1"/>
  <c r="I525" i="3"/>
  <c r="J525" i="3" s="1"/>
  <c r="L525" i="3" s="1"/>
  <c r="I523" i="3"/>
  <c r="J523" i="3" s="1"/>
  <c r="L523" i="3" s="1"/>
  <c r="I521" i="3"/>
  <c r="J521" i="3" s="1"/>
  <c r="L521" i="3" s="1"/>
  <c r="I519" i="3"/>
  <c r="J519" i="3" s="1"/>
  <c r="L519" i="3" s="1"/>
  <c r="I517" i="3"/>
  <c r="J517" i="3" s="1"/>
  <c r="L517" i="3" s="1"/>
  <c r="I515" i="3"/>
  <c r="J515" i="3" s="1"/>
  <c r="L515" i="3" s="1"/>
  <c r="I513" i="3"/>
  <c r="J513" i="3" s="1"/>
  <c r="L513" i="3" s="1"/>
  <c r="I511" i="3"/>
  <c r="J511" i="3" s="1"/>
  <c r="L511" i="3" s="1"/>
  <c r="I509" i="3"/>
  <c r="J509" i="3" s="1"/>
  <c r="L509" i="3" s="1"/>
  <c r="I507" i="3"/>
  <c r="J507" i="3" s="1"/>
  <c r="L507" i="3" s="1"/>
  <c r="I505" i="3"/>
  <c r="J505" i="3" s="1"/>
  <c r="L505" i="3" s="1"/>
  <c r="I503" i="3"/>
  <c r="J503" i="3" s="1"/>
  <c r="L503" i="3" s="1"/>
  <c r="I501" i="3"/>
  <c r="J501" i="3" s="1"/>
  <c r="L501" i="3" s="1"/>
  <c r="I499" i="3"/>
  <c r="J499" i="3" s="1"/>
  <c r="L499" i="3" s="1"/>
  <c r="I497" i="3"/>
  <c r="J497" i="3" s="1"/>
  <c r="L497" i="3" s="1"/>
  <c r="I495" i="3"/>
  <c r="J495" i="3" s="1"/>
  <c r="L495" i="3" s="1"/>
  <c r="I493" i="3"/>
  <c r="J493" i="3" s="1"/>
  <c r="L493" i="3" s="1"/>
  <c r="I491" i="3"/>
  <c r="J491" i="3" s="1"/>
  <c r="L491" i="3" s="1"/>
  <c r="I489" i="3"/>
  <c r="J489" i="3" s="1"/>
  <c r="L489" i="3" s="1"/>
  <c r="I487" i="3"/>
  <c r="J487" i="3" s="1"/>
  <c r="L487" i="3" s="1"/>
  <c r="I485" i="3"/>
  <c r="J485" i="3" s="1"/>
  <c r="L485" i="3" s="1"/>
  <c r="I483" i="3"/>
  <c r="J483" i="3" s="1"/>
  <c r="L483" i="3" s="1"/>
  <c r="I481" i="3"/>
  <c r="J481" i="3" s="1"/>
  <c r="L481" i="3" s="1"/>
  <c r="I479" i="3"/>
  <c r="J479" i="3" s="1"/>
  <c r="L479" i="3" s="1"/>
  <c r="I477" i="3"/>
  <c r="J477" i="3" s="1"/>
  <c r="L477" i="3" s="1"/>
  <c r="I475" i="3"/>
  <c r="J475" i="3" s="1"/>
  <c r="L475" i="3" s="1"/>
  <c r="I473" i="3"/>
  <c r="J473" i="3" s="1"/>
  <c r="L473" i="3" s="1"/>
  <c r="I471" i="3"/>
  <c r="J471" i="3" s="1"/>
  <c r="L471" i="3" s="1"/>
  <c r="I469" i="3"/>
  <c r="J469" i="3" s="1"/>
  <c r="L469" i="3" s="1"/>
  <c r="I467" i="3"/>
  <c r="J467" i="3" s="1"/>
  <c r="L467" i="3" s="1"/>
  <c r="I465" i="3"/>
  <c r="J465" i="3" s="1"/>
  <c r="L465" i="3" s="1"/>
  <c r="I463" i="3"/>
  <c r="J463" i="3" s="1"/>
  <c r="L463" i="3" s="1"/>
  <c r="I461" i="3"/>
  <c r="J461" i="3" s="1"/>
  <c r="L461" i="3" s="1"/>
  <c r="I459" i="3"/>
  <c r="J459" i="3" s="1"/>
  <c r="L459" i="3" s="1"/>
  <c r="I457" i="3"/>
  <c r="J457" i="3" s="1"/>
  <c r="L457" i="3" s="1"/>
  <c r="I455" i="3"/>
  <c r="J455" i="3" s="1"/>
  <c r="L455" i="3" s="1"/>
  <c r="I453" i="3"/>
  <c r="J453" i="3" s="1"/>
  <c r="L453" i="3" s="1"/>
  <c r="I451" i="3"/>
  <c r="J451" i="3" s="1"/>
  <c r="L451" i="3" s="1"/>
  <c r="I449" i="3"/>
  <c r="J449" i="3" s="1"/>
  <c r="L449" i="3" s="1"/>
  <c r="I447" i="3"/>
  <c r="J447" i="3" s="1"/>
  <c r="L447" i="3" s="1"/>
  <c r="I445" i="3"/>
  <c r="J445" i="3" s="1"/>
  <c r="L445" i="3" s="1"/>
  <c r="I443" i="3"/>
  <c r="J443" i="3" s="1"/>
  <c r="L443" i="3" s="1"/>
  <c r="I441" i="3"/>
  <c r="J441" i="3" s="1"/>
  <c r="L441" i="3" s="1"/>
  <c r="I439" i="3"/>
  <c r="J439" i="3" s="1"/>
  <c r="L439" i="3" s="1"/>
  <c r="I437" i="3"/>
  <c r="J437" i="3" s="1"/>
  <c r="L437" i="3" s="1"/>
  <c r="I435" i="3"/>
  <c r="J435" i="3" s="1"/>
  <c r="L435" i="3" s="1"/>
  <c r="I433" i="3"/>
  <c r="J433" i="3" s="1"/>
  <c r="L433" i="3" s="1"/>
  <c r="I431" i="3"/>
  <c r="J431" i="3" s="1"/>
  <c r="L431" i="3" s="1"/>
  <c r="I429" i="3"/>
  <c r="J429" i="3" s="1"/>
  <c r="L429" i="3" s="1"/>
  <c r="I427" i="3"/>
  <c r="J427" i="3" s="1"/>
  <c r="L427" i="3" s="1"/>
  <c r="I425" i="3"/>
  <c r="J425" i="3" s="1"/>
  <c r="L425" i="3" s="1"/>
  <c r="I423" i="3"/>
  <c r="J423" i="3" s="1"/>
  <c r="L423" i="3" s="1"/>
  <c r="I421" i="3"/>
  <c r="J421" i="3" s="1"/>
  <c r="L421" i="3" s="1"/>
  <c r="I419" i="3"/>
  <c r="J419" i="3" s="1"/>
  <c r="L419" i="3" s="1"/>
  <c r="I417" i="3"/>
  <c r="J417" i="3" s="1"/>
  <c r="L417" i="3" s="1"/>
  <c r="I415" i="3"/>
  <c r="J415" i="3" s="1"/>
  <c r="L415" i="3" s="1"/>
  <c r="I413" i="3"/>
  <c r="J413" i="3" s="1"/>
  <c r="L413" i="3" s="1"/>
  <c r="I409" i="3"/>
  <c r="J409" i="3" s="1"/>
  <c r="L409" i="3" s="1"/>
  <c r="I405" i="3"/>
  <c r="J405" i="3" s="1"/>
  <c r="L405" i="3" s="1"/>
  <c r="I401" i="3"/>
  <c r="J401" i="3" s="1"/>
  <c r="L401" i="3" s="1"/>
  <c r="I397" i="3"/>
  <c r="J397" i="3" s="1"/>
  <c r="L397" i="3" s="1"/>
  <c r="I393" i="3"/>
  <c r="J393" i="3" s="1"/>
  <c r="L393" i="3" s="1"/>
  <c r="L604" i="3"/>
  <c r="L600" i="3"/>
  <c r="L598" i="3"/>
  <c r="L596" i="3"/>
  <c r="L594" i="3"/>
  <c r="L592" i="3"/>
  <c r="L588" i="3"/>
  <c r="L582" i="3"/>
  <c r="L580" i="3"/>
  <c r="L578" i="3"/>
  <c r="L576" i="3"/>
  <c r="L574" i="3"/>
  <c r="L572" i="3"/>
  <c r="L570" i="3"/>
  <c r="L566" i="3"/>
  <c r="L564" i="3"/>
  <c r="L562" i="3"/>
  <c r="L558" i="3"/>
  <c r="L556" i="3"/>
  <c r="L554" i="3"/>
  <c r="L550" i="3"/>
  <c r="L548" i="3"/>
  <c r="L546" i="3"/>
  <c r="L542" i="3"/>
  <c r="L540" i="3"/>
  <c r="L538" i="3"/>
  <c r="L534" i="3"/>
  <c r="L532" i="3"/>
  <c r="L530" i="3"/>
  <c r="L526" i="3"/>
  <c r="L524" i="3"/>
  <c r="L522" i="3"/>
  <c r="L516" i="3"/>
  <c r="L514" i="3"/>
  <c r="L512" i="3"/>
  <c r="L508" i="3"/>
  <c r="L504" i="3"/>
  <c r="L502" i="3"/>
  <c r="L500" i="3"/>
  <c r="L498" i="3"/>
  <c r="L496" i="3"/>
  <c r="L494" i="3"/>
  <c r="L492" i="3"/>
  <c r="L488" i="3"/>
  <c r="L486" i="3"/>
  <c r="L484" i="3"/>
  <c r="L482" i="3"/>
  <c r="L478" i="3"/>
  <c r="L476" i="3"/>
  <c r="L474" i="3"/>
  <c r="L468" i="3"/>
  <c r="L466" i="3"/>
  <c r="L462" i="3"/>
  <c r="L460" i="3"/>
  <c r="L458" i="3"/>
  <c r="L456" i="3"/>
  <c r="L454" i="3"/>
  <c r="L452" i="3"/>
  <c r="L450" i="3"/>
  <c r="L448" i="3"/>
  <c r="L446" i="3"/>
  <c r="L444" i="3"/>
  <c r="L442" i="3"/>
  <c r="L440" i="3"/>
  <c r="L438" i="3"/>
  <c r="L436" i="3"/>
  <c r="L434" i="3"/>
  <c r="L432" i="3"/>
  <c r="L430" i="3"/>
  <c r="L428" i="3"/>
  <c r="L426" i="3"/>
  <c r="L424" i="3"/>
  <c r="L422" i="3"/>
  <c r="L420" i="3"/>
  <c r="L418" i="3"/>
  <c r="L416" i="3"/>
  <c r="L414" i="3"/>
  <c r="L412" i="3"/>
  <c r="L410" i="3"/>
  <c r="L408" i="3"/>
  <c r="L406" i="3"/>
  <c r="L404" i="3"/>
  <c r="L402" i="3"/>
  <c r="L400" i="3"/>
  <c r="L398" i="3"/>
  <c r="L396" i="3"/>
  <c r="L394" i="3"/>
  <c r="I411" i="3"/>
  <c r="J411" i="3" s="1"/>
  <c r="L411" i="3" s="1"/>
  <c r="L390" i="3"/>
  <c r="I407" i="3"/>
  <c r="J407" i="3" s="1"/>
  <c r="L407" i="3" s="1"/>
  <c r="L386" i="3"/>
  <c r="I403" i="3"/>
  <c r="J403" i="3" s="1"/>
  <c r="L403" i="3" s="1"/>
  <c r="L382" i="3"/>
  <c r="I399" i="3"/>
  <c r="J399" i="3" s="1"/>
  <c r="L399" i="3" s="1"/>
  <c r="L378" i="3"/>
  <c r="I395" i="3"/>
  <c r="J395" i="3" s="1"/>
  <c r="L395" i="3" s="1"/>
  <c r="L374" i="3"/>
  <c r="L366" i="3"/>
  <c r="L362" i="3"/>
  <c r="L358" i="3"/>
  <c r="L350" i="3"/>
  <c r="L346" i="3"/>
  <c r="L342" i="3"/>
  <c r="L334" i="3"/>
  <c r="L330" i="3"/>
  <c r="L326" i="3"/>
  <c r="L322" i="3"/>
  <c r="L318" i="3"/>
  <c r="L310" i="3"/>
  <c r="L306" i="3"/>
  <c r="L302" i="3"/>
  <c r="L298" i="3"/>
  <c r="L294" i="3"/>
  <c r="L286" i="3"/>
  <c r="L278" i="3"/>
  <c r="L274" i="3"/>
  <c r="I269" i="3"/>
  <c r="J269" i="3" s="1"/>
  <c r="L269" i="3" s="1"/>
  <c r="I265" i="3"/>
  <c r="J265" i="3" s="1"/>
  <c r="L265" i="3" s="1"/>
  <c r="L168" i="3"/>
  <c r="I377" i="3"/>
  <c r="J377" i="3" s="1"/>
  <c r="L377" i="3" s="1"/>
  <c r="I365" i="3"/>
  <c r="J365" i="3" s="1"/>
  <c r="L365" i="3" s="1"/>
  <c r="I349" i="3"/>
  <c r="J349" i="3" s="1"/>
  <c r="L349" i="3" s="1"/>
  <c r="I329" i="3"/>
  <c r="J329" i="3" s="1"/>
  <c r="L329" i="3" s="1"/>
  <c r="I307" i="3"/>
  <c r="J307" i="3" s="1"/>
  <c r="L307" i="3" s="1"/>
  <c r="I277" i="3"/>
  <c r="J277" i="3" s="1"/>
  <c r="L277" i="3" s="1"/>
  <c r="I273" i="3"/>
  <c r="J273" i="3" s="1"/>
  <c r="L273" i="3" s="1"/>
  <c r="I271" i="3"/>
  <c r="J271" i="3" s="1"/>
  <c r="L271" i="3" s="1"/>
  <c r="L268" i="3"/>
  <c r="I267" i="3"/>
  <c r="J267" i="3" s="1"/>
  <c r="L267" i="3" s="1"/>
  <c r="L262" i="3"/>
  <c r="L258" i="3"/>
  <c r="L254" i="3"/>
  <c r="L250" i="3"/>
  <c r="L242" i="3"/>
  <c r="L238" i="3"/>
  <c r="L234" i="3"/>
  <c r="L230" i="3"/>
  <c r="L226" i="3"/>
  <c r="L222" i="3"/>
  <c r="L218" i="3"/>
  <c r="L214" i="3"/>
  <c r="L210" i="3"/>
  <c r="L202" i="3"/>
  <c r="L198" i="3"/>
  <c r="L194" i="3"/>
  <c r="L186" i="3"/>
  <c r="L182" i="3"/>
  <c r="L178" i="3"/>
  <c r="L174" i="3"/>
  <c r="L170" i="3"/>
  <c r="L123" i="3"/>
  <c r="I233" i="3"/>
  <c r="J233" i="3" s="1"/>
  <c r="L233" i="3" s="1"/>
  <c r="I171" i="3"/>
  <c r="J171" i="3" s="1"/>
  <c r="L171" i="3" s="1"/>
  <c r="I166" i="3"/>
  <c r="J166" i="3" s="1"/>
  <c r="L166" i="3" s="1"/>
  <c r="I162" i="3"/>
  <c r="J162" i="3" s="1"/>
  <c r="L162" i="3" s="1"/>
  <c r="L157" i="3"/>
  <c r="L153" i="3"/>
  <c r="L149" i="3"/>
  <c r="L145" i="3"/>
  <c r="L137" i="3"/>
  <c r="L133" i="3"/>
  <c r="L129" i="3"/>
  <c r="L125" i="3"/>
  <c r="I128" i="3"/>
  <c r="J128" i="3" s="1"/>
  <c r="L128" i="3" s="1"/>
  <c r="L122" i="3"/>
  <c r="L120" i="3"/>
  <c r="I121" i="3"/>
  <c r="J121" i="3" s="1"/>
  <c r="L121" i="3" s="1"/>
  <c r="L114" i="3"/>
  <c r="L110" i="3"/>
  <c r="L102" i="3"/>
  <c r="L98" i="3"/>
  <c r="L94" i="3"/>
  <c r="L90" i="3"/>
  <c r="L86" i="3"/>
  <c r="L78" i="3"/>
  <c r="L70" i="3"/>
  <c r="I117" i="3"/>
  <c r="J117" i="3" s="1"/>
  <c r="L117" i="3" s="1"/>
  <c r="L72" i="3"/>
  <c r="I119" i="3"/>
  <c r="J119" i="3" s="1"/>
  <c r="L119" i="3" s="1"/>
  <c r="I73" i="3"/>
  <c r="J73" i="3" s="1"/>
  <c r="L73" i="3" s="1"/>
  <c r="I71" i="3"/>
  <c r="J71" i="3" s="1"/>
  <c r="L71" i="3" s="1"/>
  <c r="L69" i="3"/>
  <c r="L65" i="3"/>
  <c r="L61" i="3"/>
  <c r="L57" i="3"/>
  <c r="L53" i="3"/>
  <c r="I51" i="3"/>
  <c r="J51" i="3" s="1"/>
  <c r="L51" i="3" s="1"/>
  <c r="I49" i="3"/>
  <c r="J49" i="3" s="1"/>
  <c r="L49" i="3" s="1"/>
  <c r="I47" i="3"/>
  <c r="J47" i="3" s="1"/>
  <c r="L47" i="3" s="1"/>
  <c r="I25" i="3"/>
  <c r="J25" i="3" s="1"/>
  <c r="L25" i="3" s="1"/>
  <c r="I27" i="3"/>
  <c r="J27" i="3" s="1"/>
  <c r="L27" i="3" s="1"/>
  <c r="I29" i="3"/>
  <c r="J29" i="3" s="1"/>
  <c r="L29" i="3" s="1"/>
  <c r="I31" i="3"/>
  <c r="J31" i="3" s="1"/>
  <c r="L31" i="3" s="1"/>
  <c r="I33" i="3"/>
  <c r="J33" i="3" s="1"/>
  <c r="L33" i="3" s="1"/>
  <c r="I35" i="3"/>
  <c r="J35" i="3" s="1"/>
  <c r="L35" i="3" s="1"/>
  <c r="I37" i="3"/>
  <c r="J37" i="3" s="1"/>
  <c r="L37" i="3" s="1"/>
  <c r="I39" i="3"/>
  <c r="J39" i="3" s="1"/>
  <c r="L39" i="3" s="1"/>
  <c r="I41" i="3"/>
  <c r="J41" i="3" s="1"/>
  <c r="L41" i="3" s="1"/>
  <c r="I43" i="3"/>
  <c r="J43" i="3" s="1"/>
  <c r="L43" i="3" s="1"/>
  <c r="I45" i="3"/>
  <c r="J45" i="3" s="1"/>
  <c r="L45" i="3" s="1"/>
  <c r="O23" i="3" l="1"/>
  <c r="Q23" i="3" s="1"/>
  <c r="O24" i="3" l="1"/>
  <c r="Q24" i="3" s="1"/>
  <c r="N25" i="3"/>
  <c r="O25" i="3" l="1"/>
  <c r="Q25" i="3" s="1"/>
  <c r="N26" i="3"/>
  <c r="O26" i="3" l="1"/>
  <c r="Q26" i="3" s="1"/>
  <c r="N27" i="3"/>
  <c r="O27" i="3" l="1"/>
  <c r="Q27" i="3" s="1"/>
  <c r="N28" i="3"/>
  <c r="O28" i="3" l="1"/>
  <c r="Q28" i="3" s="1"/>
  <c r="N29" i="3"/>
  <c r="O29" i="3" l="1"/>
  <c r="Q29" i="3" s="1"/>
  <c r="N30" i="3"/>
  <c r="O30" i="3" l="1"/>
  <c r="Q30" i="3" s="1"/>
  <c r="N31" i="3"/>
  <c r="O31" i="3" l="1"/>
  <c r="Q31" i="3" s="1"/>
  <c r="N32" i="3"/>
  <c r="O32" i="3" l="1"/>
  <c r="Q32" i="3" s="1"/>
  <c r="N33" i="3"/>
  <c r="O33" i="3" l="1"/>
  <c r="Q33" i="3" s="1"/>
  <c r="N34" i="3"/>
  <c r="O34" i="3" l="1"/>
  <c r="Q34" i="3" s="1"/>
  <c r="N35" i="3"/>
  <c r="O35" i="3" l="1"/>
  <c r="Q35" i="3" s="1"/>
  <c r="N36" i="3"/>
  <c r="O36" i="3" l="1"/>
  <c r="Q36" i="3" s="1"/>
  <c r="N37" i="3"/>
  <c r="O37" i="3" l="1"/>
  <c r="Q37" i="3" s="1"/>
  <c r="N38" i="3"/>
  <c r="O38" i="3" l="1"/>
  <c r="Q38" i="3" s="1"/>
  <c r="N39" i="3"/>
  <c r="O39" i="3" l="1"/>
  <c r="Q39" i="3" s="1"/>
  <c r="N40" i="3"/>
  <c r="O40" i="3" l="1"/>
  <c r="Q40" i="3" s="1"/>
  <c r="N41" i="3"/>
  <c r="O41" i="3" l="1"/>
  <c r="Q41" i="3" s="1"/>
  <c r="N42" i="3"/>
  <c r="O42" i="3" l="1"/>
  <c r="Q42" i="3" s="1"/>
  <c r="N43" i="3"/>
  <c r="O43" i="3" l="1"/>
  <c r="Q43" i="3" s="1"/>
  <c r="N44" i="3"/>
  <c r="O44" i="3" l="1"/>
  <c r="Q44" i="3" s="1"/>
  <c r="N45" i="3"/>
  <c r="O45" i="3" l="1"/>
  <c r="Q45" i="3" s="1"/>
  <c r="N46" i="3"/>
  <c r="O46" i="3" l="1"/>
  <c r="Q46" i="3" s="1"/>
  <c r="N47" i="3"/>
  <c r="O47" i="3" l="1"/>
  <c r="Q47" i="3" s="1"/>
  <c r="N48" i="3"/>
  <c r="O48" i="3" l="1"/>
  <c r="Q48" i="3" s="1"/>
  <c r="N49" i="3"/>
  <c r="O49" i="3" l="1"/>
  <c r="Q49" i="3" s="1"/>
  <c r="N50" i="3"/>
  <c r="O50" i="3" l="1"/>
  <c r="Q50" i="3" s="1"/>
  <c r="N51" i="3"/>
  <c r="O51" i="3" l="1"/>
  <c r="Q51" i="3" s="1"/>
  <c r="N52" i="3"/>
  <c r="O52" i="3" l="1"/>
  <c r="Q52" i="3" s="1"/>
  <c r="N53" i="3"/>
  <c r="O53" i="3" l="1"/>
  <c r="Q53" i="3" s="1"/>
  <c r="N54" i="3"/>
  <c r="O54" i="3" l="1"/>
  <c r="Q54" i="3" s="1"/>
  <c r="N55" i="3"/>
  <c r="O55" i="3" l="1"/>
  <c r="Q55" i="3" s="1"/>
  <c r="N56" i="3"/>
  <c r="O56" i="3" l="1"/>
  <c r="Q56" i="3" s="1"/>
  <c r="N57" i="3"/>
  <c r="O57" i="3" l="1"/>
  <c r="Q57" i="3" s="1"/>
  <c r="N58" i="3"/>
  <c r="O58" i="3" l="1"/>
  <c r="Q58" i="3" s="1"/>
  <c r="N59" i="3"/>
  <c r="O59" i="3" l="1"/>
  <c r="Q59" i="3" s="1"/>
  <c r="N60" i="3"/>
  <c r="O60" i="3" l="1"/>
  <c r="Q60" i="3" s="1"/>
  <c r="N61" i="3"/>
  <c r="O61" i="3" l="1"/>
  <c r="Q61" i="3" s="1"/>
  <c r="N62" i="3"/>
  <c r="O62" i="3" l="1"/>
  <c r="Q62" i="3" s="1"/>
  <c r="N63" i="3"/>
  <c r="O63" i="3" l="1"/>
  <c r="Q63" i="3" s="1"/>
  <c r="N64" i="3"/>
  <c r="O64" i="3" l="1"/>
  <c r="Q64" i="3" s="1"/>
  <c r="N65" i="3"/>
  <c r="O65" i="3" l="1"/>
  <c r="Q65" i="3" s="1"/>
  <c r="N66" i="3"/>
  <c r="O66" i="3" l="1"/>
  <c r="Q66" i="3" s="1"/>
  <c r="N67" i="3"/>
  <c r="C3" i="2"/>
  <c r="C17" i="2"/>
  <c r="O67" i="3" l="1"/>
  <c r="Q67" i="3" s="1"/>
  <c r="N68" i="3"/>
  <c r="C4" i="2"/>
  <c r="O68" i="3" l="1"/>
  <c r="Q68" i="3" s="1"/>
  <c r="N69" i="3"/>
  <c r="O69" i="3" l="1"/>
  <c r="Q69" i="3" s="1"/>
  <c r="N70" i="3"/>
  <c r="T4" i="1"/>
  <c r="U4" i="1" s="1"/>
  <c r="AG5" i="1"/>
  <c r="AS5" i="1"/>
  <c r="AV5" i="1"/>
  <c r="O6" i="1"/>
  <c r="AG6" i="1"/>
  <c r="AS6" i="1"/>
  <c r="AV6" i="1"/>
  <c r="O70" i="3" l="1"/>
  <c r="Q70" i="3" s="1"/>
  <c r="N71" i="3"/>
  <c r="V4" i="1"/>
  <c r="O71" i="3" l="1"/>
  <c r="Q71" i="3" s="1"/>
  <c r="N72" i="3"/>
  <c r="W4" i="1"/>
  <c r="O72" i="3" l="1"/>
  <c r="Q72" i="3" s="1"/>
  <c r="N73" i="3"/>
  <c r="X4" i="1"/>
  <c r="O73" i="3" l="1"/>
  <c r="Q73" i="3" s="1"/>
  <c r="N74" i="3"/>
  <c r="Y4" i="1"/>
  <c r="O74" i="3" l="1"/>
  <c r="Q74" i="3" s="1"/>
  <c r="N75" i="3"/>
  <c r="Z4" i="1"/>
  <c r="O75" i="3" l="1"/>
  <c r="Q75" i="3" s="1"/>
  <c r="N76" i="3"/>
  <c r="AA4" i="1"/>
  <c r="O76" i="3" l="1"/>
  <c r="Q76" i="3" s="1"/>
  <c r="N77" i="3"/>
  <c r="AB4" i="1"/>
  <c r="O77" i="3" l="1"/>
  <c r="Q77" i="3" s="1"/>
  <c r="N78" i="3"/>
  <c r="AC4" i="1"/>
  <c r="O78" i="3" l="1"/>
  <c r="Q78" i="3" s="1"/>
  <c r="N79" i="3"/>
  <c r="AD4" i="1"/>
  <c r="O79" i="3" l="1"/>
  <c r="Q79" i="3" s="1"/>
  <c r="N80" i="3"/>
  <c r="AE4" i="1"/>
  <c r="O80" i="3" l="1"/>
  <c r="Q80" i="3" s="1"/>
  <c r="N81" i="3"/>
  <c r="O81" i="3" l="1"/>
  <c r="Q81" i="3" s="1"/>
  <c r="N82" i="3"/>
  <c r="P5" i="1"/>
  <c r="C18" i="2" s="1"/>
  <c r="C19" i="2" s="1"/>
  <c r="T5" i="1"/>
  <c r="S6" i="1"/>
  <c r="T6" i="1"/>
  <c r="S5" i="1"/>
  <c r="P6" i="1"/>
  <c r="Q6" i="1" s="1"/>
  <c r="AF6" i="1" s="1"/>
  <c r="U5" i="1"/>
  <c r="U6" i="1"/>
  <c r="V6" i="1"/>
  <c r="V5" i="1"/>
  <c r="W5" i="1"/>
  <c r="W6" i="1"/>
  <c r="X5" i="1"/>
  <c r="X6" i="1"/>
  <c r="Y5" i="1"/>
  <c r="Y6" i="1"/>
  <c r="Z6" i="1"/>
  <c r="Z5" i="1"/>
  <c r="AA6" i="1"/>
  <c r="AA5" i="1"/>
  <c r="AB5" i="1"/>
  <c r="AB6" i="1"/>
  <c r="AC5" i="1"/>
  <c r="AC6" i="1"/>
  <c r="AD6" i="1"/>
  <c r="AD5" i="1"/>
  <c r="AE6" i="1"/>
  <c r="AE5" i="1"/>
  <c r="Q5" i="1" l="1"/>
  <c r="AF5" i="1" s="1"/>
  <c r="AH5" i="1" s="1"/>
  <c r="C21" i="2" s="1"/>
  <c r="O82" i="3"/>
  <c r="Q82" i="3" s="1"/>
  <c r="N83" i="3"/>
  <c r="AN5" i="1"/>
  <c r="AH6" i="1"/>
  <c r="AM6" i="1"/>
  <c r="AO6" i="1"/>
  <c r="AQ6" i="1" s="1"/>
  <c r="AO5" i="1"/>
  <c r="AQ5" i="1" s="1"/>
  <c r="AN6" i="1"/>
  <c r="AP6" i="1" l="1"/>
  <c r="AP5" i="1"/>
  <c r="AR5" i="1" s="1"/>
  <c r="AT5" i="1" s="1"/>
  <c r="C22" i="2" s="1"/>
  <c r="O83" i="3"/>
  <c r="Q83" i="3" s="1"/>
  <c r="N84" i="3"/>
  <c r="AR6" i="1"/>
  <c r="AU6" i="1" s="1"/>
  <c r="AU5" i="1" l="1"/>
  <c r="AW5" i="1" s="1"/>
  <c r="C23" i="2" s="1"/>
  <c r="O84" i="3"/>
  <c r="Q84" i="3" s="1"/>
  <c r="N85" i="3"/>
  <c r="AT6" i="1"/>
  <c r="AW6" i="1"/>
  <c r="O85" i="3" l="1"/>
  <c r="Q85" i="3" s="1"/>
  <c r="N86" i="3"/>
  <c r="B13" i="2"/>
  <c r="C7" i="2"/>
  <c r="C6" i="2"/>
  <c r="C5" i="2"/>
  <c r="O86" i="3" l="1"/>
  <c r="Q86" i="3" s="1"/>
  <c r="N87" i="3"/>
  <c r="O87" i="3" l="1"/>
  <c r="Q87" i="3" s="1"/>
  <c r="N88" i="3"/>
  <c r="O88" i="3" l="1"/>
  <c r="Q88" i="3" s="1"/>
  <c r="N89" i="3"/>
  <c r="O89" i="3" l="1"/>
  <c r="Q89" i="3" s="1"/>
  <c r="N90" i="3"/>
  <c r="O90" i="3" l="1"/>
  <c r="Q90" i="3" s="1"/>
  <c r="N91" i="3"/>
  <c r="O91" i="3" l="1"/>
  <c r="Q91" i="3" s="1"/>
  <c r="N92" i="3"/>
  <c r="O92" i="3" l="1"/>
  <c r="Q92" i="3" s="1"/>
  <c r="N93" i="3"/>
  <c r="O93" i="3" l="1"/>
  <c r="Q93" i="3" s="1"/>
  <c r="N94" i="3"/>
  <c r="O94" i="3" l="1"/>
  <c r="Q94" i="3" s="1"/>
  <c r="N95" i="3"/>
  <c r="O95" i="3" l="1"/>
  <c r="Q95" i="3" s="1"/>
  <c r="N96" i="3"/>
  <c r="O96" i="3" l="1"/>
  <c r="Q96" i="3" s="1"/>
  <c r="N97" i="3"/>
  <c r="O97" i="3" l="1"/>
  <c r="Q97" i="3" s="1"/>
  <c r="N98" i="3"/>
  <c r="O98" i="3" l="1"/>
  <c r="Q98" i="3" s="1"/>
  <c r="N99" i="3"/>
  <c r="O99" i="3" l="1"/>
  <c r="Q99" i="3" s="1"/>
  <c r="N100" i="3"/>
  <c r="O100" i="3" l="1"/>
  <c r="Q100" i="3" s="1"/>
  <c r="N101" i="3"/>
  <c r="O101" i="3" l="1"/>
  <c r="Q101" i="3" s="1"/>
  <c r="N102" i="3"/>
  <c r="O102" i="3" l="1"/>
  <c r="Q102" i="3" s="1"/>
  <c r="N103" i="3"/>
  <c r="O103" i="3" l="1"/>
  <c r="Q103" i="3" s="1"/>
  <c r="N104" i="3"/>
  <c r="O104" i="3" l="1"/>
  <c r="Q104" i="3" s="1"/>
  <c r="N105" i="3"/>
  <c r="O105" i="3" l="1"/>
  <c r="Q105" i="3" s="1"/>
  <c r="N106" i="3"/>
  <c r="O106" i="3" l="1"/>
  <c r="Q106" i="3" s="1"/>
  <c r="N107" i="3"/>
  <c r="O107" i="3" l="1"/>
  <c r="Q107" i="3" s="1"/>
  <c r="N108" i="3"/>
  <c r="O108" i="3" l="1"/>
  <c r="Q108" i="3" s="1"/>
  <c r="N109" i="3"/>
  <c r="O109" i="3" l="1"/>
  <c r="Q109" i="3" s="1"/>
  <c r="N110" i="3"/>
  <c r="O110" i="3" l="1"/>
  <c r="Q110" i="3" s="1"/>
  <c r="N111" i="3"/>
  <c r="O111" i="3" l="1"/>
  <c r="Q111" i="3" s="1"/>
  <c r="N112" i="3"/>
  <c r="O112" i="3" l="1"/>
  <c r="Q112" i="3" s="1"/>
  <c r="N113" i="3"/>
  <c r="O113" i="3" l="1"/>
  <c r="Q113" i="3" s="1"/>
  <c r="N114" i="3"/>
  <c r="O114" i="3" l="1"/>
  <c r="Q114" i="3" s="1"/>
  <c r="N115" i="3"/>
  <c r="O115" i="3" l="1"/>
  <c r="Q115" i="3" s="1"/>
  <c r="N116" i="3"/>
  <c r="O116" i="3" l="1"/>
  <c r="Q116" i="3" s="1"/>
  <c r="N117" i="3"/>
  <c r="O117" i="3" l="1"/>
  <c r="Q117" i="3" s="1"/>
  <c r="N118" i="3"/>
  <c r="O118" i="3" l="1"/>
  <c r="Q118" i="3" s="1"/>
  <c r="N119" i="3"/>
  <c r="O119" i="3" l="1"/>
  <c r="Q119" i="3" s="1"/>
  <c r="N120" i="3"/>
  <c r="O120" i="3" l="1"/>
  <c r="Q120" i="3" s="1"/>
  <c r="N121" i="3"/>
  <c r="O121" i="3" l="1"/>
  <c r="Q121" i="3" s="1"/>
  <c r="N122" i="3"/>
  <c r="O122" i="3" l="1"/>
  <c r="Q122" i="3" s="1"/>
  <c r="N123" i="3"/>
  <c r="O123" i="3" l="1"/>
  <c r="Q123" i="3" s="1"/>
  <c r="N124" i="3"/>
  <c r="O124" i="3" l="1"/>
  <c r="Q124" i="3" s="1"/>
  <c r="N125" i="3"/>
  <c r="O125" i="3" l="1"/>
  <c r="Q125" i="3" s="1"/>
  <c r="N126" i="3"/>
  <c r="O126" i="3" l="1"/>
  <c r="Q126" i="3" s="1"/>
  <c r="N127" i="3"/>
  <c r="O127" i="3" l="1"/>
  <c r="Q127" i="3" s="1"/>
  <c r="N128" i="3"/>
  <c r="O128" i="3" l="1"/>
  <c r="Q128" i="3" s="1"/>
  <c r="N129" i="3"/>
  <c r="O129" i="3" l="1"/>
  <c r="Q129" i="3" s="1"/>
  <c r="N130" i="3"/>
  <c r="O130" i="3" l="1"/>
  <c r="Q130" i="3" s="1"/>
  <c r="N131" i="3"/>
  <c r="O131" i="3" l="1"/>
  <c r="Q131" i="3" s="1"/>
  <c r="N132" i="3"/>
  <c r="O132" i="3" l="1"/>
  <c r="Q132" i="3" s="1"/>
  <c r="N133" i="3"/>
  <c r="O133" i="3" l="1"/>
  <c r="Q133" i="3" s="1"/>
  <c r="N134" i="3"/>
  <c r="O134" i="3" l="1"/>
  <c r="Q134" i="3" s="1"/>
  <c r="N135" i="3"/>
  <c r="O135" i="3" l="1"/>
  <c r="Q135" i="3" s="1"/>
  <c r="N136" i="3"/>
  <c r="O136" i="3" l="1"/>
  <c r="Q136" i="3" s="1"/>
  <c r="N137" i="3"/>
  <c r="O137" i="3" l="1"/>
  <c r="Q137" i="3" s="1"/>
  <c r="N138" i="3"/>
  <c r="O138" i="3" l="1"/>
  <c r="Q138" i="3" s="1"/>
  <c r="N139" i="3"/>
  <c r="O139" i="3" l="1"/>
  <c r="Q139" i="3" s="1"/>
  <c r="N140" i="3"/>
  <c r="O140" i="3" l="1"/>
  <c r="Q140" i="3" s="1"/>
  <c r="N141" i="3"/>
  <c r="O141" i="3" l="1"/>
  <c r="Q141" i="3" s="1"/>
  <c r="N142" i="3"/>
  <c r="O142" i="3" l="1"/>
  <c r="Q142" i="3" s="1"/>
  <c r="N143" i="3"/>
  <c r="O143" i="3" l="1"/>
  <c r="Q143" i="3" s="1"/>
  <c r="N144" i="3"/>
  <c r="O144" i="3" l="1"/>
  <c r="Q144" i="3" s="1"/>
  <c r="N145" i="3"/>
  <c r="O145" i="3" l="1"/>
  <c r="Q145" i="3" s="1"/>
  <c r="N146" i="3"/>
  <c r="O146" i="3" l="1"/>
  <c r="Q146" i="3" s="1"/>
  <c r="N147" i="3"/>
  <c r="O147" i="3" l="1"/>
  <c r="Q147" i="3" s="1"/>
  <c r="N148" i="3"/>
  <c r="O148" i="3" l="1"/>
  <c r="Q148" i="3" s="1"/>
  <c r="N149" i="3"/>
  <c r="O149" i="3" l="1"/>
  <c r="Q149" i="3" s="1"/>
  <c r="N150" i="3"/>
  <c r="O150" i="3" l="1"/>
  <c r="Q150" i="3" s="1"/>
  <c r="N151" i="3"/>
  <c r="O151" i="3" l="1"/>
  <c r="Q151" i="3" s="1"/>
  <c r="N152" i="3"/>
  <c r="O152" i="3" l="1"/>
  <c r="Q152" i="3" s="1"/>
  <c r="N153" i="3"/>
  <c r="O153" i="3" l="1"/>
  <c r="Q153" i="3" s="1"/>
  <c r="N154" i="3"/>
  <c r="O154" i="3" l="1"/>
  <c r="Q154" i="3" s="1"/>
  <c r="N155" i="3"/>
  <c r="O155" i="3" l="1"/>
  <c r="Q155" i="3" s="1"/>
  <c r="N156" i="3"/>
  <c r="O156" i="3" l="1"/>
  <c r="Q156" i="3" s="1"/>
  <c r="N157" i="3"/>
  <c r="O157" i="3" l="1"/>
  <c r="Q157" i="3" s="1"/>
  <c r="N158" i="3"/>
  <c r="O158" i="3" l="1"/>
  <c r="Q158" i="3" s="1"/>
  <c r="N159" i="3"/>
  <c r="O159" i="3" l="1"/>
  <c r="Q159" i="3" s="1"/>
  <c r="N160" i="3"/>
  <c r="O160" i="3" l="1"/>
  <c r="Q160" i="3" s="1"/>
  <c r="N161" i="3"/>
  <c r="O161" i="3" l="1"/>
  <c r="Q161" i="3" s="1"/>
  <c r="N162" i="3"/>
  <c r="O162" i="3" l="1"/>
  <c r="Q162" i="3" s="1"/>
  <c r="N163" i="3"/>
  <c r="O163" i="3" l="1"/>
  <c r="Q163" i="3" s="1"/>
  <c r="N164" i="3"/>
  <c r="O164" i="3" l="1"/>
  <c r="Q164" i="3" s="1"/>
  <c r="N165" i="3"/>
  <c r="O165" i="3" l="1"/>
  <c r="Q165" i="3" s="1"/>
  <c r="N166" i="3"/>
  <c r="O166" i="3" l="1"/>
  <c r="Q166" i="3" s="1"/>
  <c r="N167" i="3"/>
  <c r="O167" i="3" l="1"/>
  <c r="Q167" i="3" s="1"/>
  <c r="N168" i="3"/>
  <c r="O168" i="3" l="1"/>
  <c r="Q168" i="3" s="1"/>
  <c r="N169" i="3"/>
  <c r="O169" i="3" l="1"/>
  <c r="Q169" i="3" s="1"/>
  <c r="N170" i="3"/>
  <c r="O170" i="3" l="1"/>
  <c r="Q170" i="3" s="1"/>
  <c r="N171" i="3"/>
  <c r="O171" i="3" l="1"/>
  <c r="Q171" i="3" s="1"/>
  <c r="N172" i="3"/>
  <c r="O172" i="3" l="1"/>
  <c r="Q172" i="3" s="1"/>
  <c r="N173" i="3"/>
  <c r="O173" i="3" l="1"/>
  <c r="Q173" i="3" s="1"/>
  <c r="N174" i="3"/>
  <c r="O174" i="3" l="1"/>
  <c r="Q174" i="3" s="1"/>
  <c r="N175" i="3"/>
  <c r="O175" i="3" l="1"/>
  <c r="Q175" i="3" s="1"/>
  <c r="N176" i="3"/>
  <c r="O176" i="3" l="1"/>
  <c r="Q176" i="3" s="1"/>
  <c r="N177" i="3"/>
  <c r="O177" i="3" l="1"/>
  <c r="Q177" i="3" s="1"/>
  <c r="N178" i="3"/>
  <c r="O178" i="3" l="1"/>
  <c r="Q178" i="3" s="1"/>
  <c r="N179" i="3"/>
  <c r="O179" i="3" l="1"/>
  <c r="Q179" i="3" s="1"/>
  <c r="N180" i="3"/>
  <c r="O180" i="3" l="1"/>
  <c r="Q180" i="3" s="1"/>
  <c r="N181" i="3"/>
  <c r="O181" i="3" l="1"/>
  <c r="Q181" i="3" s="1"/>
  <c r="N182" i="3"/>
  <c r="O182" i="3" l="1"/>
  <c r="Q182" i="3" s="1"/>
  <c r="N183" i="3"/>
  <c r="O183" i="3" l="1"/>
  <c r="Q183" i="3" s="1"/>
  <c r="N184" i="3"/>
  <c r="O184" i="3" l="1"/>
  <c r="Q184" i="3" s="1"/>
  <c r="N185" i="3"/>
  <c r="O185" i="3" l="1"/>
  <c r="Q185" i="3" s="1"/>
  <c r="N186" i="3"/>
  <c r="O186" i="3" l="1"/>
  <c r="Q186" i="3" s="1"/>
  <c r="N187" i="3"/>
  <c r="O187" i="3" l="1"/>
  <c r="Q187" i="3" s="1"/>
  <c r="N188" i="3"/>
  <c r="O188" i="3" l="1"/>
  <c r="Q188" i="3" s="1"/>
  <c r="N189" i="3"/>
  <c r="O189" i="3" l="1"/>
  <c r="Q189" i="3" s="1"/>
  <c r="N190" i="3"/>
  <c r="O190" i="3" l="1"/>
  <c r="Q190" i="3" s="1"/>
  <c r="N191" i="3"/>
  <c r="O191" i="3" l="1"/>
  <c r="Q191" i="3" s="1"/>
  <c r="N192" i="3"/>
  <c r="O192" i="3" l="1"/>
  <c r="Q192" i="3" s="1"/>
  <c r="N193" i="3"/>
  <c r="O193" i="3" l="1"/>
  <c r="Q193" i="3" s="1"/>
  <c r="N194" i="3"/>
  <c r="O194" i="3" l="1"/>
  <c r="Q194" i="3" s="1"/>
  <c r="N195" i="3"/>
  <c r="O195" i="3" l="1"/>
  <c r="Q195" i="3" s="1"/>
  <c r="N196" i="3"/>
  <c r="O196" i="3" l="1"/>
  <c r="Q196" i="3" s="1"/>
  <c r="N197" i="3"/>
  <c r="O197" i="3" l="1"/>
  <c r="Q197" i="3" s="1"/>
  <c r="N198" i="3"/>
  <c r="O198" i="3" l="1"/>
  <c r="Q198" i="3" s="1"/>
  <c r="N199" i="3"/>
  <c r="O199" i="3" l="1"/>
  <c r="Q199" i="3" s="1"/>
  <c r="N200" i="3"/>
  <c r="O200" i="3" l="1"/>
  <c r="Q200" i="3" s="1"/>
  <c r="N201" i="3"/>
  <c r="O201" i="3" l="1"/>
  <c r="Q201" i="3" s="1"/>
  <c r="N202" i="3"/>
  <c r="O202" i="3" l="1"/>
  <c r="Q202" i="3" s="1"/>
  <c r="N203" i="3"/>
  <c r="O203" i="3" l="1"/>
  <c r="Q203" i="3" s="1"/>
  <c r="N204" i="3"/>
  <c r="O204" i="3" l="1"/>
  <c r="Q204" i="3" s="1"/>
  <c r="N205" i="3"/>
  <c r="O205" i="3" l="1"/>
  <c r="Q205" i="3" s="1"/>
  <c r="N206" i="3"/>
  <c r="O206" i="3" l="1"/>
  <c r="Q206" i="3" s="1"/>
  <c r="N207" i="3"/>
  <c r="O207" i="3" l="1"/>
  <c r="Q207" i="3" s="1"/>
  <c r="N208" i="3"/>
  <c r="O208" i="3" l="1"/>
  <c r="Q208" i="3" s="1"/>
  <c r="N209" i="3"/>
  <c r="O209" i="3" l="1"/>
  <c r="Q209" i="3" s="1"/>
  <c r="N210" i="3"/>
  <c r="O210" i="3" l="1"/>
  <c r="Q210" i="3" s="1"/>
  <c r="N211" i="3"/>
  <c r="O211" i="3" l="1"/>
  <c r="Q211" i="3" s="1"/>
  <c r="N212" i="3"/>
  <c r="O212" i="3" l="1"/>
  <c r="Q212" i="3" s="1"/>
  <c r="N213" i="3"/>
  <c r="O213" i="3" l="1"/>
  <c r="Q213" i="3" s="1"/>
  <c r="N214" i="3"/>
  <c r="O214" i="3" l="1"/>
  <c r="Q214" i="3" s="1"/>
  <c r="N215" i="3"/>
  <c r="O215" i="3" l="1"/>
  <c r="Q215" i="3" s="1"/>
  <c r="N216" i="3"/>
  <c r="O216" i="3" l="1"/>
  <c r="Q216" i="3" s="1"/>
  <c r="N217" i="3"/>
  <c r="O217" i="3" l="1"/>
  <c r="Q217" i="3" s="1"/>
  <c r="N218" i="3"/>
  <c r="O218" i="3" l="1"/>
  <c r="Q218" i="3" s="1"/>
  <c r="N219" i="3"/>
  <c r="O219" i="3" l="1"/>
  <c r="Q219" i="3" s="1"/>
  <c r="N220" i="3"/>
  <c r="O220" i="3" l="1"/>
  <c r="Q220" i="3" s="1"/>
  <c r="N221" i="3"/>
  <c r="O221" i="3" l="1"/>
  <c r="Q221" i="3" s="1"/>
  <c r="N222" i="3"/>
  <c r="O222" i="3" l="1"/>
  <c r="Q222" i="3" s="1"/>
  <c r="N223" i="3"/>
  <c r="O223" i="3" l="1"/>
  <c r="Q223" i="3" s="1"/>
  <c r="N224" i="3"/>
  <c r="O224" i="3" l="1"/>
  <c r="Q224" i="3" s="1"/>
  <c r="N225" i="3"/>
  <c r="O225" i="3" l="1"/>
  <c r="Q225" i="3" s="1"/>
  <c r="N226" i="3"/>
  <c r="O226" i="3" l="1"/>
  <c r="Q226" i="3" s="1"/>
  <c r="N227" i="3"/>
  <c r="O227" i="3" l="1"/>
  <c r="Q227" i="3" s="1"/>
  <c r="N228" i="3"/>
  <c r="O228" i="3" l="1"/>
  <c r="Q228" i="3" s="1"/>
  <c r="N229" i="3"/>
  <c r="O229" i="3" l="1"/>
  <c r="Q229" i="3" s="1"/>
  <c r="N230" i="3"/>
  <c r="O230" i="3" l="1"/>
  <c r="Q230" i="3" s="1"/>
  <c r="N231" i="3"/>
  <c r="O231" i="3" l="1"/>
  <c r="Q231" i="3" s="1"/>
  <c r="N232" i="3"/>
  <c r="O232" i="3" l="1"/>
  <c r="Q232" i="3" s="1"/>
  <c r="N233" i="3"/>
  <c r="O233" i="3" l="1"/>
  <c r="Q233" i="3" s="1"/>
  <c r="N234" i="3"/>
  <c r="O234" i="3" l="1"/>
  <c r="Q234" i="3" s="1"/>
  <c r="N235" i="3"/>
  <c r="O235" i="3" l="1"/>
  <c r="Q235" i="3" s="1"/>
  <c r="N236" i="3"/>
  <c r="O236" i="3" l="1"/>
  <c r="Q236" i="3" s="1"/>
  <c r="N237" i="3"/>
  <c r="O237" i="3" l="1"/>
  <c r="Q237" i="3" s="1"/>
  <c r="N238" i="3"/>
  <c r="O238" i="3" l="1"/>
  <c r="Q238" i="3" s="1"/>
  <c r="N239" i="3"/>
  <c r="O239" i="3" l="1"/>
  <c r="Q239" i="3" s="1"/>
  <c r="N240" i="3"/>
  <c r="O240" i="3" l="1"/>
  <c r="Q240" i="3" s="1"/>
  <c r="N241" i="3"/>
  <c r="O241" i="3" l="1"/>
  <c r="Q241" i="3" s="1"/>
  <c r="N242" i="3"/>
  <c r="O242" i="3" l="1"/>
  <c r="Q242" i="3" s="1"/>
  <c r="N243" i="3"/>
  <c r="O243" i="3" l="1"/>
  <c r="Q243" i="3" s="1"/>
  <c r="N244" i="3"/>
  <c r="O244" i="3" l="1"/>
  <c r="Q244" i="3" s="1"/>
  <c r="N245" i="3"/>
  <c r="O245" i="3" l="1"/>
  <c r="Q245" i="3" s="1"/>
  <c r="N246" i="3"/>
  <c r="O246" i="3" l="1"/>
  <c r="Q246" i="3" s="1"/>
  <c r="N247" i="3"/>
  <c r="O247" i="3" l="1"/>
  <c r="Q247" i="3" s="1"/>
  <c r="N248" i="3"/>
  <c r="O248" i="3" l="1"/>
  <c r="Q248" i="3" s="1"/>
  <c r="N249" i="3"/>
  <c r="O249" i="3" l="1"/>
  <c r="Q249" i="3" s="1"/>
  <c r="N250" i="3"/>
  <c r="O250" i="3" l="1"/>
  <c r="Q250" i="3" s="1"/>
  <c r="N251" i="3"/>
  <c r="O251" i="3" l="1"/>
  <c r="Q251" i="3" s="1"/>
  <c r="N252" i="3"/>
  <c r="O252" i="3" l="1"/>
  <c r="Q252" i="3" s="1"/>
  <c r="N253" i="3"/>
  <c r="O253" i="3" l="1"/>
  <c r="Q253" i="3" s="1"/>
  <c r="N254" i="3"/>
  <c r="O254" i="3" l="1"/>
  <c r="Q254" i="3" s="1"/>
  <c r="N255" i="3"/>
  <c r="O255" i="3" l="1"/>
  <c r="Q255" i="3" s="1"/>
  <c r="N256" i="3"/>
  <c r="O256" i="3" l="1"/>
  <c r="Q256" i="3" s="1"/>
  <c r="N257" i="3"/>
  <c r="O257" i="3" l="1"/>
  <c r="Q257" i="3" s="1"/>
  <c r="N258" i="3"/>
  <c r="O258" i="3" l="1"/>
  <c r="Q258" i="3" s="1"/>
  <c r="N259" i="3"/>
  <c r="O259" i="3" l="1"/>
  <c r="Q259" i="3" s="1"/>
  <c r="N260" i="3"/>
  <c r="O260" i="3" l="1"/>
  <c r="Q260" i="3" s="1"/>
  <c r="N261" i="3"/>
  <c r="O261" i="3" l="1"/>
  <c r="Q261" i="3" s="1"/>
  <c r="N262" i="3"/>
  <c r="O262" i="3" l="1"/>
  <c r="Q262" i="3" s="1"/>
  <c r="N263" i="3"/>
  <c r="O263" i="3" l="1"/>
  <c r="Q263" i="3" s="1"/>
  <c r="N264" i="3"/>
  <c r="O264" i="3" l="1"/>
  <c r="Q264" i="3" s="1"/>
  <c r="N265" i="3"/>
  <c r="O265" i="3" l="1"/>
  <c r="Q265" i="3" s="1"/>
  <c r="N266" i="3"/>
  <c r="O266" i="3" l="1"/>
  <c r="Q266" i="3" s="1"/>
  <c r="N267" i="3"/>
  <c r="O267" i="3" l="1"/>
  <c r="Q267" i="3" s="1"/>
  <c r="N268" i="3"/>
  <c r="O268" i="3" l="1"/>
  <c r="Q268" i="3" s="1"/>
  <c r="N269" i="3"/>
  <c r="O269" i="3" l="1"/>
  <c r="Q269" i="3" s="1"/>
  <c r="N270" i="3"/>
  <c r="O270" i="3" l="1"/>
  <c r="Q270" i="3" s="1"/>
  <c r="N271" i="3"/>
  <c r="O271" i="3" l="1"/>
  <c r="Q271" i="3" s="1"/>
  <c r="N272" i="3"/>
  <c r="O272" i="3" l="1"/>
  <c r="Q272" i="3" s="1"/>
  <c r="N273" i="3"/>
  <c r="O273" i="3" l="1"/>
  <c r="Q273" i="3" s="1"/>
  <c r="N274" i="3"/>
  <c r="O274" i="3" l="1"/>
  <c r="Q274" i="3" s="1"/>
  <c r="N275" i="3"/>
  <c r="O275" i="3" l="1"/>
  <c r="Q275" i="3" s="1"/>
  <c r="N276" i="3"/>
  <c r="O276" i="3" l="1"/>
  <c r="Q276" i="3" s="1"/>
  <c r="N277" i="3"/>
  <c r="O277" i="3" l="1"/>
  <c r="Q277" i="3" s="1"/>
  <c r="N278" i="3"/>
  <c r="O278" i="3" l="1"/>
  <c r="Q278" i="3" s="1"/>
  <c r="N279" i="3"/>
  <c r="O279" i="3" l="1"/>
  <c r="Q279" i="3" s="1"/>
  <c r="N280" i="3"/>
  <c r="O280" i="3" l="1"/>
  <c r="Q280" i="3" s="1"/>
  <c r="N281" i="3"/>
  <c r="O281" i="3" l="1"/>
  <c r="Q281" i="3" s="1"/>
  <c r="N282" i="3"/>
  <c r="O282" i="3" l="1"/>
  <c r="Q282" i="3" s="1"/>
  <c r="N283" i="3"/>
  <c r="O283" i="3" l="1"/>
  <c r="Q283" i="3" s="1"/>
  <c r="N284" i="3"/>
  <c r="O284" i="3" l="1"/>
  <c r="Q284" i="3" s="1"/>
  <c r="N285" i="3"/>
  <c r="O285" i="3" l="1"/>
  <c r="Q285" i="3" s="1"/>
  <c r="N286" i="3"/>
  <c r="O286" i="3" l="1"/>
  <c r="Q286" i="3" s="1"/>
  <c r="N287" i="3"/>
  <c r="O287" i="3" l="1"/>
  <c r="Q287" i="3" s="1"/>
  <c r="N288" i="3"/>
  <c r="O288" i="3" l="1"/>
  <c r="Q288" i="3" s="1"/>
  <c r="N289" i="3"/>
  <c r="O289" i="3" l="1"/>
  <c r="Q289" i="3" s="1"/>
  <c r="N290" i="3"/>
  <c r="O290" i="3" l="1"/>
  <c r="Q290" i="3" s="1"/>
  <c r="N291" i="3"/>
  <c r="O291" i="3" l="1"/>
  <c r="Q291" i="3" s="1"/>
  <c r="N292" i="3"/>
  <c r="O292" i="3" l="1"/>
  <c r="Q292" i="3" s="1"/>
  <c r="N293" i="3"/>
  <c r="O293" i="3" l="1"/>
  <c r="Q293" i="3" s="1"/>
  <c r="N294" i="3"/>
  <c r="O294" i="3" l="1"/>
  <c r="Q294" i="3" s="1"/>
  <c r="N295" i="3"/>
  <c r="O295" i="3" l="1"/>
  <c r="Q295" i="3" s="1"/>
  <c r="N296" i="3"/>
  <c r="O296" i="3" l="1"/>
  <c r="Q296" i="3" s="1"/>
  <c r="N297" i="3"/>
  <c r="O297" i="3" l="1"/>
  <c r="Q297" i="3" s="1"/>
  <c r="N298" i="3"/>
  <c r="O298" i="3" l="1"/>
  <c r="Q298" i="3" s="1"/>
  <c r="N299" i="3"/>
  <c r="O299" i="3" l="1"/>
  <c r="Q299" i="3" s="1"/>
  <c r="N300" i="3"/>
  <c r="O300" i="3" l="1"/>
  <c r="Q300" i="3" s="1"/>
  <c r="N301" i="3"/>
  <c r="O301" i="3" l="1"/>
  <c r="Q301" i="3" s="1"/>
  <c r="N302" i="3"/>
  <c r="O302" i="3" l="1"/>
  <c r="Q302" i="3" s="1"/>
  <c r="N303" i="3"/>
  <c r="O303" i="3" l="1"/>
  <c r="Q303" i="3" s="1"/>
  <c r="N304" i="3"/>
  <c r="O304" i="3" l="1"/>
  <c r="Q304" i="3" s="1"/>
  <c r="N305" i="3"/>
  <c r="O305" i="3" l="1"/>
  <c r="Q305" i="3" s="1"/>
  <c r="N306" i="3"/>
  <c r="O306" i="3" l="1"/>
  <c r="Q306" i="3" s="1"/>
  <c r="N307" i="3"/>
  <c r="O307" i="3" l="1"/>
  <c r="Q307" i="3" s="1"/>
  <c r="N308" i="3"/>
  <c r="O308" i="3" l="1"/>
  <c r="Q308" i="3" s="1"/>
  <c r="N309" i="3"/>
  <c r="O309" i="3" l="1"/>
  <c r="Q309" i="3" s="1"/>
  <c r="N310" i="3"/>
  <c r="O310" i="3" l="1"/>
  <c r="Q310" i="3" s="1"/>
  <c r="N311" i="3"/>
  <c r="O311" i="3" l="1"/>
  <c r="Q311" i="3" s="1"/>
  <c r="N312" i="3"/>
  <c r="O312" i="3" l="1"/>
  <c r="Q312" i="3" s="1"/>
  <c r="N313" i="3"/>
  <c r="O313" i="3" l="1"/>
  <c r="Q313" i="3" s="1"/>
  <c r="N314" i="3"/>
  <c r="O314" i="3" l="1"/>
  <c r="Q314" i="3" s="1"/>
  <c r="N315" i="3"/>
  <c r="O315" i="3" l="1"/>
  <c r="Q315" i="3" s="1"/>
  <c r="N316" i="3"/>
  <c r="O316" i="3" l="1"/>
  <c r="Q316" i="3" s="1"/>
  <c r="N317" i="3"/>
  <c r="O317" i="3" l="1"/>
  <c r="Q317" i="3" s="1"/>
  <c r="N318" i="3"/>
  <c r="O318" i="3" l="1"/>
  <c r="Q318" i="3" s="1"/>
  <c r="N319" i="3"/>
  <c r="O319" i="3" l="1"/>
  <c r="Q319" i="3" s="1"/>
  <c r="N320" i="3"/>
  <c r="O320" i="3" l="1"/>
  <c r="Q320" i="3" s="1"/>
  <c r="N321" i="3"/>
  <c r="O321" i="3" l="1"/>
  <c r="Q321" i="3" s="1"/>
  <c r="N322" i="3"/>
  <c r="O322" i="3" l="1"/>
  <c r="Q322" i="3" s="1"/>
  <c r="N323" i="3"/>
  <c r="O323" i="3" l="1"/>
  <c r="Q323" i="3" s="1"/>
  <c r="N324" i="3"/>
  <c r="O324" i="3" l="1"/>
  <c r="Q324" i="3" s="1"/>
  <c r="N325" i="3"/>
  <c r="O325" i="3" l="1"/>
  <c r="Q325" i="3" s="1"/>
  <c r="N326" i="3"/>
  <c r="O326" i="3" l="1"/>
  <c r="Q326" i="3" s="1"/>
  <c r="N327" i="3"/>
  <c r="O327" i="3" l="1"/>
  <c r="Q327" i="3" s="1"/>
  <c r="N328" i="3"/>
  <c r="O328" i="3" l="1"/>
  <c r="Q328" i="3" s="1"/>
  <c r="N329" i="3"/>
  <c r="O329" i="3" l="1"/>
  <c r="Q329" i="3" s="1"/>
  <c r="N330" i="3"/>
  <c r="O330" i="3" l="1"/>
  <c r="Q330" i="3" s="1"/>
  <c r="N331" i="3"/>
  <c r="O331" i="3" l="1"/>
  <c r="Q331" i="3" s="1"/>
  <c r="N332" i="3"/>
  <c r="O332" i="3" l="1"/>
  <c r="Q332" i="3" s="1"/>
  <c r="N333" i="3"/>
  <c r="O333" i="3" l="1"/>
  <c r="Q333" i="3" s="1"/>
  <c r="N334" i="3"/>
  <c r="O334" i="3" l="1"/>
  <c r="Q334" i="3" s="1"/>
  <c r="N335" i="3"/>
  <c r="O335" i="3" l="1"/>
  <c r="Q335" i="3" s="1"/>
  <c r="N336" i="3"/>
  <c r="O336" i="3" l="1"/>
  <c r="Q336" i="3" s="1"/>
  <c r="N337" i="3"/>
  <c r="O337" i="3" l="1"/>
  <c r="Q337" i="3" s="1"/>
  <c r="N338" i="3"/>
  <c r="O338" i="3" l="1"/>
  <c r="Q338" i="3" s="1"/>
  <c r="N339" i="3"/>
  <c r="O339" i="3" l="1"/>
  <c r="Q339" i="3" s="1"/>
  <c r="N340" i="3"/>
  <c r="O340" i="3" l="1"/>
  <c r="Q340" i="3" s="1"/>
  <c r="N341" i="3"/>
  <c r="O341" i="3" l="1"/>
  <c r="Q341" i="3" s="1"/>
  <c r="N342" i="3"/>
  <c r="O342" i="3" l="1"/>
  <c r="Q342" i="3" s="1"/>
  <c r="N343" i="3"/>
  <c r="O343" i="3" l="1"/>
  <c r="Q343" i="3" s="1"/>
  <c r="N344" i="3"/>
  <c r="O344" i="3" l="1"/>
  <c r="Q344" i="3" s="1"/>
  <c r="N345" i="3"/>
  <c r="O345" i="3" l="1"/>
  <c r="Q345" i="3" s="1"/>
  <c r="N346" i="3"/>
  <c r="O346" i="3" l="1"/>
  <c r="Q346" i="3" s="1"/>
  <c r="N347" i="3"/>
  <c r="O347" i="3" l="1"/>
  <c r="Q347" i="3" s="1"/>
  <c r="N348" i="3"/>
  <c r="O348" i="3" l="1"/>
  <c r="Q348" i="3" s="1"/>
  <c r="N349" i="3"/>
  <c r="O349" i="3" l="1"/>
  <c r="Q349" i="3" s="1"/>
  <c r="N350" i="3"/>
  <c r="O350" i="3" l="1"/>
  <c r="Q350" i="3" s="1"/>
  <c r="N351" i="3"/>
  <c r="O351" i="3" l="1"/>
  <c r="Q351" i="3" s="1"/>
  <c r="N352" i="3"/>
  <c r="O352" i="3" l="1"/>
  <c r="Q352" i="3" s="1"/>
  <c r="N353" i="3"/>
  <c r="O353" i="3" l="1"/>
  <c r="Q353" i="3" s="1"/>
  <c r="N354" i="3"/>
  <c r="O354" i="3" l="1"/>
  <c r="Q354" i="3" s="1"/>
  <c r="N355" i="3"/>
  <c r="O355" i="3" l="1"/>
  <c r="Q355" i="3" s="1"/>
  <c r="N356" i="3"/>
  <c r="O356" i="3" l="1"/>
  <c r="Q356" i="3" s="1"/>
  <c r="N357" i="3"/>
  <c r="O357" i="3" l="1"/>
  <c r="Q357" i="3" s="1"/>
  <c r="N358" i="3"/>
  <c r="O358" i="3" l="1"/>
  <c r="Q358" i="3" s="1"/>
  <c r="N359" i="3"/>
  <c r="O359" i="3" l="1"/>
  <c r="Q359" i="3" s="1"/>
  <c r="N360" i="3"/>
  <c r="O360" i="3" l="1"/>
  <c r="Q360" i="3" s="1"/>
  <c r="N361" i="3"/>
  <c r="O361" i="3" l="1"/>
  <c r="Q361" i="3" s="1"/>
  <c r="N362" i="3"/>
  <c r="O362" i="3" l="1"/>
  <c r="Q362" i="3" s="1"/>
  <c r="N363" i="3"/>
  <c r="O363" i="3" l="1"/>
  <c r="Q363" i="3" s="1"/>
  <c r="N364" i="3"/>
  <c r="O364" i="3" l="1"/>
  <c r="Q364" i="3" s="1"/>
  <c r="N365" i="3"/>
  <c r="O365" i="3" l="1"/>
  <c r="Q365" i="3" s="1"/>
  <c r="N366" i="3"/>
  <c r="O366" i="3" l="1"/>
  <c r="Q366" i="3" s="1"/>
  <c r="N367" i="3"/>
  <c r="O367" i="3" l="1"/>
  <c r="Q367" i="3" s="1"/>
  <c r="N368" i="3"/>
  <c r="O368" i="3" l="1"/>
  <c r="Q368" i="3" s="1"/>
  <c r="N369" i="3"/>
  <c r="O369" i="3" l="1"/>
  <c r="Q369" i="3" s="1"/>
  <c r="N370" i="3"/>
  <c r="O370" i="3" l="1"/>
  <c r="Q370" i="3" s="1"/>
  <c r="N371" i="3"/>
  <c r="O371" i="3" l="1"/>
  <c r="Q371" i="3" s="1"/>
  <c r="N372" i="3"/>
  <c r="O372" i="3" l="1"/>
  <c r="Q372" i="3" s="1"/>
  <c r="N373" i="3"/>
  <c r="O373" i="3" l="1"/>
  <c r="Q373" i="3" s="1"/>
  <c r="N374" i="3"/>
  <c r="O374" i="3" l="1"/>
  <c r="Q374" i="3" s="1"/>
  <c r="N375" i="3"/>
  <c r="O375" i="3" l="1"/>
  <c r="Q375" i="3" s="1"/>
  <c r="N376" i="3"/>
  <c r="O376" i="3" l="1"/>
  <c r="Q376" i="3" s="1"/>
  <c r="N377" i="3"/>
  <c r="O377" i="3" l="1"/>
  <c r="Q377" i="3" s="1"/>
  <c r="N378" i="3"/>
  <c r="O378" i="3" l="1"/>
  <c r="Q378" i="3" s="1"/>
  <c r="N379" i="3"/>
  <c r="O379" i="3" l="1"/>
  <c r="Q379" i="3" s="1"/>
  <c r="N380" i="3"/>
  <c r="O380" i="3" l="1"/>
  <c r="Q380" i="3" s="1"/>
  <c r="N381" i="3"/>
  <c r="O381" i="3" l="1"/>
  <c r="Q381" i="3" s="1"/>
  <c r="N382" i="3"/>
  <c r="O382" i="3" l="1"/>
  <c r="Q382" i="3" s="1"/>
  <c r="N383" i="3"/>
  <c r="O383" i="3" l="1"/>
  <c r="Q383" i="3" s="1"/>
  <c r="N384" i="3"/>
  <c r="O384" i="3" l="1"/>
  <c r="Q384" i="3" s="1"/>
  <c r="N385" i="3"/>
  <c r="O385" i="3" l="1"/>
  <c r="Q385" i="3" s="1"/>
  <c r="N386" i="3"/>
  <c r="O386" i="3" l="1"/>
  <c r="Q386" i="3" s="1"/>
  <c r="N387" i="3"/>
  <c r="O387" i="3" l="1"/>
  <c r="Q387" i="3" s="1"/>
  <c r="N388" i="3"/>
  <c r="O388" i="3" l="1"/>
  <c r="Q388" i="3" s="1"/>
  <c r="N389" i="3"/>
  <c r="O389" i="3" l="1"/>
  <c r="Q389" i="3" s="1"/>
  <c r="N390" i="3"/>
  <c r="O390" i="3" l="1"/>
  <c r="Q390" i="3" s="1"/>
  <c r="N391" i="3"/>
  <c r="O391" i="3" l="1"/>
  <c r="Q391" i="3" s="1"/>
  <c r="N392" i="3"/>
  <c r="O392" i="3" l="1"/>
  <c r="Q392" i="3" s="1"/>
  <c r="N393" i="3"/>
  <c r="O393" i="3" l="1"/>
  <c r="Q393" i="3" s="1"/>
  <c r="N394" i="3"/>
  <c r="O394" i="3" l="1"/>
  <c r="Q394" i="3" s="1"/>
  <c r="N395" i="3"/>
  <c r="O395" i="3" l="1"/>
  <c r="Q395" i="3" s="1"/>
  <c r="N396" i="3"/>
  <c r="O396" i="3" l="1"/>
  <c r="Q396" i="3" s="1"/>
  <c r="N397" i="3"/>
  <c r="O397" i="3" l="1"/>
  <c r="Q397" i="3" s="1"/>
  <c r="N398" i="3"/>
  <c r="O398" i="3" l="1"/>
  <c r="Q398" i="3" s="1"/>
  <c r="N399" i="3"/>
  <c r="O399" i="3" l="1"/>
  <c r="Q399" i="3" s="1"/>
  <c r="N400" i="3"/>
  <c r="O400" i="3" l="1"/>
  <c r="Q400" i="3" s="1"/>
  <c r="N401" i="3"/>
  <c r="O401" i="3" l="1"/>
  <c r="Q401" i="3" s="1"/>
  <c r="N402" i="3"/>
  <c r="O402" i="3" l="1"/>
  <c r="Q402" i="3" s="1"/>
  <c r="N403" i="3"/>
  <c r="O403" i="3" l="1"/>
  <c r="Q403" i="3" s="1"/>
  <c r="N404" i="3"/>
  <c r="O404" i="3" l="1"/>
  <c r="Q404" i="3" s="1"/>
  <c r="N405" i="3"/>
  <c r="O405" i="3" l="1"/>
  <c r="Q405" i="3" s="1"/>
  <c r="N406" i="3"/>
  <c r="O406" i="3" l="1"/>
  <c r="Q406" i="3" s="1"/>
  <c r="N407" i="3"/>
  <c r="O407" i="3" l="1"/>
  <c r="Q407" i="3" s="1"/>
  <c r="N408" i="3"/>
  <c r="O408" i="3" l="1"/>
  <c r="Q408" i="3" s="1"/>
  <c r="N409" i="3"/>
  <c r="O409" i="3" l="1"/>
  <c r="Q409" i="3" s="1"/>
  <c r="N410" i="3"/>
  <c r="O410" i="3" l="1"/>
  <c r="Q410" i="3" s="1"/>
  <c r="N411" i="3"/>
  <c r="O411" i="3" l="1"/>
  <c r="Q411" i="3" s="1"/>
  <c r="N412" i="3"/>
  <c r="O412" i="3" l="1"/>
  <c r="Q412" i="3" s="1"/>
  <c r="N413" i="3"/>
  <c r="O413" i="3" l="1"/>
  <c r="Q413" i="3" s="1"/>
  <c r="N414" i="3"/>
  <c r="O414" i="3" l="1"/>
  <c r="Q414" i="3" s="1"/>
  <c r="N415" i="3"/>
  <c r="O415" i="3" l="1"/>
  <c r="Q415" i="3" s="1"/>
  <c r="N416" i="3"/>
  <c r="O416" i="3" l="1"/>
  <c r="Q416" i="3" s="1"/>
  <c r="N417" i="3"/>
  <c r="O417" i="3" l="1"/>
  <c r="Q417" i="3" s="1"/>
  <c r="N418" i="3"/>
  <c r="O418" i="3" l="1"/>
  <c r="Q418" i="3" s="1"/>
  <c r="N419" i="3"/>
  <c r="O419" i="3" l="1"/>
  <c r="Q419" i="3" s="1"/>
  <c r="N420" i="3"/>
  <c r="O420" i="3" l="1"/>
  <c r="Q420" i="3" s="1"/>
  <c r="N421" i="3"/>
  <c r="O421" i="3" l="1"/>
  <c r="Q421" i="3" s="1"/>
  <c r="N422" i="3"/>
  <c r="O422" i="3" l="1"/>
  <c r="Q422" i="3" s="1"/>
  <c r="N423" i="3"/>
  <c r="O423" i="3" l="1"/>
  <c r="Q423" i="3" s="1"/>
  <c r="N424" i="3"/>
  <c r="O424" i="3" l="1"/>
  <c r="Q424" i="3" s="1"/>
  <c r="N425" i="3"/>
  <c r="O425" i="3" l="1"/>
  <c r="Q425" i="3" s="1"/>
  <c r="N426" i="3"/>
  <c r="O426" i="3" l="1"/>
  <c r="Q426" i="3" s="1"/>
  <c r="N427" i="3"/>
  <c r="O427" i="3" l="1"/>
  <c r="Q427" i="3" s="1"/>
  <c r="N428" i="3"/>
  <c r="O428" i="3" l="1"/>
  <c r="Q428" i="3" s="1"/>
  <c r="N429" i="3"/>
  <c r="O429" i="3" l="1"/>
  <c r="Q429" i="3" s="1"/>
  <c r="N430" i="3"/>
  <c r="O430" i="3" l="1"/>
  <c r="Q430" i="3" s="1"/>
  <c r="N431" i="3"/>
  <c r="O431" i="3" l="1"/>
  <c r="Q431" i="3" s="1"/>
  <c r="N432" i="3"/>
  <c r="O432" i="3" l="1"/>
  <c r="Q432" i="3" s="1"/>
  <c r="N433" i="3"/>
  <c r="O433" i="3" l="1"/>
  <c r="Q433" i="3" s="1"/>
  <c r="N434" i="3"/>
  <c r="O434" i="3" l="1"/>
  <c r="Q434" i="3" s="1"/>
  <c r="N435" i="3"/>
  <c r="O435" i="3" l="1"/>
  <c r="Q435" i="3" s="1"/>
  <c r="N436" i="3"/>
  <c r="O436" i="3" l="1"/>
  <c r="Q436" i="3" s="1"/>
  <c r="N437" i="3"/>
  <c r="O437" i="3" l="1"/>
  <c r="Q437" i="3" s="1"/>
  <c r="N438" i="3"/>
  <c r="O438" i="3" l="1"/>
  <c r="Q438" i="3" s="1"/>
  <c r="N439" i="3"/>
  <c r="O439" i="3" l="1"/>
  <c r="Q439" i="3" s="1"/>
  <c r="N440" i="3"/>
  <c r="O440" i="3" l="1"/>
  <c r="Q440" i="3" s="1"/>
  <c r="N441" i="3"/>
  <c r="O441" i="3" l="1"/>
  <c r="Q441" i="3" s="1"/>
  <c r="N442" i="3"/>
  <c r="O442" i="3" l="1"/>
  <c r="Q442" i="3" s="1"/>
  <c r="N443" i="3"/>
  <c r="O443" i="3" l="1"/>
  <c r="Q443" i="3" s="1"/>
  <c r="N444" i="3"/>
  <c r="O444" i="3" l="1"/>
  <c r="Q444" i="3" s="1"/>
  <c r="N445" i="3"/>
  <c r="O445" i="3" l="1"/>
  <c r="Q445" i="3" s="1"/>
  <c r="N446" i="3"/>
  <c r="O446" i="3" l="1"/>
  <c r="Q446" i="3" s="1"/>
  <c r="N447" i="3"/>
  <c r="O447" i="3" l="1"/>
  <c r="Q447" i="3" s="1"/>
  <c r="N448" i="3"/>
  <c r="O448" i="3" l="1"/>
  <c r="Q448" i="3" s="1"/>
  <c r="N449" i="3"/>
  <c r="O449" i="3" l="1"/>
  <c r="Q449" i="3" s="1"/>
  <c r="N450" i="3"/>
  <c r="O450" i="3" l="1"/>
  <c r="Q450" i="3" s="1"/>
  <c r="N451" i="3"/>
  <c r="O451" i="3" l="1"/>
  <c r="Q451" i="3" s="1"/>
  <c r="N452" i="3"/>
  <c r="O452" i="3" l="1"/>
  <c r="Q452" i="3" s="1"/>
  <c r="N453" i="3"/>
  <c r="O453" i="3" l="1"/>
  <c r="Q453" i="3" s="1"/>
  <c r="N454" i="3"/>
  <c r="O454" i="3" l="1"/>
  <c r="Q454" i="3" s="1"/>
  <c r="N455" i="3"/>
  <c r="O455" i="3" l="1"/>
  <c r="Q455" i="3" s="1"/>
  <c r="N456" i="3"/>
  <c r="O456" i="3" l="1"/>
  <c r="Q456" i="3" s="1"/>
  <c r="N457" i="3"/>
  <c r="O457" i="3" l="1"/>
  <c r="Q457" i="3" s="1"/>
  <c r="N458" i="3"/>
  <c r="O458" i="3" l="1"/>
  <c r="Q458" i="3" s="1"/>
  <c r="N459" i="3"/>
  <c r="O459" i="3" l="1"/>
  <c r="Q459" i="3" s="1"/>
  <c r="N460" i="3"/>
  <c r="O460" i="3" l="1"/>
  <c r="Q460" i="3" s="1"/>
  <c r="N461" i="3"/>
  <c r="O461" i="3" l="1"/>
  <c r="Q461" i="3" s="1"/>
  <c r="N462" i="3"/>
  <c r="O462" i="3" l="1"/>
  <c r="Q462" i="3" s="1"/>
  <c r="N463" i="3"/>
  <c r="O463" i="3" l="1"/>
  <c r="Q463" i="3" s="1"/>
  <c r="N464" i="3"/>
  <c r="O464" i="3" l="1"/>
  <c r="Q464" i="3" s="1"/>
  <c r="N465" i="3"/>
  <c r="O465" i="3" l="1"/>
  <c r="Q465" i="3" s="1"/>
  <c r="N466" i="3"/>
  <c r="O466" i="3" l="1"/>
  <c r="Q466" i="3" s="1"/>
  <c r="N467" i="3"/>
  <c r="O467" i="3" l="1"/>
  <c r="Q467" i="3" s="1"/>
  <c r="N468" i="3"/>
  <c r="O468" i="3" l="1"/>
  <c r="Q468" i="3" s="1"/>
  <c r="N469" i="3"/>
  <c r="O469" i="3" l="1"/>
  <c r="Q469" i="3" s="1"/>
  <c r="N470" i="3"/>
  <c r="O470" i="3" l="1"/>
  <c r="Q470" i="3" s="1"/>
  <c r="N471" i="3"/>
  <c r="O471" i="3" l="1"/>
  <c r="Q471" i="3" s="1"/>
  <c r="N472" i="3"/>
  <c r="O472" i="3" l="1"/>
  <c r="Q472" i="3" s="1"/>
  <c r="N473" i="3"/>
  <c r="O473" i="3" l="1"/>
  <c r="Q473" i="3" s="1"/>
  <c r="N474" i="3"/>
  <c r="O474" i="3" l="1"/>
  <c r="Q474" i="3" s="1"/>
  <c r="N475" i="3"/>
  <c r="O475" i="3" l="1"/>
  <c r="Q475" i="3" s="1"/>
  <c r="N476" i="3"/>
  <c r="O476" i="3" l="1"/>
  <c r="Q476" i="3" s="1"/>
  <c r="N477" i="3"/>
  <c r="O477" i="3" l="1"/>
  <c r="Q477" i="3" s="1"/>
  <c r="N478" i="3"/>
  <c r="O478" i="3" l="1"/>
  <c r="Q478" i="3" s="1"/>
  <c r="N479" i="3"/>
  <c r="O479" i="3" l="1"/>
  <c r="Q479" i="3" s="1"/>
  <c r="N480" i="3"/>
  <c r="O480" i="3" l="1"/>
  <c r="Q480" i="3" s="1"/>
  <c r="N481" i="3"/>
  <c r="O481" i="3" l="1"/>
  <c r="Q481" i="3" s="1"/>
  <c r="N482" i="3"/>
  <c r="O482" i="3" l="1"/>
  <c r="Q482" i="3" s="1"/>
  <c r="N483" i="3"/>
  <c r="O483" i="3" l="1"/>
  <c r="Q483" i="3" s="1"/>
  <c r="N484" i="3"/>
  <c r="O484" i="3" l="1"/>
  <c r="Q484" i="3" s="1"/>
  <c r="N485" i="3"/>
  <c r="O485" i="3" l="1"/>
  <c r="Q485" i="3" s="1"/>
  <c r="N486" i="3"/>
  <c r="O486" i="3" l="1"/>
  <c r="Q486" i="3" s="1"/>
  <c r="N487" i="3"/>
  <c r="O487" i="3" l="1"/>
  <c r="Q487" i="3" s="1"/>
  <c r="N488" i="3"/>
  <c r="O488" i="3" l="1"/>
  <c r="Q488" i="3" s="1"/>
  <c r="N489" i="3"/>
  <c r="O489" i="3" l="1"/>
  <c r="Q489" i="3" s="1"/>
  <c r="N490" i="3"/>
  <c r="O490" i="3" l="1"/>
  <c r="Q490" i="3" s="1"/>
  <c r="N491" i="3"/>
  <c r="O491" i="3" l="1"/>
  <c r="Q491" i="3" s="1"/>
  <c r="N492" i="3"/>
  <c r="O492" i="3" l="1"/>
  <c r="Q492" i="3" s="1"/>
  <c r="N493" i="3"/>
  <c r="O493" i="3" l="1"/>
  <c r="Q493" i="3" s="1"/>
  <c r="N494" i="3"/>
  <c r="O494" i="3" l="1"/>
  <c r="Q494" i="3" s="1"/>
  <c r="N495" i="3"/>
  <c r="O495" i="3" l="1"/>
  <c r="Q495" i="3" s="1"/>
  <c r="N496" i="3"/>
  <c r="O496" i="3" l="1"/>
  <c r="Q496" i="3" s="1"/>
  <c r="N497" i="3"/>
  <c r="O497" i="3" l="1"/>
  <c r="Q497" i="3" s="1"/>
  <c r="N498" i="3"/>
  <c r="O498" i="3" l="1"/>
  <c r="Q498" i="3" s="1"/>
  <c r="N499" i="3"/>
  <c r="O499" i="3" l="1"/>
  <c r="Q499" i="3" s="1"/>
  <c r="N500" i="3"/>
  <c r="O500" i="3" l="1"/>
  <c r="Q500" i="3" s="1"/>
  <c r="N501" i="3"/>
  <c r="O501" i="3" l="1"/>
  <c r="Q501" i="3" s="1"/>
  <c r="N502" i="3"/>
  <c r="O502" i="3" l="1"/>
  <c r="Q502" i="3" s="1"/>
  <c r="N503" i="3"/>
  <c r="O503" i="3" l="1"/>
  <c r="Q503" i="3" s="1"/>
  <c r="N504" i="3"/>
  <c r="O504" i="3" l="1"/>
  <c r="Q504" i="3" s="1"/>
  <c r="N505" i="3"/>
  <c r="O505" i="3" l="1"/>
  <c r="Q505" i="3" s="1"/>
  <c r="N506" i="3"/>
  <c r="O506" i="3" l="1"/>
  <c r="Q506" i="3" s="1"/>
  <c r="N507" i="3"/>
  <c r="O507" i="3" l="1"/>
  <c r="Q507" i="3" s="1"/>
  <c r="N508" i="3"/>
  <c r="O508" i="3" l="1"/>
  <c r="Q508" i="3" s="1"/>
  <c r="N509" i="3"/>
  <c r="O509" i="3" l="1"/>
  <c r="Q509" i="3" s="1"/>
  <c r="N510" i="3"/>
  <c r="O510" i="3" l="1"/>
  <c r="Q510" i="3" s="1"/>
  <c r="N511" i="3"/>
  <c r="O511" i="3" l="1"/>
  <c r="Q511" i="3" s="1"/>
  <c r="N512" i="3"/>
  <c r="O512" i="3" l="1"/>
  <c r="Q512" i="3" s="1"/>
  <c r="N513" i="3"/>
  <c r="O513" i="3" l="1"/>
  <c r="Q513" i="3" s="1"/>
  <c r="N514" i="3"/>
  <c r="O514" i="3" l="1"/>
  <c r="Q514" i="3" s="1"/>
  <c r="N515" i="3"/>
  <c r="O515" i="3" l="1"/>
  <c r="Q515" i="3" s="1"/>
  <c r="N516" i="3"/>
  <c r="O516" i="3" l="1"/>
  <c r="Q516" i="3" s="1"/>
  <c r="N517" i="3"/>
  <c r="O517" i="3" l="1"/>
  <c r="Q517" i="3" s="1"/>
  <c r="N518" i="3"/>
  <c r="O518" i="3" l="1"/>
  <c r="Q518" i="3" s="1"/>
  <c r="N519" i="3"/>
  <c r="O519" i="3" l="1"/>
  <c r="Q519" i="3" s="1"/>
  <c r="N520" i="3"/>
  <c r="O520" i="3" l="1"/>
  <c r="Q520" i="3" s="1"/>
  <c r="N521" i="3"/>
  <c r="O521" i="3" l="1"/>
  <c r="Q521" i="3" s="1"/>
  <c r="N522" i="3"/>
  <c r="O522" i="3" l="1"/>
  <c r="Q522" i="3" s="1"/>
  <c r="N523" i="3"/>
  <c r="O523" i="3" l="1"/>
  <c r="Q523" i="3" s="1"/>
  <c r="N524" i="3"/>
  <c r="O524" i="3" l="1"/>
  <c r="Q524" i="3" s="1"/>
  <c r="N525" i="3"/>
  <c r="O525" i="3" l="1"/>
  <c r="Q525" i="3" s="1"/>
  <c r="N526" i="3"/>
  <c r="O526" i="3" l="1"/>
  <c r="Q526" i="3" s="1"/>
  <c r="N527" i="3"/>
  <c r="O527" i="3" l="1"/>
  <c r="Q527" i="3" s="1"/>
  <c r="N528" i="3"/>
  <c r="O528" i="3" l="1"/>
  <c r="Q528" i="3" s="1"/>
  <c r="N529" i="3"/>
  <c r="O529" i="3" l="1"/>
  <c r="Q529" i="3" s="1"/>
  <c r="N530" i="3"/>
  <c r="O530" i="3" l="1"/>
  <c r="Q530" i="3" s="1"/>
  <c r="N531" i="3"/>
  <c r="O531" i="3" l="1"/>
  <c r="Q531" i="3" s="1"/>
  <c r="N532" i="3"/>
  <c r="O532" i="3" l="1"/>
  <c r="Q532" i="3" s="1"/>
  <c r="N533" i="3"/>
  <c r="O533" i="3" l="1"/>
  <c r="Q533" i="3" s="1"/>
  <c r="N534" i="3"/>
  <c r="O534" i="3" l="1"/>
  <c r="Q534" i="3" s="1"/>
  <c r="N535" i="3"/>
  <c r="O535" i="3" l="1"/>
  <c r="Q535" i="3" s="1"/>
  <c r="N536" i="3"/>
  <c r="O536" i="3" l="1"/>
  <c r="Q536" i="3" s="1"/>
  <c r="N537" i="3"/>
  <c r="O537" i="3" l="1"/>
  <c r="Q537" i="3" s="1"/>
  <c r="N538" i="3"/>
  <c r="O538" i="3" l="1"/>
  <c r="Q538" i="3" s="1"/>
  <c r="N539" i="3"/>
  <c r="O539" i="3" l="1"/>
  <c r="Q539" i="3" s="1"/>
  <c r="N540" i="3"/>
  <c r="O540" i="3" l="1"/>
  <c r="Q540" i="3" s="1"/>
  <c r="N541" i="3"/>
  <c r="O541" i="3" l="1"/>
  <c r="Q541" i="3" s="1"/>
  <c r="N542" i="3"/>
  <c r="O542" i="3" l="1"/>
  <c r="Q542" i="3" s="1"/>
  <c r="N543" i="3"/>
  <c r="O543" i="3" l="1"/>
  <c r="Q543" i="3" s="1"/>
  <c r="N544" i="3"/>
  <c r="O544" i="3" l="1"/>
  <c r="Q544" i="3" s="1"/>
  <c r="N545" i="3"/>
  <c r="O545" i="3" l="1"/>
  <c r="Q545" i="3" s="1"/>
  <c r="N546" i="3"/>
  <c r="O546" i="3" l="1"/>
  <c r="Q546" i="3" s="1"/>
  <c r="N547" i="3"/>
  <c r="O547" i="3" l="1"/>
  <c r="Q547" i="3" s="1"/>
  <c r="N548" i="3"/>
  <c r="O548" i="3" l="1"/>
  <c r="Q548" i="3" s="1"/>
  <c r="N549" i="3"/>
  <c r="O549" i="3" l="1"/>
  <c r="Q549" i="3" s="1"/>
  <c r="N550" i="3"/>
  <c r="O550" i="3" l="1"/>
  <c r="Q550" i="3" s="1"/>
  <c r="N551" i="3"/>
  <c r="O551" i="3" l="1"/>
  <c r="Q551" i="3" s="1"/>
  <c r="N552" i="3"/>
  <c r="O552" i="3" l="1"/>
  <c r="Q552" i="3" s="1"/>
  <c r="N553" i="3"/>
  <c r="O553" i="3" l="1"/>
  <c r="Q553" i="3" s="1"/>
  <c r="N554" i="3"/>
  <c r="O554" i="3" l="1"/>
  <c r="Q554" i="3" s="1"/>
  <c r="N555" i="3"/>
  <c r="O555" i="3" l="1"/>
  <c r="Q555" i="3" s="1"/>
  <c r="N556" i="3"/>
  <c r="O556" i="3" l="1"/>
  <c r="Q556" i="3" s="1"/>
  <c r="N557" i="3"/>
  <c r="O557" i="3" l="1"/>
  <c r="Q557" i="3" s="1"/>
  <c r="N558" i="3"/>
  <c r="O558" i="3" l="1"/>
  <c r="Q558" i="3" s="1"/>
  <c r="N559" i="3"/>
  <c r="O559" i="3" l="1"/>
  <c r="Q559" i="3" s="1"/>
  <c r="N560" i="3"/>
  <c r="O560" i="3" l="1"/>
  <c r="Q560" i="3" s="1"/>
  <c r="N561" i="3"/>
  <c r="O561" i="3" l="1"/>
  <c r="Q561" i="3" s="1"/>
  <c r="N562" i="3"/>
  <c r="O562" i="3" l="1"/>
  <c r="Q562" i="3" s="1"/>
  <c r="N563" i="3"/>
  <c r="O563" i="3" l="1"/>
  <c r="Q563" i="3" s="1"/>
  <c r="N564" i="3"/>
  <c r="O564" i="3" l="1"/>
  <c r="Q564" i="3" s="1"/>
  <c r="N565" i="3"/>
  <c r="O565" i="3" l="1"/>
  <c r="Q565" i="3" s="1"/>
  <c r="N566" i="3"/>
  <c r="O566" i="3" l="1"/>
  <c r="Q566" i="3" s="1"/>
  <c r="N567" i="3"/>
  <c r="O567" i="3" l="1"/>
  <c r="Q567" i="3" s="1"/>
  <c r="N568" i="3"/>
  <c r="O568" i="3" l="1"/>
  <c r="Q568" i="3" s="1"/>
  <c r="N569" i="3"/>
  <c r="O569" i="3" l="1"/>
  <c r="Q569" i="3" s="1"/>
  <c r="N570" i="3"/>
  <c r="O570" i="3" l="1"/>
  <c r="Q570" i="3" s="1"/>
  <c r="N571" i="3"/>
  <c r="O571" i="3" l="1"/>
  <c r="Q571" i="3" s="1"/>
  <c r="N572" i="3"/>
  <c r="O572" i="3" l="1"/>
  <c r="Q572" i="3" s="1"/>
  <c r="N573" i="3"/>
  <c r="O573" i="3" l="1"/>
  <c r="Q573" i="3" s="1"/>
  <c r="N574" i="3"/>
  <c r="O574" i="3" l="1"/>
  <c r="Q574" i="3" s="1"/>
  <c r="N575" i="3"/>
  <c r="O575" i="3" l="1"/>
  <c r="Q575" i="3" s="1"/>
  <c r="N576" i="3"/>
  <c r="O576" i="3" l="1"/>
  <c r="Q576" i="3" s="1"/>
  <c r="N577" i="3"/>
  <c r="O577" i="3" l="1"/>
  <c r="Q577" i="3" s="1"/>
  <c r="N578" i="3"/>
  <c r="O578" i="3" l="1"/>
  <c r="Q578" i="3" s="1"/>
  <c r="N579" i="3"/>
  <c r="O579" i="3" l="1"/>
  <c r="Q579" i="3" s="1"/>
  <c r="N580" i="3"/>
  <c r="O580" i="3" l="1"/>
  <c r="Q580" i="3" s="1"/>
  <c r="N581" i="3"/>
  <c r="O581" i="3" l="1"/>
  <c r="Q581" i="3" s="1"/>
  <c r="N582" i="3"/>
  <c r="O582" i="3" l="1"/>
  <c r="Q582" i="3" s="1"/>
  <c r="N583" i="3"/>
  <c r="O583" i="3" l="1"/>
  <c r="Q583" i="3" s="1"/>
  <c r="N584" i="3"/>
  <c r="O584" i="3" l="1"/>
  <c r="Q584" i="3" s="1"/>
  <c r="N585" i="3"/>
  <c r="O585" i="3" l="1"/>
  <c r="Q585" i="3" s="1"/>
  <c r="N586" i="3"/>
  <c r="O586" i="3" l="1"/>
  <c r="Q586" i="3" s="1"/>
  <c r="N587" i="3"/>
  <c r="O587" i="3" l="1"/>
  <c r="Q587" i="3" s="1"/>
  <c r="N588" i="3"/>
  <c r="O588" i="3" l="1"/>
  <c r="Q588" i="3" s="1"/>
  <c r="N589" i="3"/>
  <c r="O589" i="3" l="1"/>
  <c r="Q589" i="3" s="1"/>
  <c r="N590" i="3"/>
  <c r="O590" i="3" l="1"/>
  <c r="Q590" i="3" s="1"/>
  <c r="N591" i="3"/>
  <c r="O591" i="3" l="1"/>
  <c r="Q591" i="3" s="1"/>
  <c r="N592" i="3"/>
  <c r="O592" i="3" l="1"/>
  <c r="Q592" i="3" s="1"/>
  <c r="N593" i="3"/>
  <c r="O593" i="3" l="1"/>
  <c r="Q593" i="3" s="1"/>
  <c r="N594" i="3"/>
  <c r="O594" i="3" l="1"/>
  <c r="Q594" i="3" s="1"/>
  <c r="N595" i="3"/>
  <c r="O595" i="3" l="1"/>
  <c r="Q595" i="3" s="1"/>
  <c r="N596" i="3"/>
  <c r="O596" i="3" l="1"/>
  <c r="Q596" i="3" s="1"/>
  <c r="N597" i="3"/>
  <c r="O597" i="3" l="1"/>
  <c r="Q597" i="3" s="1"/>
  <c r="N598" i="3"/>
  <c r="O598" i="3" l="1"/>
  <c r="Q598" i="3" s="1"/>
  <c r="N599" i="3"/>
  <c r="O599" i="3" l="1"/>
  <c r="Q599" i="3" s="1"/>
  <c r="N600" i="3"/>
  <c r="O600" i="3" l="1"/>
  <c r="Q600" i="3" s="1"/>
  <c r="N601" i="3"/>
  <c r="O601" i="3" l="1"/>
  <c r="Q601" i="3" s="1"/>
  <c r="N602" i="3"/>
  <c r="O602" i="3" l="1"/>
  <c r="Q602" i="3" s="1"/>
  <c r="N603" i="3"/>
  <c r="O603" i="3" l="1"/>
  <c r="Q603" i="3" s="1"/>
  <c r="N604" i="3"/>
  <c r="O604" i="3" l="1"/>
  <c r="Q604" i="3" s="1"/>
  <c r="N605" i="3"/>
  <c r="O605" i="3" l="1"/>
  <c r="Q605" i="3" s="1"/>
  <c r="N606" i="3"/>
  <c r="O606" i="3" l="1"/>
  <c r="Q606" i="3" s="1"/>
  <c r="N607" i="3"/>
  <c r="O607" i="3" l="1"/>
  <c r="Q607" i="3" s="1"/>
  <c r="N608" i="3"/>
  <c r="O608" i="3" l="1"/>
  <c r="Q608" i="3" s="1"/>
  <c r="N609" i="3"/>
  <c r="O609" i="3" l="1"/>
  <c r="Q609" i="3" s="1"/>
  <c r="N610" i="3"/>
  <c r="O610" i="3" l="1"/>
  <c r="Q610" i="3" s="1"/>
  <c r="N611" i="3"/>
  <c r="O611" i="3" l="1"/>
  <c r="Q611" i="3" s="1"/>
  <c r="N612" i="3"/>
  <c r="O612" i="3" l="1"/>
  <c r="Q612" i="3" s="1"/>
  <c r="N613" i="3"/>
  <c r="O613" i="3" l="1"/>
  <c r="Q613" i="3" s="1"/>
  <c r="N614" i="3"/>
  <c r="O614" i="3" l="1"/>
  <c r="Q614" i="3" s="1"/>
  <c r="N615" i="3"/>
  <c r="O615" i="3" l="1"/>
  <c r="Q615" i="3" s="1"/>
  <c r="N616" i="3"/>
  <c r="O616" i="3" l="1"/>
  <c r="Q616" i="3" s="1"/>
  <c r="N617" i="3"/>
  <c r="O617" i="3" l="1"/>
  <c r="Q617" i="3" s="1"/>
  <c r="N618" i="3"/>
  <c r="O618" i="3" l="1"/>
  <c r="Q618" i="3" s="1"/>
  <c r="N619" i="3"/>
  <c r="O619" i="3" l="1"/>
  <c r="Q619" i="3" s="1"/>
  <c r="N620" i="3"/>
  <c r="O620" i="3" l="1"/>
  <c r="Q620" i="3" s="1"/>
  <c r="N621" i="3"/>
  <c r="O621" i="3" l="1"/>
  <c r="Q621" i="3" s="1"/>
  <c r="N622" i="3"/>
  <c r="O622" i="3" l="1"/>
  <c r="Q622" i="3" s="1"/>
  <c r="N623" i="3"/>
  <c r="O623" i="3" l="1"/>
  <c r="Q623" i="3" s="1"/>
  <c r="N624" i="3"/>
  <c r="O624" i="3" l="1"/>
  <c r="Q624" i="3" s="1"/>
  <c r="N625" i="3"/>
  <c r="O625" i="3" l="1"/>
  <c r="Q625" i="3" s="1"/>
  <c r="N626" i="3"/>
  <c r="O626" i="3" l="1"/>
  <c r="Q626" i="3" s="1"/>
  <c r="N627" i="3"/>
  <c r="O627" i="3" l="1"/>
  <c r="Q627" i="3" s="1"/>
  <c r="N628" i="3"/>
  <c r="O628" i="3" l="1"/>
  <c r="Q628" i="3" s="1"/>
  <c r="N629" i="3"/>
  <c r="O629" i="3" l="1"/>
  <c r="Q629" i="3" s="1"/>
  <c r="N630" i="3"/>
  <c r="O630" i="3" l="1"/>
  <c r="Q630" i="3" s="1"/>
  <c r="N631" i="3"/>
  <c r="O631" i="3" l="1"/>
  <c r="Q631" i="3" s="1"/>
  <c r="N632" i="3"/>
  <c r="O632" i="3" l="1"/>
  <c r="Q632" i="3" s="1"/>
  <c r="N633" i="3"/>
  <c r="O633" i="3" l="1"/>
  <c r="Q633" i="3" s="1"/>
  <c r="N634" i="3"/>
  <c r="O634" i="3" l="1"/>
  <c r="Q634" i="3" s="1"/>
  <c r="N635" i="3"/>
  <c r="O635" i="3" l="1"/>
  <c r="Q635" i="3" s="1"/>
  <c r="N636" i="3"/>
  <c r="O636" i="3" l="1"/>
  <c r="Q636" i="3" s="1"/>
  <c r="N637" i="3"/>
  <c r="O637" i="3" l="1"/>
  <c r="Q637" i="3" s="1"/>
  <c r="N638" i="3"/>
  <c r="O638" i="3" l="1"/>
  <c r="Q638" i="3" s="1"/>
  <c r="N639" i="3"/>
  <c r="O639" i="3" l="1"/>
  <c r="Q639" i="3" s="1"/>
  <c r="N640" i="3"/>
  <c r="O640" i="3" l="1"/>
  <c r="Q640" i="3" s="1"/>
  <c r="N641" i="3"/>
  <c r="O641" i="3" l="1"/>
  <c r="Q641" i="3" s="1"/>
  <c r="N642" i="3"/>
  <c r="O642" i="3" l="1"/>
  <c r="Q642" i="3" s="1"/>
  <c r="N643" i="3"/>
  <c r="O643" i="3" l="1"/>
  <c r="Q643" i="3" s="1"/>
  <c r="N644" i="3"/>
  <c r="O644" i="3" l="1"/>
  <c r="Q644" i="3" s="1"/>
  <c r="N645" i="3"/>
  <c r="O645" i="3" l="1"/>
  <c r="Q645" i="3" s="1"/>
  <c r="N646" i="3"/>
  <c r="O646" i="3" l="1"/>
  <c r="Q646" i="3" s="1"/>
  <c r="N647" i="3"/>
  <c r="O647" i="3" l="1"/>
  <c r="Q647" i="3" s="1"/>
  <c r="N648" i="3"/>
  <c r="O648" i="3" l="1"/>
  <c r="Q648" i="3" s="1"/>
  <c r="N649" i="3"/>
  <c r="O649" i="3" l="1"/>
  <c r="Q649" i="3" s="1"/>
  <c r="N650" i="3"/>
  <c r="O650" i="3" l="1"/>
  <c r="Q650" i="3" s="1"/>
  <c r="N651" i="3"/>
  <c r="O651" i="3" l="1"/>
  <c r="Q651" i="3" s="1"/>
  <c r="N652" i="3"/>
  <c r="O652" i="3" l="1"/>
  <c r="Q652" i="3" s="1"/>
  <c r="N653" i="3"/>
  <c r="O653" i="3" l="1"/>
  <c r="Q653" i="3" s="1"/>
  <c r="N654" i="3"/>
  <c r="O654" i="3" l="1"/>
  <c r="Q654" i="3" s="1"/>
  <c r="N655" i="3"/>
  <c r="O655" i="3" l="1"/>
  <c r="Q655" i="3" s="1"/>
  <c r="N656" i="3"/>
  <c r="O656" i="3" l="1"/>
  <c r="Q656" i="3" s="1"/>
  <c r="N657" i="3"/>
  <c r="O657" i="3" l="1"/>
  <c r="Q657" i="3" s="1"/>
  <c r="N658" i="3"/>
  <c r="O658" i="3" l="1"/>
  <c r="Q658" i="3" s="1"/>
  <c r="N659" i="3"/>
  <c r="O659" i="3" l="1"/>
  <c r="Q659" i="3" s="1"/>
  <c r="N660" i="3"/>
  <c r="O660" i="3" l="1"/>
  <c r="Q660" i="3" s="1"/>
  <c r="N661" i="3"/>
  <c r="O661" i="3" l="1"/>
  <c r="Q661" i="3" s="1"/>
  <c r="N662" i="3"/>
  <c r="O662" i="3" l="1"/>
  <c r="Q662" i="3" s="1"/>
  <c r="N663" i="3"/>
  <c r="O663" i="3" l="1"/>
  <c r="Q663" i="3" s="1"/>
  <c r="N664" i="3"/>
  <c r="O664" i="3" l="1"/>
  <c r="Q664" i="3" s="1"/>
  <c r="N665" i="3"/>
  <c r="O665" i="3" l="1"/>
  <c r="Q665" i="3" s="1"/>
  <c r="N666" i="3"/>
  <c r="O666" i="3" l="1"/>
  <c r="Q666" i="3" s="1"/>
  <c r="N667" i="3"/>
  <c r="O667" i="3" l="1"/>
  <c r="Q667" i="3" s="1"/>
  <c r="N668" i="3"/>
  <c r="O668" i="3" l="1"/>
  <c r="Q668" i="3" s="1"/>
  <c r="N669" i="3"/>
  <c r="O669" i="3" l="1"/>
  <c r="Q669" i="3" s="1"/>
  <c r="N670" i="3"/>
  <c r="O670" i="3" l="1"/>
  <c r="Q670" i="3" s="1"/>
  <c r="N671" i="3"/>
  <c r="O671" i="3" l="1"/>
  <c r="Q671" i="3" s="1"/>
  <c r="N672" i="3"/>
  <c r="O672" i="3" l="1"/>
  <c r="Q672" i="3" s="1"/>
  <c r="N673" i="3"/>
  <c r="O673" i="3" l="1"/>
  <c r="Q673" i="3" s="1"/>
  <c r="N674" i="3"/>
  <c r="O674" i="3" l="1"/>
  <c r="Q674" i="3" s="1"/>
  <c r="N675" i="3"/>
  <c r="O675" i="3" l="1"/>
  <c r="Q675" i="3" s="1"/>
  <c r="N676" i="3"/>
  <c r="O676" i="3" l="1"/>
  <c r="Q676" i="3" s="1"/>
  <c r="N677" i="3"/>
  <c r="O677" i="3" l="1"/>
  <c r="Q677" i="3" s="1"/>
  <c r="N678" i="3"/>
  <c r="O678" i="3" l="1"/>
  <c r="Q678" i="3" s="1"/>
  <c r="N679" i="3"/>
  <c r="O679" i="3" l="1"/>
  <c r="Q679" i="3" s="1"/>
  <c r="N680" i="3"/>
  <c r="O680" i="3" l="1"/>
  <c r="Q680" i="3" s="1"/>
  <c r="N681" i="3"/>
  <c r="O681" i="3" l="1"/>
  <c r="Q681" i="3" s="1"/>
  <c r="N682" i="3"/>
  <c r="O682" i="3" l="1"/>
  <c r="Q682" i="3" s="1"/>
  <c r="N683" i="3"/>
  <c r="O683" i="3" l="1"/>
  <c r="Q683" i="3" s="1"/>
  <c r="N684" i="3"/>
  <c r="O684" i="3" l="1"/>
  <c r="Q684" i="3" s="1"/>
  <c r="N685" i="3"/>
  <c r="O685" i="3" l="1"/>
  <c r="Q685" i="3" s="1"/>
  <c r="N686" i="3"/>
  <c r="O686" i="3" l="1"/>
  <c r="Q686" i="3" s="1"/>
  <c r="N687" i="3"/>
  <c r="O687" i="3" l="1"/>
  <c r="Q687" i="3" s="1"/>
  <c r="N688" i="3"/>
  <c r="O688" i="3" l="1"/>
  <c r="Q688" i="3" s="1"/>
  <c r="N689" i="3"/>
  <c r="O689" i="3" l="1"/>
  <c r="Q689" i="3" s="1"/>
  <c r="N690" i="3"/>
  <c r="O690" i="3" l="1"/>
  <c r="Q690" i="3" s="1"/>
  <c r="N691" i="3"/>
  <c r="O691" i="3" l="1"/>
  <c r="Q691" i="3" s="1"/>
  <c r="N692" i="3"/>
  <c r="O692" i="3" l="1"/>
  <c r="Q692" i="3" s="1"/>
  <c r="N693" i="3"/>
  <c r="O693" i="3" l="1"/>
  <c r="Q693" i="3" s="1"/>
  <c r="N694" i="3"/>
  <c r="O694" i="3" l="1"/>
  <c r="Q694" i="3" s="1"/>
  <c r="N695" i="3"/>
  <c r="O695" i="3" l="1"/>
  <c r="Q695" i="3" s="1"/>
  <c r="N696" i="3"/>
  <c r="O696" i="3" l="1"/>
  <c r="Q696" i="3" s="1"/>
  <c r="N697" i="3"/>
  <c r="O697" i="3" l="1"/>
  <c r="Q697" i="3" s="1"/>
  <c r="N698" i="3"/>
  <c r="O698" i="3" l="1"/>
  <c r="Q698" i="3" s="1"/>
  <c r="N699" i="3"/>
  <c r="O699" i="3" l="1"/>
  <c r="Q699" i="3" s="1"/>
  <c r="N700" i="3"/>
  <c r="O700" i="3" l="1"/>
  <c r="Q700" i="3" s="1"/>
  <c r="N701" i="3"/>
  <c r="O701" i="3" l="1"/>
  <c r="Q701" i="3" s="1"/>
  <c r="N702" i="3"/>
  <c r="O702" i="3" l="1"/>
  <c r="Q702" i="3" s="1"/>
  <c r="N703" i="3"/>
  <c r="O703" i="3" l="1"/>
  <c r="Q703" i="3" s="1"/>
  <c r="N704" i="3"/>
  <c r="O704" i="3" l="1"/>
  <c r="Q704" i="3" s="1"/>
  <c r="N705" i="3"/>
  <c r="O705" i="3" l="1"/>
  <c r="Q705" i="3" s="1"/>
  <c r="N706" i="3"/>
  <c r="O706" i="3" l="1"/>
  <c r="Q706" i="3" s="1"/>
  <c r="N707" i="3"/>
  <c r="O707" i="3" l="1"/>
  <c r="Q707" i="3" s="1"/>
  <c r="N708" i="3"/>
  <c r="O708" i="3" l="1"/>
  <c r="Q708" i="3" s="1"/>
  <c r="N709" i="3"/>
  <c r="O709" i="3" l="1"/>
  <c r="Q709" i="3" s="1"/>
  <c r="N710" i="3"/>
  <c r="O710" i="3" l="1"/>
  <c r="Q710" i="3" s="1"/>
  <c r="N711" i="3"/>
  <c r="O711" i="3" l="1"/>
  <c r="Q711" i="3" s="1"/>
  <c r="N712" i="3"/>
  <c r="O712" i="3" l="1"/>
  <c r="Q712" i="3" s="1"/>
  <c r="N713" i="3"/>
  <c r="O713" i="3" l="1"/>
  <c r="Q713" i="3" s="1"/>
  <c r="N714" i="3"/>
  <c r="O714" i="3" l="1"/>
  <c r="Q714" i="3" s="1"/>
  <c r="N715" i="3"/>
  <c r="O715" i="3" l="1"/>
  <c r="Q715" i="3" s="1"/>
  <c r="N716" i="3"/>
  <c r="O716" i="3" l="1"/>
  <c r="Q716" i="3" s="1"/>
  <c r="N717" i="3"/>
  <c r="O717" i="3" l="1"/>
  <c r="Q717" i="3" s="1"/>
  <c r="N718" i="3"/>
  <c r="O718" i="3" l="1"/>
  <c r="Q718" i="3" s="1"/>
  <c r="N719" i="3"/>
  <c r="O719" i="3" l="1"/>
  <c r="Q719" i="3" s="1"/>
  <c r="N720" i="3"/>
  <c r="O720" i="3" l="1"/>
  <c r="Q720" i="3" s="1"/>
  <c r="N721" i="3"/>
  <c r="O721" i="3" l="1"/>
  <c r="Q721" i="3" s="1"/>
  <c r="N722" i="3"/>
  <c r="O722" i="3" l="1"/>
  <c r="Q722" i="3" s="1"/>
  <c r="N723" i="3"/>
  <c r="O723" i="3" l="1"/>
  <c r="Q723" i="3" s="1"/>
  <c r="N724" i="3"/>
  <c r="O724" i="3" l="1"/>
  <c r="Q724" i="3" s="1"/>
  <c r="N725" i="3"/>
  <c r="O725" i="3" l="1"/>
  <c r="Q725" i="3" s="1"/>
  <c r="N726" i="3"/>
  <c r="O726" i="3" l="1"/>
  <c r="Q726" i="3" s="1"/>
  <c r="N727" i="3"/>
  <c r="O727" i="3" l="1"/>
  <c r="Q727" i="3" s="1"/>
  <c r="N728" i="3"/>
  <c r="O728" i="3" l="1"/>
  <c r="Q728" i="3" s="1"/>
  <c r="N729" i="3"/>
  <c r="O729" i="3" l="1"/>
  <c r="Q729" i="3" s="1"/>
  <c r="N730" i="3"/>
  <c r="O730" i="3" l="1"/>
  <c r="Q730" i="3" s="1"/>
  <c r="N731" i="3"/>
  <c r="O731" i="3" l="1"/>
  <c r="Q731" i="3" s="1"/>
  <c r="N732" i="3"/>
  <c r="O732" i="3" l="1"/>
  <c r="Q732" i="3" s="1"/>
  <c r="N733" i="3"/>
  <c r="O733" i="3" l="1"/>
  <c r="Q733" i="3" s="1"/>
  <c r="N734" i="3"/>
  <c r="O734" i="3" l="1"/>
  <c r="Q734" i="3" s="1"/>
  <c r="N735" i="3"/>
  <c r="O735" i="3" l="1"/>
  <c r="Q735" i="3" s="1"/>
  <c r="N736" i="3"/>
  <c r="O736" i="3" l="1"/>
  <c r="Q736" i="3" s="1"/>
  <c r="N737" i="3"/>
  <c r="O737" i="3" l="1"/>
  <c r="Q737" i="3" s="1"/>
  <c r="N738" i="3"/>
  <c r="O738" i="3" l="1"/>
  <c r="Q738" i="3" s="1"/>
  <c r="N739" i="3"/>
  <c r="O739" i="3" l="1"/>
  <c r="Q739" i="3" s="1"/>
  <c r="N740" i="3"/>
  <c r="O740" i="3" l="1"/>
  <c r="Q740" i="3" s="1"/>
  <c r="N741" i="3"/>
  <c r="O741" i="3" l="1"/>
  <c r="Q741" i="3" s="1"/>
  <c r="N742" i="3"/>
  <c r="O742" i="3" l="1"/>
  <c r="Q742" i="3" s="1"/>
  <c r="N743" i="3"/>
  <c r="O743" i="3" l="1"/>
  <c r="Q743" i="3" s="1"/>
  <c r="N744" i="3"/>
  <c r="O744" i="3" l="1"/>
  <c r="Q744" i="3" s="1"/>
  <c r="N745" i="3"/>
  <c r="O745" i="3" l="1"/>
  <c r="Q745" i="3" s="1"/>
  <c r="N746" i="3"/>
  <c r="O746" i="3" l="1"/>
  <c r="Q746" i="3" s="1"/>
  <c r="N747" i="3"/>
  <c r="O747" i="3" l="1"/>
  <c r="Q747" i="3" s="1"/>
  <c r="N748" i="3"/>
  <c r="O748" i="3" l="1"/>
  <c r="Q748" i="3" s="1"/>
  <c r="N749" i="3"/>
  <c r="O749" i="3" l="1"/>
  <c r="Q749" i="3" s="1"/>
  <c r="N750" i="3"/>
  <c r="O750" i="3" l="1"/>
  <c r="Q750" i="3" s="1"/>
  <c r="N751" i="3"/>
  <c r="O751" i="3" l="1"/>
  <c r="Q751" i="3" s="1"/>
  <c r="N752" i="3"/>
  <c r="O752" i="3" l="1"/>
  <c r="Q752" i="3" s="1"/>
  <c r="N753" i="3"/>
  <c r="O753" i="3" l="1"/>
  <c r="Q753" i="3" s="1"/>
  <c r="N754" i="3"/>
  <c r="O754" i="3" l="1"/>
  <c r="Q754" i="3" s="1"/>
  <c r="N755" i="3"/>
  <c r="O755" i="3" l="1"/>
  <c r="Q755" i="3" s="1"/>
  <c r="N756" i="3"/>
  <c r="O756" i="3" l="1"/>
  <c r="Q756" i="3" s="1"/>
  <c r="N757" i="3"/>
  <c r="O757" i="3" l="1"/>
  <c r="Q757" i="3" s="1"/>
  <c r="N758" i="3"/>
  <c r="O758" i="3" l="1"/>
  <c r="Q758" i="3" s="1"/>
  <c r="N759" i="3"/>
  <c r="O759" i="3" l="1"/>
  <c r="Q759" i="3" s="1"/>
  <c r="N760" i="3"/>
  <c r="O760" i="3" l="1"/>
  <c r="Q760" i="3" s="1"/>
  <c r="N761" i="3"/>
  <c r="O761" i="3" l="1"/>
  <c r="Q761" i="3" s="1"/>
  <c r="N762" i="3"/>
  <c r="O762" i="3" l="1"/>
  <c r="Q762" i="3" s="1"/>
  <c r="N763" i="3"/>
  <c r="O763" i="3" l="1"/>
  <c r="Q763" i="3" s="1"/>
  <c r="N764" i="3"/>
  <c r="O764" i="3" l="1"/>
  <c r="Q764" i="3" s="1"/>
  <c r="N765" i="3"/>
  <c r="O765" i="3" l="1"/>
  <c r="Q765" i="3" s="1"/>
  <c r="N766" i="3"/>
  <c r="O766" i="3" l="1"/>
  <c r="Q766" i="3" s="1"/>
  <c r="N767" i="3"/>
  <c r="O767" i="3" l="1"/>
  <c r="Q767" i="3" s="1"/>
  <c r="N768" i="3"/>
  <c r="O768" i="3" l="1"/>
  <c r="Q768" i="3" s="1"/>
  <c r="N769" i="3"/>
  <c r="O769" i="3" l="1"/>
  <c r="Q769" i="3" s="1"/>
  <c r="N770" i="3"/>
  <c r="O770" i="3" l="1"/>
  <c r="Q770" i="3" s="1"/>
  <c r="N771" i="3"/>
  <c r="O771" i="3" l="1"/>
  <c r="Q771" i="3" s="1"/>
  <c r="N772" i="3"/>
  <c r="O772" i="3" l="1"/>
  <c r="Q772" i="3" s="1"/>
  <c r="N773" i="3"/>
  <c r="O773" i="3" l="1"/>
  <c r="Q773" i="3" s="1"/>
  <c r="N774" i="3"/>
  <c r="O774" i="3" l="1"/>
  <c r="Q774" i="3" s="1"/>
  <c r="N775" i="3"/>
  <c r="O775" i="3" l="1"/>
  <c r="Q775" i="3" s="1"/>
  <c r="N776" i="3"/>
  <c r="O776" i="3" l="1"/>
  <c r="Q776" i="3" s="1"/>
  <c r="N777" i="3"/>
  <c r="O777" i="3" l="1"/>
  <c r="Q777" i="3" s="1"/>
  <c r="N778" i="3"/>
  <c r="O778" i="3" l="1"/>
  <c r="Q778" i="3" s="1"/>
  <c r="N779" i="3"/>
  <c r="O779" i="3" l="1"/>
  <c r="Q779" i="3" s="1"/>
  <c r="N780" i="3"/>
  <c r="O780" i="3" l="1"/>
  <c r="Q780" i="3" s="1"/>
  <c r="N781" i="3"/>
  <c r="O781" i="3" l="1"/>
  <c r="Q781" i="3" s="1"/>
  <c r="N782" i="3"/>
  <c r="O782" i="3" l="1"/>
  <c r="Q782" i="3" s="1"/>
  <c r="N783" i="3"/>
  <c r="O783" i="3" l="1"/>
  <c r="Q783" i="3" s="1"/>
  <c r="N784" i="3"/>
  <c r="O784" i="3" l="1"/>
  <c r="Q784" i="3" s="1"/>
  <c r="N785" i="3"/>
  <c r="O785" i="3" l="1"/>
  <c r="Q785" i="3" s="1"/>
  <c r="N786" i="3"/>
  <c r="O786" i="3" l="1"/>
  <c r="Q786" i="3" s="1"/>
  <c r="N787" i="3"/>
  <c r="O787" i="3" l="1"/>
  <c r="Q787" i="3" s="1"/>
  <c r="N788" i="3"/>
  <c r="O788" i="3" l="1"/>
  <c r="Q788" i="3" s="1"/>
  <c r="N789" i="3"/>
  <c r="O789" i="3" l="1"/>
  <c r="Q789" i="3" s="1"/>
  <c r="N790" i="3"/>
  <c r="O790" i="3" l="1"/>
  <c r="Q790" i="3" s="1"/>
  <c r="N791" i="3"/>
  <c r="O791" i="3" l="1"/>
  <c r="Q791" i="3" s="1"/>
  <c r="N792" i="3"/>
  <c r="O792" i="3" l="1"/>
  <c r="Q792" i="3" s="1"/>
  <c r="N793" i="3"/>
  <c r="O793" i="3" l="1"/>
  <c r="Q793" i="3" s="1"/>
  <c r="N794" i="3"/>
  <c r="O794" i="3" l="1"/>
  <c r="Q794" i="3" s="1"/>
  <c r="N795" i="3"/>
  <c r="O795" i="3" l="1"/>
  <c r="Q795" i="3" s="1"/>
  <c r="N796" i="3"/>
  <c r="O796" i="3" l="1"/>
  <c r="Q796" i="3" s="1"/>
  <c r="N797" i="3"/>
  <c r="O797" i="3" l="1"/>
  <c r="Q797" i="3" s="1"/>
  <c r="N798" i="3"/>
  <c r="O798" i="3" l="1"/>
  <c r="Q798" i="3" s="1"/>
  <c r="N799" i="3"/>
  <c r="O799" i="3" l="1"/>
  <c r="Q799" i="3" s="1"/>
  <c r="N800" i="3"/>
  <c r="O800" i="3" l="1"/>
  <c r="Q800" i="3" s="1"/>
  <c r="N801" i="3"/>
  <c r="O801" i="3" l="1"/>
  <c r="Q801" i="3" s="1"/>
  <c r="N802" i="3"/>
  <c r="O802" i="3" l="1"/>
  <c r="Q802" i="3" s="1"/>
  <c r="N803" i="3"/>
  <c r="O803" i="3" l="1"/>
  <c r="Q803" i="3" s="1"/>
  <c r="N804" i="3"/>
  <c r="O804" i="3" l="1"/>
  <c r="Q804" i="3" s="1"/>
  <c r="N805" i="3"/>
  <c r="O805" i="3" l="1"/>
  <c r="Q805" i="3" s="1"/>
  <c r="N806" i="3"/>
  <c r="O806" i="3" l="1"/>
  <c r="Q806" i="3" s="1"/>
  <c r="N807" i="3"/>
  <c r="O807" i="3" l="1"/>
  <c r="Q807" i="3" s="1"/>
  <c r="N808" i="3"/>
  <c r="O808" i="3" l="1"/>
  <c r="Q808" i="3" s="1"/>
  <c r="N809" i="3"/>
  <c r="O809" i="3" l="1"/>
  <c r="Q809" i="3" s="1"/>
  <c r="N810" i="3"/>
  <c r="O810" i="3" l="1"/>
  <c r="Q810" i="3" s="1"/>
  <c r="N811" i="3"/>
  <c r="O811" i="3" l="1"/>
  <c r="Q811" i="3" s="1"/>
  <c r="N812" i="3"/>
  <c r="O812" i="3" l="1"/>
  <c r="Q812" i="3" s="1"/>
  <c r="N813" i="3"/>
  <c r="O813" i="3" l="1"/>
  <c r="Q813" i="3" s="1"/>
  <c r="N814" i="3"/>
  <c r="O814" i="3" l="1"/>
  <c r="Q814" i="3" s="1"/>
  <c r="N815" i="3"/>
  <c r="O815" i="3" l="1"/>
  <c r="Q815" i="3" s="1"/>
  <c r="N816" i="3"/>
  <c r="O816" i="3" l="1"/>
  <c r="Q816" i="3" s="1"/>
  <c r="N817" i="3"/>
  <c r="O817" i="3" l="1"/>
  <c r="Q817" i="3" s="1"/>
  <c r="N818" i="3"/>
  <c r="O818" i="3" l="1"/>
  <c r="Q818" i="3" s="1"/>
  <c r="N819" i="3"/>
  <c r="O819" i="3" l="1"/>
  <c r="Q819" i="3" s="1"/>
  <c r="N820" i="3"/>
  <c r="O820" i="3" l="1"/>
  <c r="Q820" i="3" s="1"/>
  <c r="N821" i="3"/>
  <c r="O821" i="3" l="1"/>
  <c r="Q821" i="3" s="1"/>
  <c r="N822" i="3"/>
  <c r="O822" i="3" l="1"/>
  <c r="Q822" i="3" s="1"/>
  <c r="N823" i="3"/>
  <c r="O823" i="3" l="1"/>
  <c r="Q823" i="3" s="1"/>
  <c r="N824" i="3"/>
  <c r="O824" i="3" l="1"/>
  <c r="Q824" i="3" s="1"/>
  <c r="N825" i="3"/>
  <c r="O825" i="3" l="1"/>
  <c r="Q825" i="3" s="1"/>
  <c r="N826" i="3"/>
  <c r="O826" i="3" l="1"/>
  <c r="Q826" i="3" s="1"/>
  <c r="N827" i="3"/>
  <c r="O827" i="3" l="1"/>
  <c r="Q827" i="3" s="1"/>
  <c r="N828" i="3"/>
  <c r="O828" i="3" l="1"/>
  <c r="Q828" i="3" s="1"/>
  <c r="N829" i="3"/>
  <c r="O829" i="3" l="1"/>
  <c r="Q829" i="3" s="1"/>
  <c r="N830" i="3"/>
  <c r="O830" i="3" l="1"/>
  <c r="Q830" i="3" s="1"/>
  <c r="N831" i="3"/>
  <c r="O831" i="3" l="1"/>
  <c r="Q831" i="3" s="1"/>
  <c r="N832" i="3"/>
  <c r="O832" i="3" l="1"/>
  <c r="Q832" i="3" s="1"/>
  <c r="N833" i="3"/>
  <c r="O833" i="3" l="1"/>
  <c r="Q833" i="3" s="1"/>
  <c r="N834" i="3"/>
  <c r="O834" i="3" l="1"/>
  <c r="Q834" i="3" s="1"/>
  <c r="N835" i="3"/>
  <c r="O835" i="3" l="1"/>
  <c r="Q835" i="3" s="1"/>
  <c r="N836" i="3"/>
  <c r="O836" i="3" l="1"/>
  <c r="Q836" i="3" s="1"/>
  <c r="N837" i="3"/>
  <c r="O837" i="3" l="1"/>
  <c r="Q837" i="3" s="1"/>
  <c r="N838" i="3"/>
  <c r="O838" i="3" l="1"/>
  <c r="Q838" i="3" s="1"/>
  <c r="N839" i="3"/>
  <c r="O839" i="3" l="1"/>
  <c r="Q839" i="3" s="1"/>
  <c r="N840" i="3"/>
  <c r="O840" i="3" l="1"/>
  <c r="Q840" i="3" s="1"/>
  <c r="N841" i="3"/>
  <c r="O841" i="3" l="1"/>
  <c r="Q841" i="3" s="1"/>
  <c r="N842" i="3"/>
  <c r="O842" i="3" l="1"/>
  <c r="Q842" i="3" s="1"/>
  <c r="N843" i="3"/>
  <c r="O843" i="3" l="1"/>
  <c r="Q843" i="3" s="1"/>
  <c r="N844" i="3"/>
  <c r="O844" i="3" l="1"/>
  <c r="Q844" i="3" s="1"/>
  <c r="N845" i="3"/>
  <c r="O845" i="3" l="1"/>
  <c r="Q845" i="3" s="1"/>
  <c r="N846" i="3"/>
  <c r="O846" i="3" l="1"/>
  <c r="Q846" i="3" s="1"/>
  <c r="N847" i="3"/>
  <c r="O847" i="3" l="1"/>
  <c r="Q847" i="3" s="1"/>
  <c r="N848" i="3"/>
  <c r="O848" i="3" l="1"/>
  <c r="Q848" i="3" s="1"/>
  <c r="N849" i="3"/>
  <c r="O849" i="3" l="1"/>
  <c r="Q849" i="3" s="1"/>
  <c r="N850" i="3"/>
  <c r="O850" i="3" l="1"/>
  <c r="Q850" i="3" s="1"/>
  <c r="N851" i="3"/>
  <c r="O851" i="3" l="1"/>
  <c r="Q851" i="3" s="1"/>
  <c r="N852" i="3"/>
  <c r="O852" i="3" l="1"/>
  <c r="Q852" i="3" s="1"/>
  <c r="N853" i="3"/>
  <c r="O853" i="3" l="1"/>
  <c r="Q853" i="3" s="1"/>
  <c r="N854" i="3"/>
  <c r="O854" i="3" l="1"/>
  <c r="Q854" i="3" s="1"/>
  <c r="N855" i="3"/>
  <c r="N856" i="3" l="1"/>
  <c r="O855" i="3"/>
  <c r="Q855" i="3" s="1"/>
  <c r="O856" i="3" l="1"/>
  <c r="Q856" i="3" s="1"/>
  <c r="N857" i="3"/>
  <c r="O857" i="3" l="1"/>
  <c r="Q857" i="3" s="1"/>
  <c r="N858" i="3"/>
  <c r="O858" i="3" l="1"/>
  <c r="Q858" i="3" s="1"/>
  <c r="N859" i="3"/>
  <c r="O859" i="3" l="1"/>
  <c r="Q859" i="3" s="1"/>
  <c r="N860" i="3"/>
  <c r="O860" i="3" l="1"/>
  <c r="Q860" i="3" s="1"/>
  <c r="N861" i="3"/>
  <c r="O861" i="3" l="1"/>
  <c r="Q861" i="3" s="1"/>
  <c r="N862" i="3"/>
  <c r="O862" i="3" l="1"/>
  <c r="Q862" i="3" s="1"/>
  <c r="N863" i="3"/>
  <c r="O863" i="3" l="1"/>
  <c r="Q863" i="3" s="1"/>
  <c r="N864" i="3"/>
  <c r="O864" i="3" l="1"/>
  <c r="Q864" i="3" s="1"/>
  <c r="N865" i="3"/>
  <c r="O865" i="3" l="1"/>
  <c r="Q865" i="3" s="1"/>
  <c r="N866" i="3"/>
  <c r="O866" i="3" l="1"/>
  <c r="Q866" i="3" s="1"/>
  <c r="N867" i="3"/>
  <c r="O867" i="3" l="1"/>
  <c r="Q867" i="3" s="1"/>
  <c r="N868" i="3"/>
  <c r="O868" i="3" l="1"/>
  <c r="Q868" i="3" s="1"/>
  <c r="N869" i="3"/>
  <c r="O869" i="3" l="1"/>
  <c r="Q869" i="3" s="1"/>
  <c r="N870" i="3"/>
  <c r="O870" i="3" l="1"/>
  <c r="Q870" i="3" s="1"/>
  <c r="N871" i="3"/>
  <c r="O871" i="3" l="1"/>
  <c r="Q871" i="3" s="1"/>
  <c r="N872" i="3"/>
  <c r="O872" i="3" l="1"/>
  <c r="Q872" i="3" s="1"/>
  <c r="N873" i="3"/>
  <c r="O873" i="3" l="1"/>
  <c r="Q873" i="3" s="1"/>
  <c r="N874" i="3"/>
  <c r="O874" i="3" l="1"/>
  <c r="Q874" i="3" s="1"/>
  <c r="N875" i="3"/>
  <c r="O875" i="3" l="1"/>
  <c r="Q875" i="3" s="1"/>
  <c r="N876" i="3"/>
  <c r="O876" i="3" l="1"/>
  <c r="Q876" i="3" s="1"/>
  <c r="N877" i="3"/>
  <c r="O877" i="3" l="1"/>
  <c r="Q877" i="3" s="1"/>
  <c r="N878" i="3"/>
  <c r="O878" i="3" l="1"/>
  <c r="Q878" i="3" s="1"/>
  <c r="N879" i="3"/>
  <c r="O879" i="3" l="1"/>
  <c r="Q879" i="3" s="1"/>
  <c r="N880" i="3"/>
  <c r="O880" i="3" l="1"/>
  <c r="Q880" i="3" s="1"/>
  <c r="N881" i="3"/>
  <c r="O881" i="3" l="1"/>
  <c r="Q881" i="3" s="1"/>
  <c r="N882" i="3"/>
  <c r="O882" i="3" l="1"/>
  <c r="Q882" i="3" s="1"/>
  <c r="N883" i="3"/>
  <c r="O883" i="3" l="1"/>
  <c r="Q883" i="3" s="1"/>
  <c r="N884" i="3"/>
  <c r="O884" i="3" l="1"/>
  <c r="Q884" i="3" s="1"/>
  <c r="N885" i="3"/>
  <c r="O885" i="3" l="1"/>
  <c r="Q885" i="3" s="1"/>
  <c r="N886" i="3"/>
  <c r="O886" i="3" l="1"/>
  <c r="Q886" i="3" s="1"/>
  <c r="N887" i="3"/>
  <c r="O887" i="3" l="1"/>
  <c r="Q887" i="3" s="1"/>
  <c r="N888" i="3"/>
  <c r="O888" i="3" l="1"/>
  <c r="Q888" i="3" s="1"/>
  <c r="N889" i="3"/>
  <c r="O889" i="3" l="1"/>
  <c r="Q889" i="3" s="1"/>
  <c r="N890" i="3"/>
  <c r="O890" i="3" l="1"/>
  <c r="Q890" i="3" s="1"/>
  <c r="N891" i="3"/>
  <c r="O891" i="3" l="1"/>
  <c r="Q891" i="3" s="1"/>
  <c r="N892" i="3"/>
  <c r="O892" i="3" l="1"/>
  <c r="Q892" i="3" s="1"/>
  <c r="N893" i="3"/>
  <c r="O893" i="3" l="1"/>
  <c r="Q893" i="3" s="1"/>
  <c r="N894" i="3"/>
  <c r="O894" i="3" l="1"/>
  <c r="Q894" i="3" s="1"/>
  <c r="N895" i="3"/>
  <c r="O895" i="3" l="1"/>
  <c r="Q895" i="3" s="1"/>
  <c r="N896" i="3"/>
  <c r="O896" i="3" l="1"/>
  <c r="Q896" i="3" s="1"/>
  <c r="N897" i="3"/>
  <c r="O897" i="3" l="1"/>
  <c r="Q897" i="3" s="1"/>
  <c r="N898" i="3"/>
  <c r="O898" i="3" l="1"/>
  <c r="Q898" i="3" s="1"/>
  <c r="N899" i="3"/>
  <c r="O899" i="3" l="1"/>
  <c r="Q899" i="3" s="1"/>
  <c r="N900" i="3"/>
  <c r="O900" i="3" l="1"/>
  <c r="Q900" i="3" s="1"/>
  <c r="N901" i="3"/>
  <c r="O901" i="3" l="1"/>
  <c r="Q901" i="3" s="1"/>
  <c r="N902" i="3"/>
  <c r="O902" i="3" l="1"/>
  <c r="Q902" i="3" s="1"/>
  <c r="N903" i="3"/>
  <c r="O903" i="3" l="1"/>
  <c r="Q903" i="3" s="1"/>
  <c r="N904" i="3"/>
  <c r="O904" i="3" l="1"/>
  <c r="Q904" i="3" s="1"/>
  <c r="N905" i="3"/>
  <c r="O905" i="3" l="1"/>
  <c r="Q905" i="3" s="1"/>
  <c r="N906" i="3"/>
  <c r="O906" i="3" l="1"/>
  <c r="Q906" i="3" s="1"/>
  <c r="N907" i="3"/>
  <c r="O907" i="3" l="1"/>
  <c r="Q907" i="3" s="1"/>
  <c r="N908" i="3"/>
  <c r="O908" i="3" l="1"/>
  <c r="Q908" i="3" s="1"/>
  <c r="N909" i="3"/>
  <c r="O909" i="3" l="1"/>
  <c r="Q909" i="3" s="1"/>
  <c r="N910" i="3"/>
  <c r="O910" i="3" l="1"/>
  <c r="Q910" i="3" s="1"/>
  <c r="N911" i="3"/>
  <c r="O911" i="3" l="1"/>
  <c r="Q911" i="3" s="1"/>
  <c r="N912" i="3"/>
  <c r="O912" i="3" l="1"/>
  <c r="Q912" i="3" s="1"/>
  <c r="N913" i="3"/>
  <c r="O913" i="3" l="1"/>
  <c r="Q913" i="3" s="1"/>
  <c r="N914" i="3"/>
  <c r="O914" i="3" l="1"/>
  <c r="Q914" i="3" s="1"/>
  <c r="N915" i="3"/>
  <c r="O915" i="3" l="1"/>
  <c r="Q915" i="3" s="1"/>
  <c r="N916" i="3"/>
  <c r="O916" i="3" l="1"/>
  <c r="Q916" i="3" s="1"/>
  <c r="N917" i="3"/>
  <c r="O917" i="3" l="1"/>
  <c r="Q917" i="3" s="1"/>
  <c r="N918" i="3"/>
  <c r="O918" i="3" l="1"/>
  <c r="Q918" i="3" s="1"/>
  <c r="N919" i="3"/>
  <c r="O919" i="3" l="1"/>
  <c r="Q919" i="3" s="1"/>
  <c r="N920" i="3"/>
  <c r="O920" i="3" l="1"/>
  <c r="Q920" i="3" s="1"/>
  <c r="N921" i="3"/>
  <c r="O921" i="3" l="1"/>
  <c r="Q921" i="3" s="1"/>
  <c r="N922" i="3"/>
  <c r="O922" i="3" l="1"/>
  <c r="Q922" i="3" s="1"/>
  <c r="N923" i="3"/>
  <c r="O923" i="3" l="1"/>
  <c r="Q923" i="3" s="1"/>
  <c r="N924" i="3"/>
  <c r="O924" i="3" l="1"/>
  <c r="Q924" i="3" s="1"/>
  <c r="N925" i="3"/>
  <c r="O925" i="3" l="1"/>
  <c r="Q925" i="3" s="1"/>
  <c r="N926" i="3"/>
  <c r="O926" i="3" l="1"/>
  <c r="Q926" i="3" s="1"/>
  <c r="N927" i="3"/>
  <c r="O927" i="3" l="1"/>
  <c r="Q927" i="3" s="1"/>
  <c r="N928" i="3"/>
  <c r="O928" i="3" l="1"/>
  <c r="Q928" i="3" s="1"/>
  <c r="N929" i="3"/>
  <c r="O929" i="3" l="1"/>
  <c r="Q929" i="3" s="1"/>
  <c r="N930" i="3"/>
  <c r="O930" i="3" l="1"/>
  <c r="Q930" i="3" s="1"/>
  <c r="N931" i="3"/>
  <c r="O931" i="3" l="1"/>
  <c r="Q931" i="3" s="1"/>
  <c r="N932" i="3"/>
  <c r="O932" i="3" l="1"/>
  <c r="Q932" i="3" s="1"/>
  <c r="N933" i="3"/>
  <c r="O933" i="3" l="1"/>
  <c r="Q933" i="3" s="1"/>
  <c r="N934" i="3"/>
  <c r="O934" i="3" l="1"/>
  <c r="Q934" i="3" s="1"/>
  <c r="N935" i="3"/>
  <c r="O935" i="3" l="1"/>
  <c r="Q935" i="3" s="1"/>
  <c r="N936" i="3"/>
  <c r="O936" i="3" l="1"/>
  <c r="Q936" i="3" s="1"/>
  <c r="N937" i="3"/>
  <c r="O937" i="3" l="1"/>
  <c r="Q937" i="3" s="1"/>
  <c r="N938" i="3"/>
  <c r="O938" i="3" l="1"/>
  <c r="Q938" i="3" s="1"/>
  <c r="N939" i="3"/>
  <c r="O939" i="3" l="1"/>
  <c r="Q939" i="3" s="1"/>
  <c r="N940" i="3"/>
  <c r="O940" i="3" l="1"/>
  <c r="Q940" i="3" s="1"/>
  <c r="N941" i="3"/>
  <c r="O941" i="3" l="1"/>
  <c r="Q941" i="3" s="1"/>
  <c r="N942" i="3"/>
  <c r="O942" i="3" l="1"/>
  <c r="Q942" i="3" s="1"/>
  <c r="N943" i="3"/>
  <c r="O943" i="3" l="1"/>
  <c r="Q943" i="3" s="1"/>
  <c r="N944" i="3"/>
  <c r="O944" i="3" l="1"/>
  <c r="Q944" i="3" s="1"/>
  <c r="N945" i="3"/>
  <c r="O945" i="3" l="1"/>
  <c r="Q945" i="3" s="1"/>
  <c r="N946" i="3"/>
  <c r="O946" i="3" l="1"/>
  <c r="Q946" i="3" s="1"/>
  <c r="N947" i="3"/>
  <c r="O947" i="3" l="1"/>
  <c r="Q947" i="3" s="1"/>
  <c r="N948" i="3"/>
  <c r="O948" i="3" l="1"/>
  <c r="Q948" i="3" s="1"/>
  <c r="N949" i="3"/>
  <c r="O949" i="3" l="1"/>
  <c r="Q949" i="3" s="1"/>
  <c r="N950" i="3"/>
  <c r="O950" i="3" l="1"/>
  <c r="Q950" i="3" s="1"/>
  <c r="N951" i="3"/>
  <c r="O951" i="3" l="1"/>
  <c r="Q951" i="3" s="1"/>
  <c r="N952" i="3"/>
  <c r="O952" i="3" l="1"/>
  <c r="Q952" i="3" s="1"/>
  <c r="N953" i="3"/>
  <c r="O953" i="3" l="1"/>
  <c r="Q953" i="3" s="1"/>
  <c r="N954" i="3"/>
  <c r="O954" i="3" l="1"/>
  <c r="Q954" i="3" s="1"/>
  <c r="N955" i="3"/>
  <c r="O955" i="3" l="1"/>
  <c r="Q955" i="3" s="1"/>
  <c r="N956" i="3"/>
  <c r="O956" i="3" l="1"/>
  <c r="Q956" i="3" s="1"/>
  <c r="N957" i="3"/>
  <c r="O957" i="3" l="1"/>
  <c r="Q957" i="3" s="1"/>
  <c r="N958" i="3"/>
  <c r="O958" i="3" l="1"/>
  <c r="Q958" i="3" s="1"/>
  <c r="N959" i="3"/>
  <c r="O959" i="3" l="1"/>
  <c r="Q959" i="3" s="1"/>
  <c r="N960" i="3"/>
  <c r="O960" i="3" l="1"/>
  <c r="Q960" i="3" s="1"/>
  <c r="N961" i="3"/>
  <c r="O961" i="3" l="1"/>
  <c r="Q961" i="3" s="1"/>
  <c r="N962" i="3"/>
  <c r="O962" i="3" l="1"/>
  <c r="Q962" i="3" s="1"/>
  <c r="N963" i="3"/>
  <c r="O963" i="3" l="1"/>
  <c r="Q963" i="3" s="1"/>
  <c r="N964" i="3"/>
  <c r="O964" i="3" l="1"/>
  <c r="Q964" i="3" s="1"/>
  <c r="N965" i="3"/>
  <c r="O965" i="3" l="1"/>
  <c r="Q965" i="3" s="1"/>
  <c r="N966" i="3"/>
  <c r="O966" i="3" l="1"/>
  <c r="Q966" i="3" s="1"/>
  <c r="N967" i="3"/>
  <c r="O967" i="3" l="1"/>
  <c r="Q967" i="3" s="1"/>
  <c r="N968" i="3"/>
  <c r="O968" i="3" l="1"/>
  <c r="Q968" i="3" s="1"/>
  <c r="N969" i="3"/>
  <c r="O969" i="3" l="1"/>
  <c r="Q969" i="3" s="1"/>
  <c r="N970" i="3"/>
  <c r="O970" i="3" l="1"/>
  <c r="Q970" i="3" s="1"/>
  <c r="N971" i="3"/>
  <c r="O971" i="3" l="1"/>
  <c r="Q971" i="3" s="1"/>
  <c r="N972" i="3"/>
  <c r="O972" i="3" l="1"/>
  <c r="Q972" i="3" s="1"/>
  <c r="N973" i="3"/>
  <c r="O973" i="3" l="1"/>
  <c r="Q973" i="3" s="1"/>
  <c r="N974" i="3"/>
  <c r="O974" i="3" l="1"/>
  <c r="Q974" i="3" s="1"/>
  <c r="N975" i="3"/>
  <c r="O975" i="3" l="1"/>
  <c r="Q975" i="3" s="1"/>
  <c r="N976" i="3"/>
  <c r="O976" i="3" l="1"/>
  <c r="Q976" i="3" s="1"/>
  <c r="N977" i="3"/>
  <c r="O977" i="3" l="1"/>
  <c r="Q977" i="3" s="1"/>
  <c r="N978" i="3"/>
  <c r="O978" i="3" l="1"/>
  <c r="Q978" i="3" s="1"/>
  <c r="N979" i="3"/>
  <c r="O979" i="3" l="1"/>
  <c r="Q979" i="3" s="1"/>
  <c r="N980" i="3"/>
  <c r="O980" i="3" l="1"/>
  <c r="Q980" i="3" s="1"/>
  <c r="N981" i="3"/>
  <c r="O981" i="3" l="1"/>
  <c r="Q981" i="3" s="1"/>
  <c r="N982" i="3"/>
  <c r="O982" i="3" l="1"/>
  <c r="Q982" i="3" s="1"/>
  <c r="N983" i="3"/>
  <c r="O983" i="3" l="1"/>
  <c r="Q983" i="3" s="1"/>
  <c r="N984" i="3"/>
  <c r="O984" i="3" l="1"/>
  <c r="Q984" i="3" s="1"/>
  <c r="N985" i="3"/>
  <c r="O985" i="3" l="1"/>
  <c r="Q985" i="3" s="1"/>
  <c r="N986" i="3"/>
  <c r="O986" i="3" l="1"/>
  <c r="Q986" i="3" s="1"/>
  <c r="N987" i="3"/>
  <c r="O987" i="3" l="1"/>
  <c r="Q987" i="3" s="1"/>
  <c r="N988" i="3"/>
  <c r="O988" i="3" l="1"/>
  <c r="Q988" i="3" s="1"/>
  <c r="N989" i="3"/>
  <c r="O989" i="3" l="1"/>
  <c r="Q989" i="3" s="1"/>
  <c r="N990" i="3"/>
  <c r="O990" i="3" l="1"/>
  <c r="Q990" i="3" s="1"/>
  <c r="N991" i="3"/>
  <c r="O991" i="3" l="1"/>
  <c r="Q991" i="3" s="1"/>
  <c r="N992" i="3"/>
  <c r="O992" i="3" l="1"/>
  <c r="Q992" i="3" s="1"/>
  <c r="N993" i="3"/>
  <c r="O993" i="3" l="1"/>
  <c r="Q993" i="3" s="1"/>
  <c r="N994" i="3"/>
  <c r="O994" i="3" l="1"/>
  <c r="Q994" i="3" s="1"/>
  <c r="N995" i="3"/>
  <c r="O995" i="3" l="1"/>
  <c r="Q995" i="3" s="1"/>
  <c r="N996" i="3"/>
  <c r="O996" i="3" l="1"/>
  <c r="Q996" i="3" s="1"/>
  <c r="N997" i="3"/>
  <c r="O997" i="3" l="1"/>
  <c r="Q997" i="3" s="1"/>
  <c r="N998" i="3"/>
  <c r="O998" i="3" l="1"/>
  <c r="Q998" i="3" s="1"/>
  <c r="N999" i="3"/>
  <c r="O999" i="3" l="1"/>
  <c r="Q999" i="3" s="1"/>
  <c r="N1000" i="3"/>
  <c r="O1000" i="3" l="1"/>
  <c r="Q1000" i="3" s="1"/>
  <c r="N1001" i="3"/>
  <c r="O1001" i="3" l="1"/>
  <c r="Q1001" i="3" s="1"/>
  <c r="N1002" i="3"/>
  <c r="O1002" i="3" l="1"/>
  <c r="Q1002" i="3" s="1"/>
  <c r="N1003" i="3"/>
  <c r="O1003" i="3" l="1"/>
  <c r="Q1003" i="3" s="1"/>
  <c r="N1004" i="3"/>
  <c r="O1004" i="3" l="1"/>
  <c r="Q1004" i="3" s="1"/>
  <c r="N1005" i="3"/>
  <c r="O1005" i="3" l="1"/>
  <c r="Q1005" i="3" s="1"/>
  <c r="N1006" i="3"/>
  <c r="O1006" i="3" l="1"/>
  <c r="Q1006" i="3" s="1"/>
  <c r="N1007" i="3"/>
  <c r="O1007" i="3" l="1"/>
  <c r="Q1007" i="3" s="1"/>
  <c r="N1008" i="3"/>
  <c r="O1008" i="3" l="1"/>
  <c r="Q1008" i="3" s="1"/>
  <c r="N1009" i="3"/>
  <c r="O1009" i="3" l="1"/>
  <c r="Q1009" i="3" s="1"/>
  <c r="N1010" i="3"/>
  <c r="O1010" i="3" l="1"/>
  <c r="Q1010" i="3" s="1"/>
  <c r="N1011" i="3"/>
  <c r="O1011" i="3" l="1"/>
  <c r="Q1011" i="3" s="1"/>
  <c r="N1012" i="3"/>
  <c r="O1012" i="3" l="1"/>
  <c r="Q1012" i="3" s="1"/>
  <c r="N1013" i="3"/>
  <c r="O1013" i="3" l="1"/>
  <c r="Q1013" i="3" s="1"/>
  <c r="N1014" i="3"/>
  <c r="O1014" i="3" l="1"/>
  <c r="Q1014" i="3" s="1"/>
  <c r="N1015" i="3"/>
  <c r="O1015" i="3" l="1"/>
  <c r="Q1015" i="3" s="1"/>
  <c r="N1016" i="3"/>
  <c r="O1016" i="3" l="1"/>
  <c r="Q1016" i="3" s="1"/>
  <c r="N1017" i="3"/>
  <c r="O1017" i="3" l="1"/>
  <c r="Q1017" i="3" s="1"/>
  <c r="N1018" i="3"/>
  <c r="O1018" i="3" l="1"/>
  <c r="Q1018" i="3" s="1"/>
  <c r="N1019" i="3"/>
  <c r="O1019" i="3" l="1"/>
  <c r="Q1019" i="3" s="1"/>
  <c r="N1020" i="3"/>
  <c r="O1020" i="3" l="1"/>
  <c r="Q1020" i="3" s="1"/>
  <c r="N1021" i="3"/>
  <c r="O1021" i="3" l="1"/>
  <c r="Q1021" i="3" s="1"/>
  <c r="N1022" i="3"/>
  <c r="O1022" i="3" l="1"/>
  <c r="Q1022" i="3" s="1"/>
  <c r="N1023" i="3"/>
  <c r="O1023" i="3" l="1"/>
  <c r="Q1023" i="3" s="1"/>
  <c r="N1024" i="3"/>
  <c r="O1024" i="3" l="1"/>
  <c r="Q1024" i="3" s="1"/>
  <c r="N1025" i="3"/>
  <c r="O1025" i="3" l="1"/>
  <c r="Q1025" i="3" s="1"/>
  <c r="N1026" i="3"/>
  <c r="O1026" i="3" l="1"/>
  <c r="Q1026" i="3" s="1"/>
  <c r="N1027" i="3"/>
  <c r="O1027" i="3" l="1"/>
  <c r="Q1027" i="3" s="1"/>
  <c r="N1028" i="3"/>
  <c r="O1028" i="3" l="1"/>
  <c r="Q1028" i="3" s="1"/>
  <c r="N1029" i="3"/>
  <c r="O1029" i="3" l="1"/>
  <c r="Q1029" i="3" s="1"/>
  <c r="N1030" i="3"/>
  <c r="O1030" i="3" l="1"/>
  <c r="Q1030" i="3" s="1"/>
  <c r="N1031" i="3"/>
  <c r="O1031" i="3" l="1"/>
  <c r="Q1031" i="3" s="1"/>
  <c r="N1032" i="3"/>
  <c r="O1032" i="3" l="1"/>
  <c r="Q1032" i="3" s="1"/>
  <c r="N1033" i="3"/>
  <c r="O1033" i="3" l="1"/>
  <c r="Q1033" i="3" s="1"/>
  <c r="N1034" i="3"/>
  <c r="O1034" i="3" l="1"/>
  <c r="Q1034" i="3" s="1"/>
  <c r="N1035" i="3"/>
  <c r="O1035" i="3" l="1"/>
  <c r="Q1035" i="3" s="1"/>
  <c r="N1036" i="3"/>
  <c r="O1036" i="3" l="1"/>
  <c r="Q1036" i="3" s="1"/>
  <c r="N1037" i="3"/>
  <c r="O1037" i="3" l="1"/>
  <c r="Q1037" i="3" s="1"/>
  <c r="N1038" i="3"/>
  <c r="O1038" i="3" l="1"/>
  <c r="Q1038" i="3" s="1"/>
  <c r="N1039" i="3"/>
  <c r="O1039" i="3" l="1"/>
  <c r="Q1039" i="3" s="1"/>
  <c r="N1040" i="3"/>
  <c r="O1040" i="3" l="1"/>
  <c r="Q1040" i="3" s="1"/>
  <c r="N1041" i="3"/>
  <c r="O1041" i="3" l="1"/>
  <c r="Q1041" i="3" s="1"/>
  <c r="N1042" i="3"/>
  <c r="O1042" i="3" l="1"/>
  <c r="Q1042" i="3" s="1"/>
  <c r="N1043" i="3"/>
  <c r="O1043" i="3" l="1"/>
  <c r="Q1043" i="3" s="1"/>
  <c r="N1044" i="3"/>
  <c r="O1044" i="3" l="1"/>
  <c r="Q1044" i="3" s="1"/>
  <c r="N1045" i="3"/>
  <c r="O1045" i="3" l="1"/>
  <c r="Q1045" i="3" s="1"/>
  <c r="N1046" i="3"/>
  <c r="O1046" i="3" l="1"/>
  <c r="Q1046" i="3" s="1"/>
  <c r="N1047" i="3"/>
  <c r="O1047" i="3" l="1"/>
  <c r="Q1047" i="3" s="1"/>
  <c r="N1048" i="3"/>
  <c r="O1048" i="3" l="1"/>
  <c r="Q1048" i="3" s="1"/>
  <c r="N1049" i="3"/>
  <c r="O1049" i="3" l="1"/>
  <c r="Q1049" i="3" s="1"/>
  <c r="N1050" i="3"/>
  <c r="O1050" i="3" l="1"/>
  <c r="Q1050" i="3" s="1"/>
  <c r="N1051" i="3"/>
  <c r="O1051" i="3" l="1"/>
  <c r="Q1051" i="3" s="1"/>
  <c r="N1052" i="3"/>
  <c r="O1052" i="3" l="1"/>
  <c r="Q1052" i="3" s="1"/>
  <c r="N1053" i="3"/>
  <c r="O1053" i="3" l="1"/>
  <c r="Q1053" i="3" s="1"/>
  <c r="N1054" i="3"/>
  <c r="O1054" i="3" l="1"/>
  <c r="Q1054" i="3" s="1"/>
  <c r="N1055" i="3"/>
  <c r="O1055" i="3" l="1"/>
  <c r="Q1055" i="3" s="1"/>
  <c r="N1056" i="3"/>
  <c r="O1056" i="3" l="1"/>
  <c r="Q1056" i="3" s="1"/>
  <c r="N1057" i="3"/>
  <c r="O1057" i="3" l="1"/>
  <c r="Q1057" i="3" s="1"/>
  <c r="N1058" i="3"/>
  <c r="O1058" i="3" l="1"/>
  <c r="Q1058" i="3" s="1"/>
  <c r="N1059" i="3"/>
  <c r="O1059" i="3" l="1"/>
  <c r="Q1059" i="3" s="1"/>
  <c r="N1060" i="3"/>
  <c r="O1060" i="3" l="1"/>
  <c r="Q1060" i="3" s="1"/>
  <c r="N1061" i="3"/>
  <c r="O1061" i="3" l="1"/>
  <c r="Q1061" i="3" s="1"/>
  <c r="N1062" i="3"/>
  <c r="O1062" i="3" l="1"/>
  <c r="Q1062" i="3" s="1"/>
  <c r="N1063" i="3"/>
  <c r="O1063" i="3" l="1"/>
  <c r="Q1063" i="3" s="1"/>
  <c r="N1064" i="3"/>
  <c r="O1064" i="3" l="1"/>
  <c r="Q1064" i="3" s="1"/>
  <c r="N1065" i="3"/>
  <c r="O1065" i="3" l="1"/>
  <c r="Q1065" i="3" s="1"/>
  <c r="N1066" i="3"/>
  <c r="O1066" i="3" l="1"/>
  <c r="Q1066" i="3" s="1"/>
  <c r="N1067" i="3"/>
  <c r="O1067" i="3" l="1"/>
  <c r="Q1067" i="3" s="1"/>
  <c r="N1068" i="3"/>
  <c r="O1068" i="3" l="1"/>
  <c r="Q1068" i="3" s="1"/>
  <c r="N1069" i="3"/>
  <c r="O1069" i="3" l="1"/>
  <c r="Q1069" i="3" s="1"/>
  <c r="N1070" i="3"/>
  <c r="O1070" i="3" l="1"/>
  <c r="Q1070" i="3" s="1"/>
  <c r="N1071" i="3"/>
  <c r="O1071" i="3" l="1"/>
  <c r="Q1071" i="3" s="1"/>
  <c r="N1072" i="3"/>
  <c r="O1072" i="3" l="1"/>
  <c r="Q1072" i="3" s="1"/>
  <c r="N1073" i="3"/>
  <c r="O1073" i="3" l="1"/>
  <c r="Q1073" i="3" s="1"/>
  <c r="N1074" i="3"/>
  <c r="O1074" i="3" l="1"/>
  <c r="Q1074" i="3" s="1"/>
  <c r="N1075" i="3"/>
  <c r="O1075" i="3" l="1"/>
  <c r="Q1075" i="3" s="1"/>
  <c r="N1076" i="3"/>
  <c r="O1076" i="3" l="1"/>
  <c r="Q1076" i="3" s="1"/>
  <c r="N1077" i="3"/>
  <c r="O1077" i="3" l="1"/>
  <c r="Q1077" i="3" s="1"/>
  <c r="N1078" i="3"/>
  <c r="O1078" i="3" l="1"/>
  <c r="Q1078" i="3" s="1"/>
  <c r="N1079" i="3"/>
  <c r="O1079" i="3" l="1"/>
  <c r="Q1079" i="3" s="1"/>
  <c r="N1080" i="3"/>
  <c r="O1080" i="3" l="1"/>
  <c r="Q1080" i="3" s="1"/>
  <c r="N1081" i="3"/>
  <c r="O1081" i="3" l="1"/>
  <c r="Q1081" i="3" s="1"/>
  <c r="N1082" i="3"/>
  <c r="O1082" i="3" l="1"/>
  <c r="Q1082" i="3" s="1"/>
  <c r="N1083" i="3"/>
  <c r="O1083" i="3" l="1"/>
  <c r="Q1083" i="3" s="1"/>
  <c r="N1084" i="3"/>
  <c r="O1084" i="3" l="1"/>
  <c r="Q1084" i="3" s="1"/>
  <c r="N1085" i="3"/>
  <c r="O1085" i="3" l="1"/>
  <c r="Q1085" i="3" s="1"/>
  <c r="N1086" i="3"/>
  <c r="O1086" i="3" l="1"/>
  <c r="Q1086" i="3" s="1"/>
  <c r="N1087" i="3"/>
  <c r="O1087" i="3" l="1"/>
  <c r="Q1087" i="3" s="1"/>
  <c r="N1088" i="3"/>
  <c r="O1088" i="3" l="1"/>
  <c r="Q1088" i="3" s="1"/>
  <c r="N1089" i="3"/>
  <c r="O1089" i="3" l="1"/>
  <c r="Q1089" i="3" s="1"/>
  <c r="N1090" i="3"/>
  <c r="O1090" i="3" l="1"/>
  <c r="Q1090" i="3" s="1"/>
  <c r="N1091" i="3"/>
  <c r="O1091" i="3" l="1"/>
  <c r="Q1091" i="3" s="1"/>
  <c r="N1092" i="3"/>
  <c r="O1092" i="3" l="1"/>
  <c r="Q1092" i="3" s="1"/>
  <c r="N1093" i="3"/>
  <c r="O1093" i="3" l="1"/>
  <c r="Q1093" i="3" s="1"/>
  <c r="N1094" i="3"/>
  <c r="O1094" i="3" l="1"/>
  <c r="Q1094" i="3" s="1"/>
  <c r="N1095" i="3"/>
  <c r="O1095" i="3" l="1"/>
  <c r="Q1095" i="3" s="1"/>
  <c r="N1096" i="3"/>
  <c r="O1096" i="3" l="1"/>
  <c r="Q1096" i="3" s="1"/>
  <c r="N1097" i="3"/>
  <c r="O1097" i="3" l="1"/>
  <c r="Q1097" i="3" s="1"/>
  <c r="N1098" i="3"/>
  <c r="O1098" i="3" l="1"/>
  <c r="Q1098" i="3" s="1"/>
  <c r="N1099" i="3"/>
  <c r="O1099" i="3" l="1"/>
  <c r="Q1099" i="3" s="1"/>
  <c r="N1100" i="3"/>
  <c r="O1100" i="3" l="1"/>
  <c r="Q1100" i="3" s="1"/>
  <c r="N1101" i="3"/>
  <c r="O1101" i="3" l="1"/>
  <c r="Q1101" i="3" s="1"/>
  <c r="N1102" i="3"/>
  <c r="O1102" i="3" l="1"/>
  <c r="Q1102" i="3" s="1"/>
  <c r="N1103" i="3"/>
  <c r="O1103" i="3" l="1"/>
  <c r="Q1103" i="3" s="1"/>
  <c r="N1104" i="3"/>
  <c r="O1104" i="3" l="1"/>
  <c r="Q1104" i="3" s="1"/>
  <c r="N1105" i="3"/>
  <c r="O1105" i="3" l="1"/>
  <c r="Q1105" i="3" s="1"/>
  <c r="N1106" i="3"/>
  <c r="O1106" i="3" l="1"/>
  <c r="Q1106" i="3" s="1"/>
  <c r="N1107" i="3"/>
  <c r="O1107" i="3" l="1"/>
  <c r="Q1107" i="3" s="1"/>
  <c r="N1108" i="3"/>
  <c r="O1108" i="3" l="1"/>
  <c r="Q1108" i="3" s="1"/>
  <c r="N1109" i="3"/>
  <c r="O1109" i="3" l="1"/>
  <c r="Q1109" i="3" s="1"/>
  <c r="N1110" i="3"/>
  <c r="O1110" i="3" l="1"/>
  <c r="Q1110" i="3" s="1"/>
  <c r="N1111" i="3"/>
  <c r="O1111" i="3" l="1"/>
  <c r="Q1111" i="3" s="1"/>
  <c r="N1112" i="3"/>
  <c r="O1112" i="3" l="1"/>
  <c r="Q1112" i="3" s="1"/>
  <c r="N1113" i="3"/>
  <c r="O1113" i="3" l="1"/>
  <c r="Q1113" i="3" s="1"/>
  <c r="N1114" i="3"/>
  <c r="O1114" i="3" l="1"/>
  <c r="Q1114" i="3" s="1"/>
  <c r="N1115" i="3"/>
  <c r="O1115" i="3" l="1"/>
  <c r="Q1115" i="3" s="1"/>
  <c r="N1116" i="3"/>
  <c r="O1116" i="3" l="1"/>
  <c r="Q1116" i="3" s="1"/>
  <c r="N1117" i="3"/>
  <c r="O1117" i="3" l="1"/>
  <c r="Q1117" i="3" s="1"/>
  <c r="N1118" i="3"/>
  <c r="O1118" i="3" l="1"/>
  <c r="Q1118" i="3" s="1"/>
  <c r="N1119" i="3"/>
  <c r="O1119" i="3" l="1"/>
  <c r="Q1119" i="3" s="1"/>
  <c r="N1120" i="3"/>
  <c r="O1120" i="3" l="1"/>
  <c r="Q1120" i="3" s="1"/>
  <c r="N1121" i="3"/>
  <c r="O1121" i="3" l="1"/>
  <c r="Q1121" i="3" s="1"/>
  <c r="N1122" i="3"/>
  <c r="O1122" i="3" l="1"/>
  <c r="Q1122" i="3" s="1"/>
  <c r="N1123" i="3"/>
  <c r="O1123" i="3" l="1"/>
  <c r="Q1123" i="3" s="1"/>
  <c r="N1124" i="3"/>
  <c r="O1124" i="3" l="1"/>
  <c r="Q1124" i="3" s="1"/>
  <c r="N1125" i="3"/>
  <c r="O1125" i="3" l="1"/>
  <c r="Q1125" i="3" s="1"/>
  <c r="N1126" i="3"/>
  <c r="O1126" i="3" l="1"/>
  <c r="Q1126" i="3" s="1"/>
  <c r="N1127" i="3"/>
  <c r="O1127" i="3" l="1"/>
  <c r="Q1127" i="3" s="1"/>
  <c r="N1128" i="3"/>
  <c r="O1128" i="3" l="1"/>
  <c r="Q1128" i="3" s="1"/>
  <c r="N1129" i="3"/>
  <c r="O1129" i="3" l="1"/>
  <c r="Q1129" i="3" s="1"/>
  <c r="N1130" i="3"/>
  <c r="O1130" i="3" l="1"/>
  <c r="Q1130" i="3" s="1"/>
  <c r="N1131" i="3"/>
  <c r="O1131" i="3" l="1"/>
  <c r="Q1131" i="3" s="1"/>
  <c r="N1132" i="3"/>
  <c r="O1132" i="3" l="1"/>
  <c r="Q1132" i="3" s="1"/>
  <c r="N1133" i="3"/>
  <c r="O1133" i="3" l="1"/>
  <c r="Q1133" i="3" s="1"/>
  <c r="N1134" i="3"/>
  <c r="O1134" i="3" l="1"/>
  <c r="Q1134" i="3" s="1"/>
  <c r="N1135" i="3"/>
  <c r="O1135" i="3" l="1"/>
  <c r="Q1135" i="3" s="1"/>
  <c r="N1136" i="3"/>
  <c r="O1136" i="3" l="1"/>
  <c r="Q1136" i="3" s="1"/>
  <c r="N1137" i="3"/>
  <c r="O1137" i="3" l="1"/>
  <c r="Q1137" i="3" s="1"/>
  <c r="N1138" i="3"/>
  <c r="O1138" i="3" l="1"/>
  <c r="Q1138" i="3" s="1"/>
  <c r="N1139" i="3"/>
  <c r="O1139" i="3" l="1"/>
  <c r="Q1139" i="3" s="1"/>
  <c r="N1140" i="3"/>
  <c r="O1140" i="3" l="1"/>
  <c r="Q1140" i="3" s="1"/>
  <c r="N1141" i="3"/>
  <c r="O1141" i="3" l="1"/>
  <c r="Q1141" i="3" s="1"/>
  <c r="N1142" i="3"/>
  <c r="O1142" i="3" l="1"/>
  <c r="Q1142" i="3" s="1"/>
  <c r="N1143" i="3"/>
  <c r="O1143" i="3" l="1"/>
  <c r="Q1143" i="3" s="1"/>
  <c r="N1144" i="3"/>
  <c r="O1144" i="3" l="1"/>
  <c r="Q1144" i="3" s="1"/>
  <c r="N1145" i="3"/>
  <c r="O1145" i="3" l="1"/>
  <c r="Q1145" i="3" s="1"/>
  <c r="N1146" i="3"/>
  <c r="O1146" i="3" l="1"/>
  <c r="Q1146" i="3" s="1"/>
  <c r="N1147" i="3"/>
  <c r="O1147" i="3" l="1"/>
  <c r="Q1147" i="3" s="1"/>
  <c r="N1148" i="3"/>
  <c r="O1148" i="3" l="1"/>
  <c r="Q1148" i="3" s="1"/>
  <c r="N1149" i="3"/>
  <c r="O1149" i="3" l="1"/>
  <c r="Q1149" i="3" s="1"/>
  <c r="N1150" i="3"/>
  <c r="O1150" i="3" l="1"/>
  <c r="Q1150" i="3" s="1"/>
  <c r="N1151" i="3"/>
  <c r="O1151" i="3" l="1"/>
  <c r="Q1151" i="3" s="1"/>
  <c r="N1152" i="3"/>
  <c r="O1152" i="3" l="1"/>
  <c r="Q1152" i="3" s="1"/>
  <c r="N1153" i="3"/>
  <c r="O1153" i="3" l="1"/>
  <c r="Q1153" i="3" s="1"/>
  <c r="N1154" i="3"/>
  <c r="O1154" i="3" l="1"/>
  <c r="Q1154" i="3" s="1"/>
  <c r="N1155" i="3"/>
  <c r="O1155" i="3" l="1"/>
  <c r="Q1155" i="3" s="1"/>
  <c r="N1156" i="3"/>
  <c r="O1156" i="3" l="1"/>
  <c r="Q1156" i="3" s="1"/>
  <c r="N1157" i="3"/>
  <c r="O1157" i="3" l="1"/>
  <c r="Q1157" i="3" s="1"/>
  <c r="N1158" i="3"/>
  <c r="O1158" i="3" l="1"/>
  <c r="Q1158" i="3" s="1"/>
  <c r="N1159" i="3"/>
  <c r="O1159" i="3" l="1"/>
  <c r="Q1159" i="3" s="1"/>
  <c r="N1160" i="3"/>
  <c r="O1160" i="3" l="1"/>
  <c r="Q1160" i="3" s="1"/>
  <c r="N1161" i="3"/>
  <c r="O1161" i="3" l="1"/>
  <c r="Q1161" i="3" s="1"/>
  <c r="N1162" i="3"/>
  <c r="O1162" i="3" l="1"/>
  <c r="Q1162" i="3" s="1"/>
  <c r="N1163" i="3"/>
  <c r="O1163" i="3" l="1"/>
  <c r="Q1163" i="3" s="1"/>
  <c r="N1164" i="3"/>
  <c r="O1164" i="3" l="1"/>
  <c r="Q1164" i="3" s="1"/>
  <c r="N1165" i="3"/>
  <c r="O1165" i="3" l="1"/>
  <c r="Q1165" i="3" s="1"/>
  <c r="N1166" i="3"/>
  <c r="O1166" i="3" l="1"/>
  <c r="Q1166" i="3" s="1"/>
  <c r="N1167" i="3"/>
  <c r="O1167" i="3" l="1"/>
  <c r="Q1167" i="3" s="1"/>
  <c r="N1168" i="3"/>
  <c r="O1168" i="3" l="1"/>
  <c r="Q1168" i="3" s="1"/>
  <c r="N1169" i="3"/>
  <c r="O1169" i="3" l="1"/>
  <c r="Q1169" i="3" s="1"/>
  <c r="N1170" i="3"/>
  <c r="O1170" i="3" l="1"/>
  <c r="Q1170" i="3" s="1"/>
  <c r="N1171" i="3"/>
  <c r="O1171" i="3" l="1"/>
  <c r="Q1171" i="3" s="1"/>
  <c r="N1172" i="3"/>
  <c r="O1172" i="3" l="1"/>
  <c r="Q1172" i="3" s="1"/>
  <c r="N1173" i="3"/>
  <c r="O1173" i="3" l="1"/>
  <c r="Q1173" i="3" s="1"/>
  <c r="N1174" i="3"/>
  <c r="N1175" i="3" l="1"/>
  <c r="O1174" i="3"/>
  <c r="Q1174" i="3" s="1"/>
  <c r="O1175" i="3" l="1"/>
  <c r="Q1175" i="3" s="1"/>
  <c r="N1176" i="3"/>
  <c r="O1176" i="3" l="1"/>
  <c r="Q1176" i="3" s="1"/>
  <c r="N1177" i="3"/>
  <c r="O1177" i="3" l="1"/>
  <c r="Q1177" i="3" s="1"/>
  <c r="N1178" i="3"/>
  <c r="N1179" i="3" l="1"/>
  <c r="O1178" i="3"/>
  <c r="Q1178" i="3" s="1"/>
  <c r="O1179" i="3" l="1"/>
  <c r="Q1179" i="3" s="1"/>
  <c r="N1180" i="3"/>
  <c r="O1180" i="3" l="1"/>
  <c r="Q1180" i="3" s="1"/>
  <c r="N1181" i="3"/>
  <c r="O1181" i="3" l="1"/>
  <c r="Q1181" i="3" s="1"/>
  <c r="N1182" i="3"/>
  <c r="N1183" i="3" l="1"/>
  <c r="O1182" i="3"/>
  <c r="Q1182" i="3" s="1"/>
  <c r="O1183" i="3" l="1"/>
  <c r="Q1183" i="3" s="1"/>
  <c r="N1184" i="3"/>
  <c r="O1184" i="3" l="1"/>
  <c r="Q1184" i="3" s="1"/>
  <c r="N1185" i="3"/>
  <c r="O1185" i="3" l="1"/>
  <c r="Q1185" i="3" s="1"/>
  <c r="N1186" i="3"/>
  <c r="N1187" i="3" l="1"/>
  <c r="O1186" i="3"/>
  <c r="Q1186" i="3" s="1"/>
  <c r="O1187" i="3" l="1"/>
  <c r="Q1187" i="3" s="1"/>
  <c r="N1188" i="3"/>
  <c r="O1188" i="3" l="1"/>
  <c r="Q1188" i="3" s="1"/>
  <c r="N1189" i="3"/>
  <c r="O1189" i="3" l="1"/>
  <c r="Q1189" i="3" s="1"/>
  <c r="N1190" i="3"/>
  <c r="N1191" i="3" l="1"/>
  <c r="O1190" i="3"/>
  <c r="Q1190" i="3" s="1"/>
  <c r="O1191" i="3" l="1"/>
  <c r="Q1191" i="3" s="1"/>
  <c r="N1192" i="3"/>
  <c r="O1192" i="3" l="1"/>
  <c r="Q1192" i="3" s="1"/>
  <c r="N1193" i="3"/>
  <c r="O1193" i="3" l="1"/>
  <c r="Q1193" i="3" s="1"/>
  <c r="N1194" i="3"/>
  <c r="N1195" i="3" l="1"/>
  <c r="O1194" i="3"/>
  <c r="Q1194" i="3" s="1"/>
  <c r="O1195" i="3" l="1"/>
  <c r="Q1195" i="3" s="1"/>
  <c r="N1196" i="3"/>
  <c r="O1196" i="3" l="1"/>
  <c r="Q1196" i="3" s="1"/>
  <c r="N1197" i="3"/>
  <c r="O1197" i="3" l="1"/>
  <c r="Q1197" i="3" s="1"/>
  <c r="N1198" i="3"/>
  <c r="O1198" i="3" l="1"/>
  <c r="Q1198" i="3" s="1"/>
  <c r="N1199" i="3"/>
  <c r="O1199" i="3" l="1"/>
  <c r="Q1199" i="3" s="1"/>
  <c r="N1200" i="3"/>
  <c r="O1200" i="3" l="1"/>
  <c r="Q1200" i="3" s="1"/>
  <c r="N1201" i="3"/>
  <c r="N1202" i="3" l="1"/>
  <c r="O1201" i="3"/>
  <c r="Q1201" i="3" s="1"/>
  <c r="O1202" i="3" l="1"/>
  <c r="Q1202" i="3" s="1"/>
  <c r="N1203" i="3"/>
  <c r="O1203" i="3" l="1"/>
  <c r="Q1203" i="3" s="1"/>
  <c r="N1204" i="3"/>
  <c r="O1204" i="3" l="1"/>
  <c r="Q1204" i="3" s="1"/>
  <c r="N1205" i="3"/>
  <c r="O1205" i="3" l="1"/>
  <c r="Q1205" i="3" s="1"/>
  <c r="N1206" i="3"/>
  <c r="O1206" i="3" l="1"/>
  <c r="Q1206" i="3" s="1"/>
  <c r="N1207" i="3"/>
  <c r="O1207" i="3" l="1"/>
  <c r="Q1207" i="3" s="1"/>
  <c r="N1208" i="3"/>
  <c r="O1208" i="3" l="1"/>
  <c r="Q1208" i="3" s="1"/>
  <c r="N1209" i="3"/>
  <c r="O1209" i="3" l="1"/>
  <c r="Q1209" i="3" s="1"/>
  <c r="N1210" i="3"/>
  <c r="O1210" i="3" l="1"/>
  <c r="Q1210" i="3" s="1"/>
  <c r="N1211" i="3"/>
  <c r="O1211" i="3" l="1"/>
  <c r="Q1211" i="3" s="1"/>
  <c r="N1212" i="3"/>
  <c r="O1212" i="3" l="1"/>
  <c r="Q1212" i="3" s="1"/>
  <c r="N1213" i="3"/>
  <c r="O1213" i="3" l="1"/>
  <c r="Q1213" i="3" s="1"/>
  <c r="N1214" i="3"/>
  <c r="O1214" i="3" l="1"/>
  <c r="Q1214" i="3" s="1"/>
  <c r="N1215" i="3"/>
  <c r="O1215" i="3" l="1"/>
  <c r="Q1215" i="3" s="1"/>
  <c r="N1216" i="3"/>
  <c r="O1216" i="3" l="1"/>
  <c r="Q1216" i="3" s="1"/>
  <c r="N1217" i="3"/>
  <c r="N1218" i="3" l="1"/>
  <c r="O1217" i="3"/>
  <c r="Q1217" i="3" s="1"/>
  <c r="O1218" i="3" l="1"/>
  <c r="Q1218" i="3" s="1"/>
  <c r="N1219" i="3"/>
  <c r="O1219" i="3" l="1"/>
  <c r="Q1219" i="3" s="1"/>
  <c r="N1220" i="3"/>
  <c r="O1220" i="3" l="1"/>
  <c r="Q1220" i="3" s="1"/>
  <c r="N1221" i="3"/>
  <c r="N1222" i="3" l="1"/>
  <c r="O1221" i="3"/>
  <c r="Q1221" i="3" s="1"/>
  <c r="O1222" i="3" l="1"/>
  <c r="Q1222" i="3" s="1"/>
  <c r="N1223" i="3"/>
  <c r="O1223" i="3" l="1"/>
  <c r="Q1223" i="3" s="1"/>
  <c r="N1224" i="3"/>
  <c r="O1224" i="3" l="1"/>
  <c r="Q1224" i="3" s="1"/>
  <c r="N1225" i="3"/>
  <c r="N1226" i="3" l="1"/>
  <c r="O1225" i="3"/>
  <c r="Q1225" i="3" s="1"/>
  <c r="O1226" i="3" l="1"/>
  <c r="Q1226" i="3" s="1"/>
  <c r="N1227" i="3"/>
  <c r="O1227" i="3" l="1"/>
  <c r="Q1227" i="3" s="1"/>
  <c r="N1228" i="3"/>
  <c r="O1228" i="3" l="1"/>
  <c r="Q1228" i="3" s="1"/>
  <c r="N1229" i="3"/>
  <c r="O1229" i="3" l="1"/>
  <c r="Q1229" i="3" s="1"/>
  <c r="N1230" i="3"/>
  <c r="O1230" i="3" l="1"/>
  <c r="Q1230" i="3" s="1"/>
  <c r="N1231" i="3"/>
  <c r="O1231" i="3" l="1"/>
  <c r="Q1231" i="3" s="1"/>
  <c r="N1232" i="3"/>
  <c r="O1232" i="3" l="1"/>
  <c r="Q1232" i="3" s="1"/>
  <c r="N1233" i="3"/>
  <c r="O1233" i="3" l="1"/>
  <c r="Q1233" i="3" s="1"/>
  <c r="N1234" i="3"/>
  <c r="O1234" i="3" l="1"/>
  <c r="Q1234" i="3" s="1"/>
  <c r="N1235" i="3"/>
  <c r="O1235" i="3" l="1"/>
  <c r="Q1235" i="3" s="1"/>
  <c r="N1236" i="3"/>
  <c r="O1236" i="3" l="1"/>
  <c r="Q1236" i="3" s="1"/>
  <c r="N1237" i="3"/>
  <c r="O1237" i="3" l="1"/>
  <c r="Q1237" i="3" s="1"/>
  <c r="N1238" i="3"/>
  <c r="O1238" i="3" l="1"/>
  <c r="Q1238" i="3" s="1"/>
  <c r="N1239" i="3"/>
  <c r="O1239" i="3" l="1"/>
  <c r="Q1239" i="3" s="1"/>
  <c r="N1240" i="3"/>
  <c r="O1240" i="3" l="1"/>
  <c r="Q1240" i="3" s="1"/>
  <c r="N1241" i="3"/>
  <c r="N1242" i="3" l="1"/>
  <c r="O1241" i="3"/>
  <c r="Q1241" i="3" s="1"/>
  <c r="O1242" i="3" l="1"/>
  <c r="Q1242" i="3" s="1"/>
</calcChain>
</file>

<file path=xl/comments1.xml><?xml version="1.0" encoding="utf-8"?>
<comments xmlns="http://schemas.openxmlformats.org/spreadsheetml/2006/main">
  <authors>
    <author>Author</author>
  </authors>
  <commentList>
    <comment ref="I22" authorId="0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21Day rolling period</t>
        </r>
      </text>
    </comment>
    <comment ref="J22" authorId="0">
      <text>
        <r>
          <rPr>
            <b/>
            <sz val="9"/>
            <color indexed="81"/>
            <rFont val="Tahoma"/>
            <family val="2"/>
            <charset val="204"/>
          </rPr>
          <t>Author:
10Day VaR at 99% confidence interval</t>
        </r>
      </text>
    </comment>
    <comment ref="O22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Author:
This is EWMA VaR using the recursive formula. No macro. </t>
        </r>
      </text>
    </comment>
    <comment ref="L253" authorId="0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consecutive days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C2" authorId="0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Drop down: code 1 - Simple VaR
code 2 - EWMA VaR</t>
        </r>
      </text>
    </comment>
  </commentList>
</comments>
</file>

<file path=xl/sharedStrings.xml><?xml version="1.0" encoding="utf-8"?>
<sst xmlns="http://schemas.openxmlformats.org/spreadsheetml/2006/main" count="2512" uniqueCount="65">
  <si>
    <t>Date</t>
  </si>
  <si>
    <t>VaR</t>
  </si>
  <si>
    <t>Realized return</t>
  </si>
  <si>
    <t>Stats</t>
  </si>
  <si>
    <t>First date</t>
  </si>
  <si>
    <t>Last date</t>
  </si>
  <si>
    <t>OS</t>
  </si>
  <si>
    <t>Data</t>
  </si>
  <si>
    <t>NOS</t>
  </si>
  <si>
    <t>POF</t>
  </si>
  <si>
    <t>N</t>
  </si>
  <si>
    <t>Kstat</t>
  </si>
  <si>
    <t>VaR CF</t>
  </si>
  <si>
    <t>K crit 99%</t>
  </si>
  <si>
    <t>K Rejected</t>
  </si>
  <si>
    <t>Unconditional coverage</t>
  </si>
  <si>
    <t>Independence</t>
  </si>
  <si>
    <t>n00</t>
  </si>
  <si>
    <t>n01</t>
  </si>
  <si>
    <t>n10</t>
  </si>
  <si>
    <t>n11</t>
  </si>
  <si>
    <t>pi</t>
  </si>
  <si>
    <t>LA</t>
  </si>
  <si>
    <t>L0</t>
  </si>
  <si>
    <t>pi01</t>
  </si>
  <si>
    <t>pi11</t>
  </si>
  <si>
    <t>Indstat</t>
  </si>
  <si>
    <t>Ind crit 99%</t>
  </si>
  <si>
    <t>Ind rejected</t>
  </si>
  <si>
    <t>Conditional coverage</t>
  </si>
  <si>
    <t>Ucstat</t>
  </si>
  <si>
    <t>UC crit 99%</t>
  </si>
  <si>
    <t>UC rejected</t>
  </si>
  <si>
    <t>Overshootings per month</t>
  </si>
  <si>
    <t>Address dates</t>
  </si>
  <si>
    <t>Address returns</t>
  </si>
  <si>
    <t>Address overshootings</t>
  </si>
  <si>
    <t>OS for graph</t>
  </si>
  <si>
    <t>Address VaR</t>
  </si>
  <si>
    <t>VaR for graph</t>
  </si>
  <si>
    <t>Backtesting table</t>
  </si>
  <si>
    <t>Number of observations</t>
  </si>
  <si>
    <t>Number of overshootings</t>
  </si>
  <si>
    <t>VaR confidence level</t>
  </si>
  <si>
    <t>Failure rate</t>
  </si>
  <si>
    <t>UC test result</t>
  </si>
  <si>
    <t>Independence test result</t>
  </si>
  <si>
    <t>CC test result</t>
  </si>
  <si>
    <t>EWMA VaR</t>
  </si>
  <si>
    <t>Exceptions</t>
  </si>
  <si>
    <t>ln(S(t+10)/S(t))</t>
  </si>
  <si>
    <t>EWMA St.Deviation</t>
  </si>
  <si>
    <t>Standard Deviation</t>
  </si>
  <si>
    <t>lambda</t>
  </si>
  <si>
    <t>Weight</t>
  </si>
  <si>
    <t>1D Log Return Squared Return</t>
  </si>
  <si>
    <t>1D Log Return</t>
  </si>
  <si>
    <t>SP500</t>
  </si>
  <si>
    <t>EWMA VaR (check)</t>
  </si>
  <si>
    <t>EWMA VaR VBA Function</t>
  </si>
  <si>
    <t>Method</t>
  </si>
  <si>
    <t>Method Code</t>
  </si>
  <si>
    <t>Simple VaR</t>
  </si>
  <si>
    <t>Method code</t>
  </si>
  <si>
    <t>Method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</si>
</sst>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000000"/>
    <numFmt numFmtId="171" formatCode="0.000000"/>
    <numFmt numFmtId="173" formatCode="0.00000000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Open Sans"/>
      <family val="2"/>
    </font>
    <font>
      <sz val="10"/>
      <color theme="1"/>
      <name val="Open Sans Semibold"/>
      <family val="2"/>
    </font>
    <font>
      <sz val="10"/>
      <color theme="0"/>
      <name val="Open Sans Semibold"/>
      <family val="2"/>
    </font>
    <font>
      <i/>
      <sz val="10"/>
      <color theme="1"/>
      <name val="Open Sans Semibold"/>
      <family val="2"/>
    </font>
    <font>
      <sz val="10"/>
      <name val="Arial"/>
      <family val="2"/>
    </font>
    <font>
      <sz val="10"/>
      <name val="Open Sans"/>
      <family val="2"/>
    </font>
    <font>
      <sz val="10"/>
      <name val="Open Sans Semibold"/>
      <family val="2"/>
    </font>
    <font>
      <i/>
      <sz val="10"/>
      <name val="Open Sans"/>
      <family val="2"/>
    </font>
    <font>
      <sz val="14"/>
      <name val="Open Sans Semibold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499984740745262"/>
        <bgColor theme="4" tint="0.79998168889431442"/>
      </patternFill>
    </fill>
    <fill>
      <patternFill patternType="solid">
        <fgColor theme="4" tint="0.59999389629810485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6" fillId="0" borderId="0"/>
    <xf numFmtId="43" fontId="1" fillId="0" borderId="0" applyFont="0" applyFill="0" applyBorder="0" applyAlignment="0" applyProtection="0"/>
  </cellStyleXfs>
  <cellXfs count="87">
    <xf numFmtId="0" fontId="0" fillId="0" borderId="0" xfId="0"/>
    <xf numFmtId="0" fontId="2" fillId="0" borderId="0" xfId="0" applyFont="1"/>
    <xf numFmtId="14" fontId="2" fillId="0" borderId="0" xfId="0" applyNumberFormat="1" applyFont="1"/>
    <xf numFmtId="10" fontId="2" fillId="0" borderId="0" xfId="1" applyNumberFormat="1" applyFont="1"/>
    <xf numFmtId="0" fontId="3" fillId="0" borderId="0" xfId="0" applyFont="1"/>
    <xf numFmtId="0" fontId="2" fillId="0" borderId="0" xfId="0" applyNumberFormat="1" applyFont="1"/>
    <xf numFmtId="0" fontId="2" fillId="0" borderId="1" xfId="0" applyFont="1" applyBorder="1"/>
    <xf numFmtId="0" fontId="2" fillId="0" borderId="1" xfId="0" applyNumberFormat="1" applyFont="1" applyBorder="1"/>
    <xf numFmtId="10" fontId="2" fillId="0" borderId="1" xfId="1" applyNumberFormat="1" applyFont="1" applyBorder="1"/>
    <xf numFmtId="0" fontId="2" fillId="0" borderId="1" xfId="1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17" fontId="4" fillId="6" borderId="3" xfId="0" applyNumberFormat="1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2" fillId="0" borderId="5" xfId="0" applyFont="1" applyBorder="1"/>
    <xf numFmtId="0" fontId="2" fillId="0" borderId="6" xfId="0" applyFont="1" applyBorder="1" applyAlignment="1">
      <alignment horizontal="center"/>
    </xf>
    <xf numFmtId="0" fontId="2" fillId="0" borderId="7" xfId="0" applyFont="1" applyBorder="1"/>
    <xf numFmtId="0" fontId="4" fillId="0" borderId="0" xfId="0" applyFont="1" applyFill="1" applyBorder="1" applyAlignment="1">
      <alignment horizontal="center"/>
    </xf>
    <xf numFmtId="0" fontId="2" fillId="0" borderId="0" xfId="0" applyFont="1" applyFill="1" applyBorder="1"/>
    <xf numFmtId="0" fontId="4" fillId="5" borderId="4" xfId="0" applyFont="1" applyFill="1" applyBorder="1" applyAlignment="1">
      <alignment horizontal="center"/>
    </xf>
    <xf numFmtId="10" fontId="2" fillId="0" borderId="6" xfId="1" applyNumberFormat="1" applyFont="1" applyBorder="1"/>
    <xf numFmtId="0" fontId="4" fillId="2" borderId="2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5" borderId="12" xfId="0" applyFont="1" applyFill="1" applyBorder="1"/>
    <xf numFmtId="0" fontId="4" fillId="5" borderId="13" xfId="0" applyFont="1" applyFill="1" applyBorder="1"/>
    <xf numFmtId="14" fontId="4" fillId="5" borderId="13" xfId="0" applyNumberFormat="1" applyFont="1" applyFill="1" applyBorder="1"/>
    <xf numFmtId="0" fontId="2" fillId="0" borderId="15" xfId="0" applyFont="1" applyBorder="1"/>
    <xf numFmtId="10" fontId="2" fillId="0" borderId="16" xfId="1" applyNumberFormat="1" applyFont="1" applyBorder="1"/>
    <xf numFmtId="0" fontId="5" fillId="0" borderId="0" xfId="0" applyFont="1"/>
    <xf numFmtId="14" fontId="5" fillId="0" borderId="0" xfId="0" applyNumberFormat="1" applyFont="1"/>
    <xf numFmtId="0" fontId="5" fillId="0" borderId="0" xfId="0" applyFont="1" applyFill="1" applyBorder="1"/>
    <xf numFmtId="0" fontId="7" fillId="0" borderId="0" xfId="2" applyFont="1"/>
    <xf numFmtId="0" fontId="5" fillId="0" borderId="0" xfId="0" applyNumberFormat="1" applyFont="1"/>
    <xf numFmtId="0" fontId="4" fillId="5" borderId="13" xfId="0" applyNumberFormat="1" applyFont="1" applyFill="1" applyBorder="1"/>
    <xf numFmtId="0" fontId="2" fillId="0" borderId="16" xfId="1" applyNumberFormat="1" applyFont="1" applyBorder="1"/>
    <xf numFmtId="10" fontId="5" fillId="0" borderId="0" xfId="1" applyNumberFormat="1" applyFont="1"/>
    <xf numFmtId="10" fontId="4" fillId="5" borderId="14" xfId="1" applyNumberFormat="1" applyFont="1" applyFill="1" applyBorder="1"/>
    <xf numFmtId="10" fontId="2" fillId="0" borderId="17" xfId="1" applyNumberFormat="1" applyFont="1" applyBorder="1"/>
    <xf numFmtId="0" fontId="7" fillId="0" borderId="0" xfId="2" applyFont="1" applyAlignment="1">
      <alignment horizontal="center"/>
    </xf>
    <xf numFmtId="0" fontId="7" fillId="0" borderId="2" xfId="2" applyFont="1" applyBorder="1"/>
    <xf numFmtId="0" fontId="7" fillId="7" borderId="4" xfId="2" applyFont="1" applyFill="1" applyBorder="1" applyAlignment="1">
      <alignment horizontal="center"/>
    </xf>
    <xf numFmtId="0" fontId="7" fillId="0" borderId="8" xfId="2" applyFont="1" applyBorder="1"/>
    <xf numFmtId="0" fontId="7" fillId="8" borderId="9" xfId="2" applyFont="1" applyFill="1" applyBorder="1" applyAlignment="1">
      <alignment horizontal="center"/>
    </xf>
    <xf numFmtId="0" fontId="7" fillId="0" borderId="10" xfId="2" applyFont="1" applyBorder="1"/>
    <xf numFmtId="0" fontId="7" fillId="8" borderId="11" xfId="2" applyFont="1" applyFill="1" applyBorder="1" applyAlignment="1">
      <alignment horizontal="center"/>
    </xf>
    <xf numFmtId="0" fontId="8" fillId="0" borderId="18" xfId="2" applyFont="1" applyBorder="1"/>
    <xf numFmtId="0" fontId="8" fillId="0" borderId="19" xfId="2" applyFont="1" applyBorder="1"/>
    <xf numFmtId="0" fontId="8" fillId="0" borderId="20" xfId="2" applyFont="1" applyBorder="1"/>
    <xf numFmtId="0" fontId="9" fillId="0" borderId="0" xfId="2" applyFont="1"/>
    <xf numFmtId="0" fontId="7" fillId="0" borderId="4" xfId="2" applyFont="1" applyBorder="1" applyAlignment="1">
      <alignment horizontal="center"/>
    </xf>
    <xf numFmtId="0" fontId="10" fillId="0" borderId="8" xfId="2" applyFont="1" applyBorder="1" applyAlignment="1">
      <alignment horizontal="centerContinuous"/>
    </xf>
    <xf numFmtId="0" fontId="10" fillId="0" borderId="9" xfId="2" applyFont="1" applyBorder="1" applyAlignment="1">
      <alignment horizontal="centerContinuous"/>
    </xf>
    <xf numFmtId="0" fontId="7" fillId="0" borderId="9" xfId="2" applyFont="1" applyBorder="1" applyAlignment="1">
      <alignment horizontal="center"/>
    </xf>
    <xf numFmtId="0" fontId="7" fillId="0" borderId="11" xfId="2" applyFont="1" applyBorder="1" applyAlignment="1">
      <alignment horizontal="center"/>
    </xf>
    <xf numFmtId="9" fontId="7" fillId="0" borderId="9" xfId="2" applyNumberFormat="1" applyFont="1" applyBorder="1" applyAlignment="1">
      <alignment horizontal="center"/>
    </xf>
    <xf numFmtId="10" fontId="7" fillId="0" borderId="9" xfId="1" applyNumberFormat="1" applyFont="1" applyBorder="1" applyAlignment="1">
      <alignment horizontal="center"/>
    </xf>
    <xf numFmtId="0" fontId="8" fillId="0" borderId="8" xfId="2" applyFont="1" applyBorder="1" applyAlignment="1">
      <alignment horizontal="left" indent="1"/>
    </xf>
    <xf numFmtId="0" fontId="2" fillId="9" borderId="1" xfId="1" applyNumberFormat="1" applyFont="1" applyFill="1" applyBorder="1" applyAlignment="1">
      <alignment horizontal="center"/>
    </xf>
    <xf numFmtId="14" fontId="0" fillId="0" borderId="0" xfId="0" applyNumberFormat="1"/>
    <xf numFmtId="10" fontId="2" fillId="0" borderId="0" xfId="0" applyNumberFormat="1" applyFont="1"/>
    <xf numFmtId="0" fontId="0" fillId="10" borderId="21" xfId="0" applyFont="1" applyFill="1" applyBorder="1"/>
    <xf numFmtId="0" fontId="0" fillId="0" borderId="21" xfId="0" applyFont="1" applyBorder="1"/>
    <xf numFmtId="164" fontId="0" fillId="0" borderId="0" xfId="0" applyNumberFormat="1"/>
    <xf numFmtId="1" fontId="0" fillId="0" borderId="0" xfId="0" applyNumberFormat="1"/>
    <xf numFmtId="0" fontId="0" fillId="11" borderId="22" xfId="0" applyFill="1" applyBorder="1"/>
    <xf numFmtId="0" fontId="0" fillId="12" borderId="22" xfId="0" applyFill="1" applyBorder="1"/>
    <xf numFmtId="171" fontId="0" fillId="0" borderId="0" xfId="0" applyNumberFormat="1"/>
    <xf numFmtId="0" fontId="0" fillId="9" borderId="0" xfId="0" applyFill="1" applyBorder="1"/>
    <xf numFmtId="0" fontId="0" fillId="8" borderId="0" xfId="0" applyFill="1"/>
    <xf numFmtId="0" fontId="0" fillId="13" borderId="0" xfId="0" applyFill="1"/>
    <xf numFmtId="0" fontId="2" fillId="14" borderId="15" xfId="0" applyFont="1" applyFill="1" applyBorder="1"/>
    <xf numFmtId="0" fontId="0" fillId="15" borderId="21" xfId="0" applyFont="1" applyFill="1" applyBorder="1"/>
    <xf numFmtId="14" fontId="0" fillId="14" borderId="0" xfId="0" applyNumberFormat="1" applyFill="1"/>
    <xf numFmtId="0" fontId="0" fillId="14" borderId="0" xfId="0" applyFill="1"/>
    <xf numFmtId="0" fontId="2" fillId="14" borderId="16" xfId="1" applyNumberFormat="1" applyFont="1" applyFill="1" applyBorder="1"/>
    <xf numFmtId="10" fontId="2" fillId="14" borderId="16" xfId="1" applyNumberFormat="1" applyFont="1" applyFill="1" applyBorder="1"/>
    <xf numFmtId="0" fontId="4" fillId="5" borderId="13" xfId="0" applyFont="1" applyFill="1" applyBorder="1" applyAlignment="1">
      <alignment horizontal="center"/>
    </xf>
    <xf numFmtId="0" fontId="0" fillId="14" borderId="21" xfId="0" applyFont="1" applyFill="1" applyBorder="1"/>
    <xf numFmtId="0" fontId="2" fillId="14" borderId="0" xfId="0" applyFont="1" applyFill="1"/>
    <xf numFmtId="173" fontId="0" fillId="0" borderId="0" xfId="0" applyNumberFormat="1"/>
    <xf numFmtId="0" fontId="0" fillId="16" borderId="0" xfId="0" applyFill="1"/>
  </cellXfs>
  <cellStyles count="4">
    <cellStyle name="Comma 2" xfId="3"/>
    <cellStyle name="Normal" xfId="0" builtinId="0"/>
    <cellStyle name="Normal 2" xfId="2"/>
    <cellStyle name="Percent" xfId="1" builtinId="5"/>
  </cellStyles>
  <dxfs count="0"/>
  <tableStyles count="0" defaultTableStyle="TableStyleMedium2" defaultPivotStyle="PivotStyleLight16"/>
  <colors>
    <mruColors>
      <color rgb="FFFF0066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GRAPHS!$C$3</c:f>
          <c:strCache>
            <c:ptCount val="1"/>
            <c:pt idx="0">
              <c:v>EWMA VaR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Returns</c:v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numRef>
              <c:f>[0]!dates_graph</c:f>
              <c:numCache>
                <c:formatCode>dd-mm-yy</c:formatCode>
                <c:ptCount val="1220"/>
                <c:pt idx="0">
                  <c:v>41326</c:v>
                </c:pt>
                <c:pt idx="1">
                  <c:v>41327</c:v>
                </c:pt>
                <c:pt idx="2">
                  <c:v>41330</c:v>
                </c:pt>
                <c:pt idx="3">
                  <c:v>41331</c:v>
                </c:pt>
                <c:pt idx="4">
                  <c:v>41332</c:v>
                </c:pt>
                <c:pt idx="5">
                  <c:v>41333</c:v>
                </c:pt>
                <c:pt idx="6">
                  <c:v>41334</c:v>
                </c:pt>
                <c:pt idx="7">
                  <c:v>41337</c:v>
                </c:pt>
                <c:pt idx="8">
                  <c:v>41338</c:v>
                </c:pt>
                <c:pt idx="9">
                  <c:v>41339</c:v>
                </c:pt>
                <c:pt idx="10">
                  <c:v>41340</c:v>
                </c:pt>
                <c:pt idx="11">
                  <c:v>41341</c:v>
                </c:pt>
                <c:pt idx="12">
                  <c:v>41344</c:v>
                </c:pt>
                <c:pt idx="13">
                  <c:v>41345</c:v>
                </c:pt>
                <c:pt idx="14">
                  <c:v>41346</c:v>
                </c:pt>
                <c:pt idx="15">
                  <c:v>41347</c:v>
                </c:pt>
                <c:pt idx="16">
                  <c:v>41348</c:v>
                </c:pt>
                <c:pt idx="17">
                  <c:v>41351</c:v>
                </c:pt>
                <c:pt idx="18">
                  <c:v>41352</c:v>
                </c:pt>
                <c:pt idx="19">
                  <c:v>41353</c:v>
                </c:pt>
                <c:pt idx="20">
                  <c:v>41354</c:v>
                </c:pt>
                <c:pt idx="21">
                  <c:v>41355</c:v>
                </c:pt>
                <c:pt idx="22">
                  <c:v>41358</c:v>
                </c:pt>
                <c:pt idx="23">
                  <c:v>41359</c:v>
                </c:pt>
                <c:pt idx="24">
                  <c:v>41360</c:v>
                </c:pt>
                <c:pt idx="25">
                  <c:v>41361</c:v>
                </c:pt>
                <c:pt idx="26">
                  <c:v>41365</c:v>
                </c:pt>
                <c:pt idx="27">
                  <c:v>41366</c:v>
                </c:pt>
                <c:pt idx="28">
                  <c:v>41367</c:v>
                </c:pt>
                <c:pt idx="29">
                  <c:v>41368</c:v>
                </c:pt>
                <c:pt idx="30">
                  <c:v>41369</c:v>
                </c:pt>
                <c:pt idx="31">
                  <c:v>41372</c:v>
                </c:pt>
                <c:pt idx="32">
                  <c:v>41373</c:v>
                </c:pt>
                <c:pt idx="33">
                  <c:v>41374</c:v>
                </c:pt>
                <c:pt idx="34">
                  <c:v>41375</c:v>
                </c:pt>
                <c:pt idx="35">
                  <c:v>41376</c:v>
                </c:pt>
                <c:pt idx="36">
                  <c:v>41379</c:v>
                </c:pt>
                <c:pt idx="37">
                  <c:v>41380</c:v>
                </c:pt>
                <c:pt idx="38">
                  <c:v>41381</c:v>
                </c:pt>
                <c:pt idx="39">
                  <c:v>41382</c:v>
                </c:pt>
                <c:pt idx="40">
                  <c:v>41383</c:v>
                </c:pt>
                <c:pt idx="41">
                  <c:v>41386</c:v>
                </c:pt>
                <c:pt idx="42">
                  <c:v>41387</c:v>
                </c:pt>
                <c:pt idx="43">
                  <c:v>41388</c:v>
                </c:pt>
                <c:pt idx="44">
                  <c:v>41389</c:v>
                </c:pt>
                <c:pt idx="45">
                  <c:v>41390</c:v>
                </c:pt>
                <c:pt idx="46">
                  <c:v>41393</c:v>
                </c:pt>
                <c:pt idx="47">
                  <c:v>41394</c:v>
                </c:pt>
                <c:pt idx="48">
                  <c:v>41395</c:v>
                </c:pt>
                <c:pt idx="49">
                  <c:v>41396</c:v>
                </c:pt>
                <c:pt idx="50">
                  <c:v>41397</c:v>
                </c:pt>
                <c:pt idx="51">
                  <c:v>41400</c:v>
                </c:pt>
                <c:pt idx="52">
                  <c:v>41401</c:v>
                </c:pt>
                <c:pt idx="53">
                  <c:v>41402</c:v>
                </c:pt>
                <c:pt idx="54">
                  <c:v>41403</c:v>
                </c:pt>
                <c:pt idx="55">
                  <c:v>41404</c:v>
                </c:pt>
                <c:pt idx="56">
                  <c:v>41407</c:v>
                </c:pt>
                <c:pt idx="57">
                  <c:v>41408</c:v>
                </c:pt>
                <c:pt idx="58">
                  <c:v>41409</c:v>
                </c:pt>
                <c:pt idx="59">
                  <c:v>41410</c:v>
                </c:pt>
                <c:pt idx="60">
                  <c:v>41411</c:v>
                </c:pt>
                <c:pt idx="61">
                  <c:v>41414</c:v>
                </c:pt>
                <c:pt idx="62">
                  <c:v>41415</c:v>
                </c:pt>
                <c:pt idx="63">
                  <c:v>41416</c:v>
                </c:pt>
                <c:pt idx="64">
                  <c:v>41417</c:v>
                </c:pt>
                <c:pt idx="65">
                  <c:v>41418</c:v>
                </c:pt>
                <c:pt idx="66">
                  <c:v>41422</c:v>
                </c:pt>
                <c:pt idx="67">
                  <c:v>41423</c:v>
                </c:pt>
                <c:pt idx="68">
                  <c:v>41424</c:v>
                </c:pt>
                <c:pt idx="69">
                  <c:v>41425</c:v>
                </c:pt>
                <c:pt idx="70">
                  <c:v>41428</c:v>
                </c:pt>
                <c:pt idx="71">
                  <c:v>41429</c:v>
                </c:pt>
                <c:pt idx="72">
                  <c:v>41430</c:v>
                </c:pt>
                <c:pt idx="73">
                  <c:v>41431</c:v>
                </c:pt>
                <c:pt idx="74">
                  <c:v>41432</c:v>
                </c:pt>
                <c:pt idx="75">
                  <c:v>41435</c:v>
                </c:pt>
                <c:pt idx="76">
                  <c:v>41436</c:v>
                </c:pt>
                <c:pt idx="77">
                  <c:v>41437</c:v>
                </c:pt>
                <c:pt idx="78">
                  <c:v>41438</c:v>
                </c:pt>
                <c:pt idx="79">
                  <c:v>41439</c:v>
                </c:pt>
                <c:pt idx="80">
                  <c:v>41442</c:v>
                </c:pt>
                <c:pt idx="81">
                  <c:v>41443</c:v>
                </c:pt>
                <c:pt idx="82">
                  <c:v>41444</c:v>
                </c:pt>
                <c:pt idx="83">
                  <c:v>41445</c:v>
                </c:pt>
                <c:pt idx="84">
                  <c:v>41446</c:v>
                </c:pt>
                <c:pt idx="85">
                  <c:v>41449</c:v>
                </c:pt>
                <c:pt idx="86">
                  <c:v>41450</c:v>
                </c:pt>
                <c:pt idx="87">
                  <c:v>41451</c:v>
                </c:pt>
                <c:pt idx="88">
                  <c:v>41452</c:v>
                </c:pt>
                <c:pt idx="89">
                  <c:v>41453</c:v>
                </c:pt>
                <c:pt idx="90">
                  <c:v>41456</c:v>
                </c:pt>
                <c:pt idx="91">
                  <c:v>41457</c:v>
                </c:pt>
                <c:pt idx="92">
                  <c:v>41458</c:v>
                </c:pt>
                <c:pt idx="93">
                  <c:v>41460</c:v>
                </c:pt>
                <c:pt idx="94">
                  <c:v>41463</c:v>
                </c:pt>
                <c:pt idx="95">
                  <c:v>41464</c:v>
                </c:pt>
                <c:pt idx="96">
                  <c:v>41465</c:v>
                </c:pt>
                <c:pt idx="97">
                  <c:v>41466</c:v>
                </c:pt>
                <c:pt idx="98">
                  <c:v>41467</c:v>
                </c:pt>
                <c:pt idx="99">
                  <c:v>41470</c:v>
                </c:pt>
                <c:pt idx="100">
                  <c:v>41471</c:v>
                </c:pt>
                <c:pt idx="101">
                  <c:v>41472</c:v>
                </c:pt>
                <c:pt idx="102">
                  <c:v>41473</c:v>
                </c:pt>
                <c:pt idx="103">
                  <c:v>41474</c:v>
                </c:pt>
                <c:pt idx="104">
                  <c:v>41477</c:v>
                </c:pt>
                <c:pt idx="105">
                  <c:v>41478</c:v>
                </c:pt>
                <c:pt idx="106">
                  <c:v>41479</c:v>
                </c:pt>
                <c:pt idx="107">
                  <c:v>41480</c:v>
                </c:pt>
                <c:pt idx="108">
                  <c:v>41481</c:v>
                </c:pt>
                <c:pt idx="109">
                  <c:v>41484</c:v>
                </c:pt>
                <c:pt idx="110">
                  <c:v>41485</c:v>
                </c:pt>
                <c:pt idx="111">
                  <c:v>41486</c:v>
                </c:pt>
                <c:pt idx="112">
                  <c:v>41487</c:v>
                </c:pt>
                <c:pt idx="113">
                  <c:v>41488</c:v>
                </c:pt>
                <c:pt idx="114">
                  <c:v>41491</c:v>
                </c:pt>
                <c:pt idx="115">
                  <c:v>41492</c:v>
                </c:pt>
                <c:pt idx="116">
                  <c:v>41493</c:v>
                </c:pt>
                <c:pt idx="117">
                  <c:v>41494</c:v>
                </c:pt>
                <c:pt idx="118">
                  <c:v>41495</c:v>
                </c:pt>
                <c:pt idx="119">
                  <c:v>41498</c:v>
                </c:pt>
                <c:pt idx="120">
                  <c:v>41499</c:v>
                </c:pt>
                <c:pt idx="121">
                  <c:v>41500</c:v>
                </c:pt>
                <c:pt idx="122">
                  <c:v>41501</c:v>
                </c:pt>
                <c:pt idx="123">
                  <c:v>41502</c:v>
                </c:pt>
                <c:pt idx="124">
                  <c:v>41505</c:v>
                </c:pt>
                <c:pt idx="125">
                  <c:v>41506</c:v>
                </c:pt>
                <c:pt idx="126">
                  <c:v>41507</c:v>
                </c:pt>
                <c:pt idx="127">
                  <c:v>41508</c:v>
                </c:pt>
                <c:pt idx="128">
                  <c:v>41509</c:v>
                </c:pt>
                <c:pt idx="129">
                  <c:v>41512</c:v>
                </c:pt>
                <c:pt idx="130">
                  <c:v>41513</c:v>
                </c:pt>
                <c:pt idx="131">
                  <c:v>41514</c:v>
                </c:pt>
                <c:pt idx="132">
                  <c:v>41515</c:v>
                </c:pt>
                <c:pt idx="133">
                  <c:v>41516</c:v>
                </c:pt>
                <c:pt idx="134">
                  <c:v>41520</c:v>
                </c:pt>
                <c:pt idx="135">
                  <c:v>41521</c:v>
                </c:pt>
                <c:pt idx="136">
                  <c:v>41522</c:v>
                </c:pt>
                <c:pt idx="137">
                  <c:v>41523</c:v>
                </c:pt>
                <c:pt idx="138">
                  <c:v>41526</c:v>
                </c:pt>
                <c:pt idx="139">
                  <c:v>41527</c:v>
                </c:pt>
                <c:pt idx="140">
                  <c:v>41528</c:v>
                </c:pt>
                <c:pt idx="141">
                  <c:v>41529</c:v>
                </c:pt>
                <c:pt idx="142">
                  <c:v>41530</c:v>
                </c:pt>
                <c:pt idx="143">
                  <c:v>41533</c:v>
                </c:pt>
                <c:pt idx="144">
                  <c:v>41534</c:v>
                </c:pt>
                <c:pt idx="145">
                  <c:v>41535</c:v>
                </c:pt>
                <c:pt idx="146">
                  <c:v>41536</c:v>
                </c:pt>
                <c:pt idx="147">
                  <c:v>41537</c:v>
                </c:pt>
                <c:pt idx="148">
                  <c:v>41540</c:v>
                </c:pt>
                <c:pt idx="149">
                  <c:v>41541</c:v>
                </c:pt>
                <c:pt idx="150">
                  <c:v>41542</c:v>
                </c:pt>
                <c:pt idx="151">
                  <c:v>41543</c:v>
                </c:pt>
                <c:pt idx="152">
                  <c:v>41544</c:v>
                </c:pt>
                <c:pt idx="153">
                  <c:v>41547</c:v>
                </c:pt>
                <c:pt idx="154">
                  <c:v>41548</c:v>
                </c:pt>
                <c:pt idx="155">
                  <c:v>41549</c:v>
                </c:pt>
                <c:pt idx="156">
                  <c:v>41550</c:v>
                </c:pt>
                <c:pt idx="157">
                  <c:v>41551</c:v>
                </c:pt>
                <c:pt idx="158">
                  <c:v>41554</c:v>
                </c:pt>
                <c:pt idx="159">
                  <c:v>41555</c:v>
                </c:pt>
                <c:pt idx="160">
                  <c:v>41556</c:v>
                </c:pt>
                <c:pt idx="161">
                  <c:v>41557</c:v>
                </c:pt>
                <c:pt idx="162">
                  <c:v>41558</c:v>
                </c:pt>
                <c:pt idx="163">
                  <c:v>41561</c:v>
                </c:pt>
                <c:pt idx="164">
                  <c:v>41562</c:v>
                </c:pt>
                <c:pt idx="165">
                  <c:v>41563</c:v>
                </c:pt>
                <c:pt idx="166">
                  <c:v>41564</c:v>
                </c:pt>
                <c:pt idx="167">
                  <c:v>41565</c:v>
                </c:pt>
                <c:pt idx="168">
                  <c:v>41568</c:v>
                </c:pt>
                <c:pt idx="169">
                  <c:v>41569</c:v>
                </c:pt>
                <c:pt idx="170">
                  <c:v>41570</c:v>
                </c:pt>
                <c:pt idx="171">
                  <c:v>41571</c:v>
                </c:pt>
                <c:pt idx="172">
                  <c:v>41572</c:v>
                </c:pt>
                <c:pt idx="173">
                  <c:v>41575</c:v>
                </c:pt>
                <c:pt idx="174">
                  <c:v>41576</c:v>
                </c:pt>
                <c:pt idx="175">
                  <c:v>41577</c:v>
                </c:pt>
                <c:pt idx="176">
                  <c:v>41578</c:v>
                </c:pt>
                <c:pt idx="177">
                  <c:v>41579</c:v>
                </c:pt>
                <c:pt idx="178">
                  <c:v>41582</c:v>
                </c:pt>
                <c:pt idx="179">
                  <c:v>41583</c:v>
                </c:pt>
                <c:pt idx="180">
                  <c:v>41584</c:v>
                </c:pt>
                <c:pt idx="181">
                  <c:v>41585</c:v>
                </c:pt>
                <c:pt idx="182">
                  <c:v>41586</c:v>
                </c:pt>
                <c:pt idx="183">
                  <c:v>41589</c:v>
                </c:pt>
                <c:pt idx="184">
                  <c:v>41590</c:v>
                </c:pt>
                <c:pt idx="185">
                  <c:v>41591</c:v>
                </c:pt>
                <c:pt idx="186">
                  <c:v>41592</c:v>
                </c:pt>
                <c:pt idx="187">
                  <c:v>41593</c:v>
                </c:pt>
                <c:pt idx="188">
                  <c:v>41596</c:v>
                </c:pt>
                <c:pt idx="189">
                  <c:v>41597</c:v>
                </c:pt>
                <c:pt idx="190">
                  <c:v>41598</c:v>
                </c:pt>
                <c:pt idx="191">
                  <c:v>41599</c:v>
                </c:pt>
                <c:pt idx="192">
                  <c:v>41600</c:v>
                </c:pt>
                <c:pt idx="193">
                  <c:v>41603</c:v>
                </c:pt>
                <c:pt idx="194">
                  <c:v>41604</c:v>
                </c:pt>
                <c:pt idx="195">
                  <c:v>41605</c:v>
                </c:pt>
                <c:pt idx="196">
                  <c:v>41607</c:v>
                </c:pt>
                <c:pt idx="197">
                  <c:v>41610</c:v>
                </c:pt>
                <c:pt idx="198">
                  <c:v>41611</c:v>
                </c:pt>
                <c:pt idx="199">
                  <c:v>41612</c:v>
                </c:pt>
                <c:pt idx="200">
                  <c:v>41613</c:v>
                </c:pt>
                <c:pt idx="201">
                  <c:v>41614</c:v>
                </c:pt>
                <c:pt idx="202">
                  <c:v>41617</c:v>
                </c:pt>
                <c:pt idx="203">
                  <c:v>41618</c:v>
                </c:pt>
                <c:pt idx="204">
                  <c:v>41619</c:v>
                </c:pt>
                <c:pt idx="205">
                  <c:v>41620</c:v>
                </c:pt>
                <c:pt idx="206">
                  <c:v>41621</c:v>
                </c:pt>
                <c:pt idx="207">
                  <c:v>41624</c:v>
                </c:pt>
                <c:pt idx="208">
                  <c:v>41625</c:v>
                </c:pt>
                <c:pt idx="209">
                  <c:v>41626</c:v>
                </c:pt>
                <c:pt idx="210">
                  <c:v>41627</c:v>
                </c:pt>
                <c:pt idx="211">
                  <c:v>41628</c:v>
                </c:pt>
                <c:pt idx="212">
                  <c:v>41631</c:v>
                </c:pt>
                <c:pt idx="213">
                  <c:v>41632</c:v>
                </c:pt>
                <c:pt idx="214">
                  <c:v>41634</c:v>
                </c:pt>
                <c:pt idx="215">
                  <c:v>41635</c:v>
                </c:pt>
                <c:pt idx="216">
                  <c:v>41638</c:v>
                </c:pt>
                <c:pt idx="217">
                  <c:v>41639</c:v>
                </c:pt>
                <c:pt idx="218">
                  <c:v>41641</c:v>
                </c:pt>
                <c:pt idx="219">
                  <c:v>41642</c:v>
                </c:pt>
                <c:pt idx="220">
                  <c:v>41645</c:v>
                </c:pt>
                <c:pt idx="221">
                  <c:v>41646</c:v>
                </c:pt>
                <c:pt idx="222">
                  <c:v>41647</c:v>
                </c:pt>
                <c:pt idx="223">
                  <c:v>41648</c:v>
                </c:pt>
                <c:pt idx="224">
                  <c:v>41649</c:v>
                </c:pt>
                <c:pt idx="225">
                  <c:v>41652</c:v>
                </c:pt>
                <c:pt idx="226">
                  <c:v>41653</c:v>
                </c:pt>
                <c:pt idx="227">
                  <c:v>41654</c:v>
                </c:pt>
                <c:pt idx="228">
                  <c:v>41655</c:v>
                </c:pt>
                <c:pt idx="229">
                  <c:v>41656</c:v>
                </c:pt>
                <c:pt idx="230">
                  <c:v>41660</c:v>
                </c:pt>
                <c:pt idx="231">
                  <c:v>41661</c:v>
                </c:pt>
                <c:pt idx="232">
                  <c:v>41662</c:v>
                </c:pt>
                <c:pt idx="233">
                  <c:v>41663</c:v>
                </c:pt>
                <c:pt idx="234">
                  <c:v>41666</c:v>
                </c:pt>
                <c:pt idx="235">
                  <c:v>41667</c:v>
                </c:pt>
                <c:pt idx="236">
                  <c:v>41668</c:v>
                </c:pt>
                <c:pt idx="237">
                  <c:v>41669</c:v>
                </c:pt>
                <c:pt idx="238">
                  <c:v>41670</c:v>
                </c:pt>
                <c:pt idx="239">
                  <c:v>41673</c:v>
                </c:pt>
                <c:pt idx="240">
                  <c:v>41674</c:v>
                </c:pt>
                <c:pt idx="241">
                  <c:v>41675</c:v>
                </c:pt>
                <c:pt idx="242">
                  <c:v>41676</c:v>
                </c:pt>
                <c:pt idx="243">
                  <c:v>41677</c:v>
                </c:pt>
                <c:pt idx="244">
                  <c:v>41680</c:v>
                </c:pt>
                <c:pt idx="245">
                  <c:v>41681</c:v>
                </c:pt>
                <c:pt idx="246">
                  <c:v>41682</c:v>
                </c:pt>
                <c:pt idx="247">
                  <c:v>41683</c:v>
                </c:pt>
                <c:pt idx="248">
                  <c:v>41684</c:v>
                </c:pt>
                <c:pt idx="249">
                  <c:v>41688</c:v>
                </c:pt>
                <c:pt idx="250">
                  <c:v>41689</c:v>
                </c:pt>
                <c:pt idx="251">
                  <c:v>41690</c:v>
                </c:pt>
                <c:pt idx="252">
                  <c:v>41691</c:v>
                </c:pt>
                <c:pt idx="253">
                  <c:v>41694</c:v>
                </c:pt>
                <c:pt idx="254">
                  <c:v>41695</c:v>
                </c:pt>
                <c:pt idx="255">
                  <c:v>41696</c:v>
                </c:pt>
                <c:pt idx="256">
                  <c:v>41697</c:v>
                </c:pt>
                <c:pt idx="257">
                  <c:v>41698</c:v>
                </c:pt>
                <c:pt idx="258">
                  <c:v>41701</c:v>
                </c:pt>
                <c:pt idx="259">
                  <c:v>41702</c:v>
                </c:pt>
                <c:pt idx="260">
                  <c:v>41703</c:v>
                </c:pt>
                <c:pt idx="261">
                  <c:v>41704</c:v>
                </c:pt>
                <c:pt idx="262">
                  <c:v>41705</c:v>
                </c:pt>
                <c:pt idx="263">
                  <c:v>41708</c:v>
                </c:pt>
                <c:pt idx="264">
                  <c:v>41709</c:v>
                </c:pt>
                <c:pt idx="265">
                  <c:v>41710</c:v>
                </c:pt>
                <c:pt idx="266">
                  <c:v>41711</c:v>
                </c:pt>
                <c:pt idx="267">
                  <c:v>41712</c:v>
                </c:pt>
                <c:pt idx="268">
                  <c:v>41715</c:v>
                </c:pt>
                <c:pt idx="269">
                  <c:v>41716</c:v>
                </c:pt>
                <c:pt idx="270">
                  <c:v>41717</c:v>
                </c:pt>
                <c:pt idx="271">
                  <c:v>41718</c:v>
                </c:pt>
                <c:pt idx="272">
                  <c:v>41719</c:v>
                </c:pt>
                <c:pt idx="273">
                  <c:v>41722</c:v>
                </c:pt>
                <c:pt idx="274">
                  <c:v>41723</c:v>
                </c:pt>
                <c:pt idx="275">
                  <c:v>41724</c:v>
                </c:pt>
                <c:pt idx="276">
                  <c:v>41725</c:v>
                </c:pt>
                <c:pt idx="277">
                  <c:v>41726</c:v>
                </c:pt>
                <c:pt idx="278">
                  <c:v>41729</c:v>
                </c:pt>
                <c:pt idx="279">
                  <c:v>41730</c:v>
                </c:pt>
                <c:pt idx="280">
                  <c:v>41731</c:v>
                </c:pt>
                <c:pt idx="281">
                  <c:v>41732</c:v>
                </c:pt>
                <c:pt idx="282">
                  <c:v>41733</c:v>
                </c:pt>
                <c:pt idx="283">
                  <c:v>41736</c:v>
                </c:pt>
                <c:pt idx="284">
                  <c:v>41737</c:v>
                </c:pt>
                <c:pt idx="285">
                  <c:v>41738</c:v>
                </c:pt>
                <c:pt idx="286">
                  <c:v>41739</c:v>
                </c:pt>
                <c:pt idx="287">
                  <c:v>41740</c:v>
                </c:pt>
                <c:pt idx="288">
                  <c:v>41743</c:v>
                </c:pt>
                <c:pt idx="289">
                  <c:v>41744</c:v>
                </c:pt>
                <c:pt idx="290">
                  <c:v>41745</c:v>
                </c:pt>
                <c:pt idx="291">
                  <c:v>41746</c:v>
                </c:pt>
                <c:pt idx="292">
                  <c:v>41750</c:v>
                </c:pt>
                <c:pt idx="293">
                  <c:v>41751</c:v>
                </c:pt>
                <c:pt idx="294">
                  <c:v>41752</c:v>
                </c:pt>
                <c:pt idx="295">
                  <c:v>41753</c:v>
                </c:pt>
                <c:pt idx="296">
                  <c:v>41754</c:v>
                </c:pt>
                <c:pt idx="297">
                  <c:v>41757</c:v>
                </c:pt>
                <c:pt idx="298">
                  <c:v>41758</c:v>
                </c:pt>
                <c:pt idx="299">
                  <c:v>41759</c:v>
                </c:pt>
                <c:pt idx="300">
                  <c:v>41760</c:v>
                </c:pt>
                <c:pt idx="301">
                  <c:v>41761</c:v>
                </c:pt>
                <c:pt idx="302">
                  <c:v>41764</c:v>
                </c:pt>
                <c:pt idx="303">
                  <c:v>41765</c:v>
                </c:pt>
                <c:pt idx="304">
                  <c:v>41766</c:v>
                </c:pt>
                <c:pt idx="305">
                  <c:v>41767</c:v>
                </c:pt>
                <c:pt idx="306">
                  <c:v>41768</c:v>
                </c:pt>
                <c:pt idx="307">
                  <c:v>41771</c:v>
                </c:pt>
                <c:pt idx="308">
                  <c:v>41772</c:v>
                </c:pt>
                <c:pt idx="309">
                  <c:v>41773</c:v>
                </c:pt>
                <c:pt idx="310">
                  <c:v>41774</c:v>
                </c:pt>
                <c:pt idx="311">
                  <c:v>41775</c:v>
                </c:pt>
                <c:pt idx="312">
                  <c:v>41778</c:v>
                </c:pt>
                <c:pt idx="313">
                  <c:v>41779</c:v>
                </c:pt>
                <c:pt idx="314">
                  <c:v>41780</c:v>
                </c:pt>
                <c:pt idx="315">
                  <c:v>41781</c:v>
                </c:pt>
                <c:pt idx="316">
                  <c:v>41782</c:v>
                </c:pt>
                <c:pt idx="317">
                  <c:v>41786</c:v>
                </c:pt>
                <c:pt idx="318">
                  <c:v>41787</c:v>
                </c:pt>
                <c:pt idx="319">
                  <c:v>41788</c:v>
                </c:pt>
                <c:pt idx="320">
                  <c:v>41789</c:v>
                </c:pt>
                <c:pt idx="321">
                  <c:v>41792</c:v>
                </c:pt>
                <c:pt idx="322">
                  <c:v>41793</c:v>
                </c:pt>
                <c:pt idx="323">
                  <c:v>41794</c:v>
                </c:pt>
                <c:pt idx="324">
                  <c:v>41795</c:v>
                </c:pt>
                <c:pt idx="325">
                  <c:v>41796</c:v>
                </c:pt>
                <c:pt idx="326">
                  <c:v>41799</c:v>
                </c:pt>
                <c:pt idx="327">
                  <c:v>41800</c:v>
                </c:pt>
                <c:pt idx="328">
                  <c:v>41801</c:v>
                </c:pt>
                <c:pt idx="329">
                  <c:v>41802</c:v>
                </c:pt>
                <c:pt idx="330">
                  <c:v>41803</c:v>
                </c:pt>
                <c:pt idx="331">
                  <c:v>41806</c:v>
                </c:pt>
                <c:pt idx="332">
                  <c:v>41807</c:v>
                </c:pt>
                <c:pt idx="333">
                  <c:v>41808</c:v>
                </c:pt>
                <c:pt idx="334">
                  <c:v>41809</c:v>
                </c:pt>
                <c:pt idx="335">
                  <c:v>41810</c:v>
                </c:pt>
                <c:pt idx="336">
                  <c:v>41813</c:v>
                </c:pt>
                <c:pt idx="337">
                  <c:v>41814</c:v>
                </c:pt>
                <c:pt idx="338">
                  <c:v>41815</c:v>
                </c:pt>
                <c:pt idx="339">
                  <c:v>41816</c:v>
                </c:pt>
                <c:pt idx="340">
                  <c:v>41817</c:v>
                </c:pt>
                <c:pt idx="341">
                  <c:v>41820</c:v>
                </c:pt>
                <c:pt idx="342">
                  <c:v>41821</c:v>
                </c:pt>
                <c:pt idx="343">
                  <c:v>41822</c:v>
                </c:pt>
                <c:pt idx="344">
                  <c:v>41823</c:v>
                </c:pt>
                <c:pt idx="345">
                  <c:v>41827</c:v>
                </c:pt>
                <c:pt idx="346">
                  <c:v>41828</c:v>
                </c:pt>
                <c:pt idx="347">
                  <c:v>41829</c:v>
                </c:pt>
                <c:pt idx="348">
                  <c:v>41830</c:v>
                </c:pt>
                <c:pt idx="349">
                  <c:v>41831</c:v>
                </c:pt>
                <c:pt idx="350">
                  <c:v>41834</c:v>
                </c:pt>
                <c:pt idx="351">
                  <c:v>41835</c:v>
                </c:pt>
                <c:pt idx="352">
                  <c:v>41836</c:v>
                </c:pt>
                <c:pt idx="353">
                  <c:v>41837</c:v>
                </c:pt>
                <c:pt idx="354">
                  <c:v>41838</c:v>
                </c:pt>
                <c:pt idx="355">
                  <c:v>41841</c:v>
                </c:pt>
                <c:pt idx="356">
                  <c:v>41842</c:v>
                </c:pt>
                <c:pt idx="357">
                  <c:v>41843</c:v>
                </c:pt>
                <c:pt idx="358">
                  <c:v>41844</c:v>
                </c:pt>
                <c:pt idx="359">
                  <c:v>41845</c:v>
                </c:pt>
                <c:pt idx="360">
                  <c:v>41848</c:v>
                </c:pt>
                <c:pt idx="361">
                  <c:v>41849</c:v>
                </c:pt>
                <c:pt idx="362">
                  <c:v>41850</c:v>
                </c:pt>
                <c:pt idx="363">
                  <c:v>41851</c:v>
                </c:pt>
                <c:pt idx="364">
                  <c:v>41852</c:v>
                </c:pt>
                <c:pt idx="365">
                  <c:v>41855</c:v>
                </c:pt>
                <c:pt idx="366">
                  <c:v>41856</c:v>
                </c:pt>
                <c:pt idx="367">
                  <c:v>41857</c:v>
                </c:pt>
                <c:pt idx="368">
                  <c:v>41858</c:v>
                </c:pt>
                <c:pt idx="369">
                  <c:v>41859</c:v>
                </c:pt>
                <c:pt idx="370">
                  <c:v>41862</c:v>
                </c:pt>
                <c:pt idx="371">
                  <c:v>41863</c:v>
                </c:pt>
                <c:pt idx="372">
                  <c:v>41864</c:v>
                </c:pt>
                <c:pt idx="373">
                  <c:v>41865</c:v>
                </c:pt>
                <c:pt idx="374">
                  <c:v>41866</c:v>
                </c:pt>
                <c:pt idx="375">
                  <c:v>41869</c:v>
                </c:pt>
                <c:pt idx="376">
                  <c:v>41870</c:v>
                </c:pt>
                <c:pt idx="377">
                  <c:v>41871</c:v>
                </c:pt>
                <c:pt idx="378">
                  <c:v>41872</c:v>
                </c:pt>
                <c:pt idx="379">
                  <c:v>41873</c:v>
                </c:pt>
                <c:pt idx="380">
                  <c:v>41876</c:v>
                </c:pt>
                <c:pt idx="381">
                  <c:v>41877</c:v>
                </c:pt>
                <c:pt idx="382">
                  <c:v>41878</c:v>
                </c:pt>
                <c:pt idx="383">
                  <c:v>41879</c:v>
                </c:pt>
                <c:pt idx="384">
                  <c:v>41880</c:v>
                </c:pt>
                <c:pt idx="385">
                  <c:v>41884</c:v>
                </c:pt>
                <c:pt idx="386">
                  <c:v>41885</c:v>
                </c:pt>
                <c:pt idx="387">
                  <c:v>41886</c:v>
                </c:pt>
                <c:pt idx="388">
                  <c:v>41887</c:v>
                </c:pt>
                <c:pt idx="389">
                  <c:v>41890</c:v>
                </c:pt>
                <c:pt idx="390">
                  <c:v>41891</c:v>
                </c:pt>
                <c:pt idx="391">
                  <c:v>41892</c:v>
                </c:pt>
                <c:pt idx="392">
                  <c:v>41893</c:v>
                </c:pt>
                <c:pt idx="393">
                  <c:v>41894</c:v>
                </c:pt>
                <c:pt idx="394">
                  <c:v>41897</c:v>
                </c:pt>
                <c:pt idx="395">
                  <c:v>41898</c:v>
                </c:pt>
                <c:pt idx="396">
                  <c:v>41899</c:v>
                </c:pt>
                <c:pt idx="397">
                  <c:v>41900</c:v>
                </c:pt>
                <c:pt idx="398">
                  <c:v>41901</c:v>
                </c:pt>
                <c:pt idx="399">
                  <c:v>41904</c:v>
                </c:pt>
                <c:pt idx="400">
                  <c:v>41905</c:v>
                </c:pt>
                <c:pt idx="401">
                  <c:v>41906</c:v>
                </c:pt>
                <c:pt idx="402">
                  <c:v>41907</c:v>
                </c:pt>
                <c:pt idx="403">
                  <c:v>41908</c:v>
                </c:pt>
                <c:pt idx="404">
                  <c:v>41911</c:v>
                </c:pt>
                <c:pt idx="405">
                  <c:v>41912</c:v>
                </c:pt>
                <c:pt idx="406">
                  <c:v>41913</c:v>
                </c:pt>
                <c:pt idx="407">
                  <c:v>41914</c:v>
                </c:pt>
                <c:pt idx="408">
                  <c:v>41915</c:v>
                </c:pt>
                <c:pt idx="409">
                  <c:v>41918</c:v>
                </c:pt>
                <c:pt idx="410">
                  <c:v>41919</c:v>
                </c:pt>
                <c:pt idx="411">
                  <c:v>41920</c:v>
                </c:pt>
                <c:pt idx="412">
                  <c:v>41921</c:v>
                </c:pt>
                <c:pt idx="413">
                  <c:v>41922</c:v>
                </c:pt>
                <c:pt idx="414">
                  <c:v>41925</c:v>
                </c:pt>
                <c:pt idx="415">
                  <c:v>41926</c:v>
                </c:pt>
                <c:pt idx="416">
                  <c:v>41927</c:v>
                </c:pt>
                <c:pt idx="417">
                  <c:v>41928</c:v>
                </c:pt>
                <c:pt idx="418">
                  <c:v>41929</c:v>
                </c:pt>
                <c:pt idx="419">
                  <c:v>41932</c:v>
                </c:pt>
                <c:pt idx="420">
                  <c:v>41933</c:v>
                </c:pt>
                <c:pt idx="421">
                  <c:v>41934</c:v>
                </c:pt>
                <c:pt idx="422">
                  <c:v>41935</c:v>
                </c:pt>
                <c:pt idx="423">
                  <c:v>41936</c:v>
                </c:pt>
                <c:pt idx="424">
                  <c:v>41939</c:v>
                </c:pt>
                <c:pt idx="425">
                  <c:v>41940</c:v>
                </c:pt>
                <c:pt idx="426">
                  <c:v>41941</c:v>
                </c:pt>
                <c:pt idx="427">
                  <c:v>41942</c:v>
                </c:pt>
                <c:pt idx="428">
                  <c:v>41943</c:v>
                </c:pt>
                <c:pt idx="429">
                  <c:v>41946</c:v>
                </c:pt>
                <c:pt idx="430">
                  <c:v>41947</c:v>
                </c:pt>
                <c:pt idx="431">
                  <c:v>41948</c:v>
                </c:pt>
                <c:pt idx="432">
                  <c:v>41949</c:v>
                </c:pt>
                <c:pt idx="433">
                  <c:v>41950</c:v>
                </c:pt>
                <c:pt idx="434">
                  <c:v>41953</c:v>
                </c:pt>
                <c:pt idx="435">
                  <c:v>41954</c:v>
                </c:pt>
                <c:pt idx="436">
                  <c:v>41955</c:v>
                </c:pt>
                <c:pt idx="437">
                  <c:v>41956</c:v>
                </c:pt>
                <c:pt idx="438">
                  <c:v>41957</c:v>
                </c:pt>
                <c:pt idx="439">
                  <c:v>41960</c:v>
                </c:pt>
                <c:pt idx="440">
                  <c:v>41961</c:v>
                </c:pt>
                <c:pt idx="441">
                  <c:v>41962</c:v>
                </c:pt>
                <c:pt idx="442">
                  <c:v>41963</c:v>
                </c:pt>
                <c:pt idx="443">
                  <c:v>41964</c:v>
                </c:pt>
                <c:pt idx="444">
                  <c:v>41967</c:v>
                </c:pt>
                <c:pt idx="445">
                  <c:v>41968</c:v>
                </c:pt>
                <c:pt idx="446">
                  <c:v>41969</c:v>
                </c:pt>
                <c:pt idx="447">
                  <c:v>41971</c:v>
                </c:pt>
                <c:pt idx="448">
                  <c:v>41974</c:v>
                </c:pt>
                <c:pt idx="449">
                  <c:v>41975</c:v>
                </c:pt>
                <c:pt idx="450">
                  <c:v>41976</c:v>
                </c:pt>
                <c:pt idx="451">
                  <c:v>41977</c:v>
                </c:pt>
                <c:pt idx="452">
                  <c:v>41978</c:v>
                </c:pt>
                <c:pt idx="453">
                  <c:v>41981</c:v>
                </c:pt>
                <c:pt idx="454">
                  <c:v>41982</c:v>
                </c:pt>
                <c:pt idx="455">
                  <c:v>41983</c:v>
                </c:pt>
                <c:pt idx="456">
                  <c:v>41984</c:v>
                </c:pt>
                <c:pt idx="457">
                  <c:v>41985</c:v>
                </c:pt>
                <c:pt idx="458">
                  <c:v>41988</c:v>
                </c:pt>
                <c:pt idx="459">
                  <c:v>41989</c:v>
                </c:pt>
                <c:pt idx="460">
                  <c:v>41990</c:v>
                </c:pt>
                <c:pt idx="461">
                  <c:v>41991</c:v>
                </c:pt>
                <c:pt idx="462">
                  <c:v>41992</c:v>
                </c:pt>
                <c:pt idx="463">
                  <c:v>41995</c:v>
                </c:pt>
                <c:pt idx="464">
                  <c:v>41996</c:v>
                </c:pt>
                <c:pt idx="465">
                  <c:v>41997</c:v>
                </c:pt>
                <c:pt idx="466">
                  <c:v>41999</c:v>
                </c:pt>
                <c:pt idx="467">
                  <c:v>42002</c:v>
                </c:pt>
                <c:pt idx="468">
                  <c:v>42003</c:v>
                </c:pt>
                <c:pt idx="469">
                  <c:v>42004</c:v>
                </c:pt>
                <c:pt idx="470">
                  <c:v>42006</c:v>
                </c:pt>
                <c:pt idx="471">
                  <c:v>42009</c:v>
                </c:pt>
                <c:pt idx="472">
                  <c:v>42010</c:v>
                </c:pt>
                <c:pt idx="473">
                  <c:v>42011</c:v>
                </c:pt>
                <c:pt idx="474">
                  <c:v>42012</c:v>
                </c:pt>
                <c:pt idx="475">
                  <c:v>42013</c:v>
                </c:pt>
                <c:pt idx="476">
                  <c:v>42016</c:v>
                </c:pt>
                <c:pt idx="477">
                  <c:v>42017</c:v>
                </c:pt>
                <c:pt idx="478">
                  <c:v>42018</c:v>
                </c:pt>
                <c:pt idx="479">
                  <c:v>42019</c:v>
                </c:pt>
                <c:pt idx="480">
                  <c:v>42020</c:v>
                </c:pt>
                <c:pt idx="481">
                  <c:v>42024</c:v>
                </c:pt>
                <c:pt idx="482">
                  <c:v>42025</c:v>
                </c:pt>
                <c:pt idx="483">
                  <c:v>42026</c:v>
                </c:pt>
                <c:pt idx="484">
                  <c:v>42027</c:v>
                </c:pt>
                <c:pt idx="485">
                  <c:v>42030</c:v>
                </c:pt>
                <c:pt idx="486">
                  <c:v>42031</c:v>
                </c:pt>
                <c:pt idx="487">
                  <c:v>42032</c:v>
                </c:pt>
                <c:pt idx="488">
                  <c:v>42033</c:v>
                </c:pt>
                <c:pt idx="489">
                  <c:v>42034</c:v>
                </c:pt>
                <c:pt idx="490">
                  <c:v>42037</c:v>
                </c:pt>
                <c:pt idx="491">
                  <c:v>42038</c:v>
                </c:pt>
                <c:pt idx="492">
                  <c:v>42039</c:v>
                </c:pt>
                <c:pt idx="493">
                  <c:v>42040</c:v>
                </c:pt>
                <c:pt idx="494">
                  <c:v>42041</c:v>
                </c:pt>
                <c:pt idx="495">
                  <c:v>42044</c:v>
                </c:pt>
                <c:pt idx="496">
                  <c:v>42045</c:v>
                </c:pt>
                <c:pt idx="497">
                  <c:v>42046</c:v>
                </c:pt>
                <c:pt idx="498">
                  <c:v>42047</c:v>
                </c:pt>
                <c:pt idx="499">
                  <c:v>42048</c:v>
                </c:pt>
                <c:pt idx="500">
                  <c:v>42052</c:v>
                </c:pt>
                <c:pt idx="501">
                  <c:v>42053</c:v>
                </c:pt>
                <c:pt idx="502">
                  <c:v>42054</c:v>
                </c:pt>
                <c:pt idx="503">
                  <c:v>42055</c:v>
                </c:pt>
                <c:pt idx="504">
                  <c:v>42058</c:v>
                </c:pt>
                <c:pt idx="505">
                  <c:v>42059</c:v>
                </c:pt>
                <c:pt idx="506">
                  <c:v>42060</c:v>
                </c:pt>
                <c:pt idx="507">
                  <c:v>42061</c:v>
                </c:pt>
                <c:pt idx="508">
                  <c:v>42062</c:v>
                </c:pt>
                <c:pt idx="509">
                  <c:v>42065</c:v>
                </c:pt>
                <c:pt idx="510">
                  <c:v>42066</c:v>
                </c:pt>
                <c:pt idx="511">
                  <c:v>42067</c:v>
                </c:pt>
                <c:pt idx="512">
                  <c:v>42068</c:v>
                </c:pt>
                <c:pt idx="513">
                  <c:v>42069</c:v>
                </c:pt>
                <c:pt idx="514">
                  <c:v>42072</c:v>
                </c:pt>
                <c:pt idx="515">
                  <c:v>42073</c:v>
                </c:pt>
                <c:pt idx="516">
                  <c:v>42074</c:v>
                </c:pt>
                <c:pt idx="517">
                  <c:v>42075</c:v>
                </c:pt>
                <c:pt idx="518">
                  <c:v>42076</c:v>
                </c:pt>
                <c:pt idx="519">
                  <c:v>42079</c:v>
                </c:pt>
                <c:pt idx="520">
                  <c:v>42080</c:v>
                </c:pt>
                <c:pt idx="521">
                  <c:v>42081</c:v>
                </c:pt>
                <c:pt idx="522">
                  <c:v>42082</c:v>
                </c:pt>
                <c:pt idx="523">
                  <c:v>42083</c:v>
                </c:pt>
                <c:pt idx="524">
                  <c:v>42086</c:v>
                </c:pt>
                <c:pt idx="525">
                  <c:v>42087</c:v>
                </c:pt>
                <c:pt idx="526">
                  <c:v>42088</c:v>
                </c:pt>
                <c:pt idx="527">
                  <c:v>42089</c:v>
                </c:pt>
                <c:pt idx="528">
                  <c:v>42090</c:v>
                </c:pt>
                <c:pt idx="529">
                  <c:v>42093</c:v>
                </c:pt>
                <c:pt idx="530">
                  <c:v>42094</c:v>
                </c:pt>
                <c:pt idx="531">
                  <c:v>42095</c:v>
                </c:pt>
                <c:pt idx="532">
                  <c:v>42096</c:v>
                </c:pt>
                <c:pt idx="533">
                  <c:v>42100</c:v>
                </c:pt>
                <c:pt idx="534">
                  <c:v>42101</c:v>
                </c:pt>
                <c:pt idx="535">
                  <c:v>42102</c:v>
                </c:pt>
                <c:pt idx="536">
                  <c:v>42103</c:v>
                </c:pt>
                <c:pt idx="537">
                  <c:v>42104</c:v>
                </c:pt>
                <c:pt idx="538">
                  <c:v>42107</c:v>
                </c:pt>
                <c:pt idx="539">
                  <c:v>42108</c:v>
                </c:pt>
                <c:pt idx="540">
                  <c:v>42109</c:v>
                </c:pt>
                <c:pt idx="541">
                  <c:v>42110</c:v>
                </c:pt>
                <c:pt idx="542">
                  <c:v>42111</c:v>
                </c:pt>
                <c:pt idx="543">
                  <c:v>42114</c:v>
                </c:pt>
                <c:pt idx="544">
                  <c:v>42115</c:v>
                </c:pt>
                <c:pt idx="545">
                  <c:v>42116</c:v>
                </c:pt>
                <c:pt idx="546">
                  <c:v>42117</c:v>
                </c:pt>
                <c:pt idx="547">
                  <c:v>42118</c:v>
                </c:pt>
                <c:pt idx="548">
                  <c:v>42121</c:v>
                </c:pt>
                <c:pt idx="549">
                  <c:v>42122</c:v>
                </c:pt>
                <c:pt idx="550">
                  <c:v>42123</c:v>
                </c:pt>
                <c:pt idx="551">
                  <c:v>42124</c:v>
                </c:pt>
                <c:pt idx="552">
                  <c:v>42125</c:v>
                </c:pt>
                <c:pt idx="553">
                  <c:v>42128</c:v>
                </c:pt>
                <c:pt idx="554">
                  <c:v>42129</c:v>
                </c:pt>
                <c:pt idx="555">
                  <c:v>42130</c:v>
                </c:pt>
                <c:pt idx="556">
                  <c:v>42131</c:v>
                </c:pt>
                <c:pt idx="557">
                  <c:v>42132</c:v>
                </c:pt>
                <c:pt idx="558">
                  <c:v>42135</c:v>
                </c:pt>
                <c:pt idx="559">
                  <c:v>42136</c:v>
                </c:pt>
                <c:pt idx="560">
                  <c:v>42137</c:v>
                </c:pt>
                <c:pt idx="561">
                  <c:v>42138</c:v>
                </c:pt>
                <c:pt idx="562">
                  <c:v>42139</c:v>
                </c:pt>
                <c:pt idx="563">
                  <c:v>42142</c:v>
                </c:pt>
                <c:pt idx="564">
                  <c:v>42143</c:v>
                </c:pt>
                <c:pt idx="565">
                  <c:v>42144</c:v>
                </c:pt>
                <c:pt idx="566">
                  <c:v>42145</c:v>
                </c:pt>
                <c:pt idx="567">
                  <c:v>42146</c:v>
                </c:pt>
                <c:pt idx="568">
                  <c:v>42150</c:v>
                </c:pt>
                <c:pt idx="569">
                  <c:v>42151</c:v>
                </c:pt>
                <c:pt idx="570">
                  <c:v>42152</c:v>
                </c:pt>
                <c:pt idx="571">
                  <c:v>42153</c:v>
                </c:pt>
                <c:pt idx="572">
                  <c:v>42156</c:v>
                </c:pt>
                <c:pt idx="573">
                  <c:v>42157</c:v>
                </c:pt>
                <c:pt idx="574">
                  <c:v>42158</c:v>
                </c:pt>
                <c:pt idx="575">
                  <c:v>42159</c:v>
                </c:pt>
                <c:pt idx="576">
                  <c:v>42160</c:v>
                </c:pt>
                <c:pt idx="577">
                  <c:v>42163</c:v>
                </c:pt>
                <c:pt idx="578">
                  <c:v>42164</c:v>
                </c:pt>
                <c:pt idx="579">
                  <c:v>42165</c:v>
                </c:pt>
                <c:pt idx="580">
                  <c:v>42166</c:v>
                </c:pt>
                <c:pt idx="581">
                  <c:v>42167</c:v>
                </c:pt>
                <c:pt idx="582">
                  <c:v>42170</c:v>
                </c:pt>
                <c:pt idx="583">
                  <c:v>42171</c:v>
                </c:pt>
                <c:pt idx="584">
                  <c:v>42172</c:v>
                </c:pt>
                <c:pt idx="585">
                  <c:v>42173</c:v>
                </c:pt>
                <c:pt idx="586">
                  <c:v>42174</c:v>
                </c:pt>
                <c:pt idx="587">
                  <c:v>42177</c:v>
                </c:pt>
                <c:pt idx="588">
                  <c:v>42178</c:v>
                </c:pt>
                <c:pt idx="589">
                  <c:v>42179</c:v>
                </c:pt>
                <c:pt idx="590">
                  <c:v>42180</c:v>
                </c:pt>
                <c:pt idx="591">
                  <c:v>42181</c:v>
                </c:pt>
                <c:pt idx="592">
                  <c:v>42184</c:v>
                </c:pt>
                <c:pt idx="593">
                  <c:v>42185</c:v>
                </c:pt>
                <c:pt idx="594">
                  <c:v>42186</c:v>
                </c:pt>
                <c:pt idx="595">
                  <c:v>42187</c:v>
                </c:pt>
                <c:pt idx="596">
                  <c:v>42191</c:v>
                </c:pt>
                <c:pt idx="597">
                  <c:v>42192</c:v>
                </c:pt>
                <c:pt idx="598">
                  <c:v>42193</c:v>
                </c:pt>
                <c:pt idx="599">
                  <c:v>42194</c:v>
                </c:pt>
                <c:pt idx="600">
                  <c:v>42195</c:v>
                </c:pt>
                <c:pt idx="601">
                  <c:v>42198</c:v>
                </c:pt>
                <c:pt idx="602">
                  <c:v>42199</c:v>
                </c:pt>
                <c:pt idx="603">
                  <c:v>42200</c:v>
                </c:pt>
                <c:pt idx="604">
                  <c:v>42201</c:v>
                </c:pt>
                <c:pt idx="605">
                  <c:v>42202</c:v>
                </c:pt>
                <c:pt idx="606">
                  <c:v>42205</c:v>
                </c:pt>
                <c:pt idx="607">
                  <c:v>42206</c:v>
                </c:pt>
                <c:pt idx="608">
                  <c:v>42207</c:v>
                </c:pt>
                <c:pt idx="609">
                  <c:v>42208</c:v>
                </c:pt>
                <c:pt idx="610">
                  <c:v>42209</c:v>
                </c:pt>
                <c:pt idx="611">
                  <c:v>42212</c:v>
                </c:pt>
                <c:pt idx="612">
                  <c:v>42213</c:v>
                </c:pt>
                <c:pt idx="613">
                  <c:v>42214</c:v>
                </c:pt>
                <c:pt idx="614">
                  <c:v>42215</c:v>
                </c:pt>
                <c:pt idx="615">
                  <c:v>42216</c:v>
                </c:pt>
                <c:pt idx="616">
                  <c:v>42219</c:v>
                </c:pt>
                <c:pt idx="617">
                  <c:v>42220</c:v>
                </c:pt>
                <c:pt idx="618">
                  <c:v>42221</c:v>
                </c:pt>
                <c:pt idx="619">
                  <c:v>42222</c:v>
                </c:pt>
                <c:pt idx="620">
                  <c:v>42223</c:v>
                </c:pt>
                <c:pt idx="621">
                  <c:v>42226</c:v>
                </c:pt>
                <c:pt idx="622">
                  <c:v>42227</c:v>
                </c:pt>
                <c:pt idx="623">
                  <c:v>42228</c:v>
                </c:pt>
                <c:pt idx="624">
                  <c:v>42229</c:v>
                </c:pt>
                <c:pt idx="625">
                  <c:v>42230</c:v>
                </c:pt>
                <c:pt idx="626">
                  <c:v>42233</c:v>
                </c:pt>
                <c:pt idx="627">
                  <c:v>42234</c:v>
                </c:pt>
                <c:pt idx="628">
                  <c:v>42235</c:v>
                </c:pt>
                <c:pt idx="629">
                  <c:v>42236</c:v>
                </c:pt>
                <c:pt idx="630">
                  <c:v>42237</c:v>
                </c:pt>
                <c:pt idx="631">
                  <c:v>42240</c:v>
                </c:pt>
                <c:pt idx="632">
                  <c:v>42241</c:v>
                </c:pt>
                <c:pt idx="633">
                  <c:v>42242</c:v>
                </c:pt>
                <c:pt idx="634">
                  <c:v>42243</c:v>
                </c:pt>
                <c:pt idx="635">
                  <c:v>42244</c:v>
                </c:pt>
                <c:pt idx="636">
                  <c:v>42247</c:v>
                </c:pt>
                <c:pt idx="637">
                  <c:v>42248</c:v>
                </c:pt>
                <c:pt idx="638">
                  <c:v>42249</c:v>
                </c:pt>
                <c:pt idx="639">
                  <c:v>42250</c:v>
                </c:pt>
                <c:pt idx="640">
                  <c:v>42251</c:v>
                </c:pt>
                <c:pt idx="641">
                  <c:v>42255</c:v>
                </c:pt>
                <c:pt idx="642">
                  <c:v>42256</c:v>
                </c:pt>
                <c:pt idx="643">
                  <c:v>42257</c:v>
                </c:pt>
                <c:pt idx="644">
                  <c:v>42258</c:v>
                </c:pt>
                <c:pt idx="645">
                  <c:v>42261</c:v>
                </c:pt>
                <c:pt idx="646">
                  <c:v>42262</c:v>
                </c:pt>
                <c:pt idx="647">
                  <c:v>42263</c:v>
                </c:pt>
                <c:pt idx="648">
                  <c:v>42264</c:v>
                </c:pt>
                <c:pt idx="649">
                  <c:v>42265</c:v>
                </c:pt>
                <c:pt idx="650">
                  <c:v>42268</c:v>
                </c:pt>
                <c:pt idx="651">
                  <c:v>42269</c:v>
                </c:pt>
                <c:pt idx="652">
                  <c:v>42270</c:v>
                </c:pt>
                <c:pt idx="653">
                  <c:v>42271</c:v>
                </c:pt>
                <c:pt idx="654">
                  <c:v>42272</c:v>
                </c:pt>
                <c:pt idx="655">
                  <c:v>42275</c:v>
                </c:pt>
                <c:pt idx="656">
                  <c:v>42276</c:v>
                </c:pt>
                <c:pt idx="657">
                  <c:v>42277</c:v>
                </c:pt>
                <c:pt idx="658">
                  <c:v>42278</c:v>
                </c:pt>
                <c:pt idx="659">
                  <c:v>42279</c:v>
                </c:pt>
                <c:pt idx="660">
                  <c:v>42282</c:v>
                </c:pt>
                <c:pt idx="661">
                  <c:v>42283</c:v>
                </c:pt>
                <c:pt idx="662">
                  <c:v>42284</c:v>
                </c:pt>
                <c:pt idx="663">
                  <c:v>42285</c:v>
                </c:pt>
                <c:pt idx="664">
                  <c:v>42286</c:v>
                </c:pt>
                <c:pt idx="665">
                  <c:v>42289</c:v>
                </c:pt>
                <c:pt idx="666">
                  <c:v>42290</c:v>
                </c:pt>
                <c:pt idx="667">
                  <c:v>42291</c:v>
                </c:pt>
                <c:pt idx="668">
                  <c:v>42292</c:v>
                </c:pt>
                <c:pt idx="669">
                  <c:v>42293</c:v>
                </c:pt>
                <c:pt idx="670">
                  <c:v>42296</c:v>
                </c:pt>
                <c:pt idx="671">
                  <c:v>42297</c:v>
                </c:pt>
                <c:pt idx="672">
                  <c:v>42298</c:v>
                </c:pt>
                <c:pt idx="673">
                  <c:v>42299</c:v>
                </c:pt>
                <c:pt idx="674">
                  <c:v>42300</c:v>
                </c:pt>
                <c:pt idx="675">
                  <c:v>42303</c:v>
                </c:pt>
                <c:pt idx="676">
                  <c:v>42304</c:v>
                </c:pt>
                <c:pt idx="677">
                  <c:v>42305</c:v>
                </c:pt>
                <c:pt idx="678">
                  <c:v>42306</c:v>
                </c:pt>
                <c:pt idx="679">
                  <c:v>42307</c:v>
                </c:pt>
                <c:pt idx="680">
                  <c:v>42310</c:v>
                </c:pt>
                <c:pt idx="681">
                  <c:v>42311</c:v>
                </c:pt>
                <c:pt idx="682">
                  <c:v>42312</c:v>
                </c:pt>
                <c:pt idx="683">
                  <c:v>42313</c:v>
                </c:pt>
                <c:pt idx="684">
                  <c:v>42314</c:v>
                </c:pt>
                <c:pt idx="685">
                  <c:v>42317</c:v>
                </c:pt>
                <c:pt idx="686">
                  <c:v>42318</c:v>
                </c:pt>
                <c:pt idx="687">
                  <c:v>42319</c:v>
                </c:pt>
                <c:pt idx="688">
                  <c:v>42320</c:v>
                </c:pt>
                <c:pt idx="689">
                  <c:v>42321</c:v>
                </c:pt>
                <c:pt idx="690">
                  <c:v>42324</c:v>
                </c:pt>
                <c:pt idx="691">
                  <c:v>42325</c:v>
                </c:pt>
                <c:pt idx="692">
                  <c:v>42326</c:v>
                </c:pt>
                <c:pt idx="693">
                  <c:v>42327</c:v>
                </c:pt>
                <c:pt idx="694">
                  <c:v>42328</c:v>
                </c:pt>
                <c:pt idx="695">
                  <c:v>42331</c:v>
                </c:pt>
                <c:pt idx="696">
                  <c:v>42332</c:v>
                </c:pt>
                <c:pt idx="697">
                  <c:v>42333</c:v>
                </c:pt>
                <c:pt idx="698">
                  <c:v>42335</c:v>
                </c:pt>
                <c:pt idx="699">
                  <c:v>42338</c:v>
                </c:pt>
                <c:pt idx="700">
                  <c:v>42339</c:v>
                </c:pt>
                <c:pt idx="701">
                  <c:v>42340</c:v>
                </c:pt>
                <c:pt idx="702">
                  <c:v>42341</c:v>
                </c:pt>
                <c:pt idx="703">
                  <c:v>42342</c:v>
                </c:pt>
                <c:pt idx="704">
                  <c:v>42345</c:v>
                </c:pt>
                <c:pt idx="705">
                  <c:v>42346</c:v>
                </c:pt>
                <c:pt idx="706">
                  <c:v>42347</c:v>
                </c:pt>
                <c:pt idx="707">
                  <c:v>42348</c:v>
                </c:pt>
                <c:pt idx="708">
                  <c:v>42349</c:v>
                </c:pt>
                <c:pt idx="709">
                  <c:v>42352</c:v>
                </c:pt>
                <c:pt idx="710">
                  <c:v>42353</c:v>
                </c:pt>
                <c:pt idx="711">
                  <c:v>42354</c:v>
                </c:pt>
                <c:pt idx="712">
                  <c:v>42355</c:v>
                </c:pt>
                <c:pt idx="713">
                  <c:v>42356</c:v>
                </c:pt>
                <c:pt idx="714">
                  <c:v>42359</c:v>
                </c:pt>
                <c:pt idx="715">
                  <c:v>42360</c:v>
                </c:pt>
                <c:pt idx="716">
                  <c:v>42361</c:v>
                </c:pt>
                <c:pt idx="717">
                  <c:v>42362</c:v>
                </c:pt>
                <c:pt idx="718">
                  <c:v>42366</c:v>
                </c:pt>
                <c:pt idx="719">
                  <c:v>42367</c:v>
                </c:pt>
                <c:pt idx="720">
                  <c:v>42368</c:v>
                </c:pt>
                <c:pt idx="721">
                  <c:v>42369</c:v>
                </c:pt>
                <c:pt idx="722">
                  <c:v>42373</c:v>
                </c:pt>
                <c:pt idx="723">
                  <c:v>42374</c:v>
                </c:pt>
                <c:pt idx="724">
                  <c:v>42375</c:v>
                </c:pt>
                <c:pt idx="725">
                  <c:v>42376</c:v>
                </c:pt>
                <c:pt idx="726">
                  <c:v>42377</c:v>
                </c:pt>
                <c:pt idx="727">
                  <c:v>42380</c:v>
                </c:pt>
                <c:pt idx="728">
                  <c:v>42381</c:v>
                </c:pt>
                <c:pt idx="729">
                  <c:v>42382</c:v>
                </c:pt>
                <c:pt idx="730">
                  <c:v>42383</c:v>
                </c:pt>
                <c:pt idx="731">
                  <c:v>42384</c:v>
                </c:pt>
                <c:pt idx="732">
                  <c:v>42388</c:v>
                </c:pt>
                <c:pt idx="733">
                  <c:v>42389</c:v>
                </c:pt>
                <c:pt idx="734">
                  <c:v>42390</c:v>
                </c:pt>
                <c:pt idx="735">
                  <c:v>42391</c:v>
                </c:pt>
                <c:pt idx="736">
                  <c:v>42394</c:v>
                </c:pt>
                <c:pt idx="737">
                  <c:v>42395</c:v>
                </c:pt>
                <c:pt idx="738">
                  <c:v>42396</c:v>
                </c:pt>
                <c:pt idx="739">
                  <c:v>42397</c:v>
                </c:pt>
                <c:pt idx="740">
                  <c:v>42398</c:v>
                </c:pt>
                <c:pt idx="741">
                  <c:v>42401</c:v>
                </c:pt>
                <c:pt idx="742">
                  <c:v>42402</c:v>
                </c:pt>
                <c:pt idx="743">
                  <c:v>42403</c:v>
                </c:pt>
                <c:pt idx="744">
                  <c:v>42404</c:v>
                </c:pt>
                <c:pt idx="745">
                  <c:v>42405</c:v>
                </c:pt>
                <c:pt idx="746">
                  <c:v>42408</c:v>
                </c:pt>
                <c:pt idx="747">
                  <c:v>42409</c:v>
                </c:pt>
                <c:pt idx="748">
                  <c:v>42410</c:v>
                </c:pt>
                <c:pt idx="749">
                  <c:v>42411</c:v>
                </c:pt>
                <c:pt idx="750">
                  <c:v>42412</c:v>
                </c:pt>
                <c:pt idx="751">
                  <c:v>42416</c:v>
                </c:pt>
                <c:pt idx="752">
                  <c:v>42417</c:v>
                </c:pt>
                <c:pt idx="753">
                  <c:v>42418</c:v>
                </c:pt>
                <c:pt idx="754">
                  <c:v>42419</c:v>
                </c:pt>
                <c:pt idx="755">
                  <c:v>42422</c:v>
                </c:pt>
                <c:pt idx="756">
                  <c:v>42423</c:v>
                </c:pt>
                <c:pt idx="757">
                  <c:v>42424</c:v>
                </c:pt>
                <c:pt idx="758">
                  <c:v>42425</c:v>
                </c:pt>
                <c:pt idx="759">
                  <c:v>42426</c:v>
                </c:pt>
                <c:pt idx="760">
                  <c:v>42429</c:v>
                </c:pt>
                <c:pt idx="761">
                  <c:v>42430</c:v>
                </c:pt>
                <c:pt idx="762">
                  <c:v>42431</c:v>
                </c:pt>
                <c:pt idx="763">
                  <c:v>42432</c:v>
                </c:pt>
                <c:pt idx="764">
                  <c:v>42433</c:v>
                </c:pt>
                <c:pt idx="765">
                  <c:v>42436</c:v>
                </c:pt>
                <c:pt idx="766">
                  <c:v>42437</c:v>
                </c:pt>
                <c:pt idx="767">
                  <c:v>42438</c:v>
                </c:pt>
                <c:pt idx="768">
                  <c:v>42439</c:v>
                </c:pt>
                <c:pt idx="769">
                  <c:v>42440</c:v>
                </c:pt>
                <c:pt idx="770">
                  <c:v>42443</c:v>
                </c:pt>
                <c:pt idx="771">
                  <c:v>42444</c:v>
                </c:pt>
                <c:pt idx="772">
                  <c:v>42445</c:v>
                </c:pt>
                <c:pt idx="773">
                  <c:v>42446</c:v>
                </c:pt>
                <c:pt idx="774">
                  <c:v>42447</c:v>
                </c:pt>
                <c:pt idx="775">
                  <c:v>42450</c:v>
                </c:pt>
                <c:pt idx="776">
                  <c:v>42451</c:v>
                </c:pt>
                <c:pt idx="777">
                  <c:v>42452</c:v>
                </c:pt>
                <c:pt idx="778">
                  <c:v>42453</c:v>
                </c:pt>
                <c:pt idx="779">
                  <c:v>42457</c:v>
                </c:pt>
                <c:pt idx="780">
                  <c:v>42458</c:v>
                </c:pt>
                <c:pt idx="781">
                  <c:v>42459</c:v>
                </c:pt>
                <c:pt idx="782">
                  <c:v>42460</c:v>
                </c:pt>
                <c:pt idx="783">
                  <c:v>42461</c:v>
                </c:pt>
                <c:pt idx="784">
                  <c:v>42464</c:v>
                </c:pt>
                <c:pt idx="785">
                  <c:v>42465</c:v>
                </c:pt>
                <c:pt idx="786">
                  <c:v>42466</c:v>
                </c:pt>
                <c:pt idx="787">
                  <c:v>42467</c:v>
                </c:pt>
                <c:pt idx="788">
                  <c:v>42468</c:v>
                </c:pt>
                <c:pt idx="789">
                  <c:v>42471</c:v>
                </c:pt>
                <c:pt idx="790">
                  <c:v>42472</c:v>
                </c:pt>
                <c:pt idx="791">
                  <c:v>42473</c:v>
                </c:pt>
                <c:pt idx="792">
                  <c:v>42474</c:v>
                </c:pt>
                <c:pt idx="793">
                  <c:v>42475</c:v>
                </c:pt>
                <c:pt idx="794">
                  <c:v>42478</c:v>
                </c:pt>
                <c:pt idx="795">
                  <c:v>42479</c:v>
                </c:pt>
                <c:pt idx="796">
                  <c:v>42480</c:v>
                </c:pt>
                <c:pt idx="797">
                  <c:v>42481</c:v>
                </c:pt>
                <c:pt idx="798">
                  <c:v>42482</c:v>
                </c:pt>
                <c:pt idx="799">
                  <c:v>42485</c:v>
                </c:pt>
                <c:pt idx="800">
                  <c:v>42486</c:v>
                </c:pt>
                <c:pt idx="801">
                  <c:v>42487</c:v>
                </c:pt>
                <c:pt idx="802">
                  <c:v>42488</c:v>
                </c:pt>
                <c:pt idx="803">
                  <c:v>42489</c:v>
                </c:pt>
                <c:pt idx="804">
                  <c:v>42492</c:v>
                </c:pt>
                <c:pt idx="805">
                  <c:v>42493</c:v>
                </c:pt>
                <c:pt idx="806">
                  <c:v>42494</c:v>
                </c:pt>
                <c:pt idx="807">
                  <c:v>42495</c:v>
                </c:pt>
                <c:pt idx="808">
                  <c:v>42496</c:v>
                </c:pt>
                <c:pt idx="809">
                  <c:v>42499</c:v>
                </c:pt>
                <c:pt idx="810">
                  <c:v>42500</c:v>
                </c:pt>
                <c:pt idx="811">
                  <c:v>42501</c:v>
                </c:pt>
                <c:pt idx="812">
                  <c:v>42502</c:v>
                </c:pt>
                <c:pt idx="813">
                  <c:v>42503</c:v>
                </c:pt>
                <c:pt idx="814">
                  <c:v>42506</c:v>
                </c:pt>
                <c:pt idx="815">
                  <c:v>42507</c:v>
                </c:pt>
                <c:pt idx="816">
                  <c:v>42508</c:v>
                </c:pt>
                <c:pt idx="817">
                  <c:v>42509</c:v>
                </c:pt>
                <c:pt idx="818">
                  <c:v>42510</c:v>
                </c:pt>
                <c:pt idx="819">
                  <c:v>42513</c:v>
                </c:pt>
                <c:pt idx="820">
                  <c:v>42514</c:v>
                </c:pt>
                <c:pt idx="821">
                  <c:v>42515</c:v>
                </c:pt>
                <c:pt idx="822">
                  <c:v>42516</c:v>
                </c:pt>
                <c:pt idx="823">
                  <c:v>42517</c:v>
                </c:pt>
                <c:pt idx="824">
                  <c:v>42521</c:v>
                </c:pt>
                <c:pt idx="825">
                  <c:v>42522</c:v>
                </c:pt>
                <c:pt idx="826">
                  <c:v>42523</c:v>
                </c:pt>
                <c:pt idx="827">
                  <c:v>42524</c:v>
                </c:pt>
                <c:pt idx="828">
                  <c:v>42527</c:v>
                </c:pt>
                <c:pt idx="829">
                  <c:v>42528</c:v>
                </c:pt>
                <c:pt idx="830">
                  <c:v>42529</c:v>
                </c:pt>
                <c:pt idx="831">
                  <c:v>42530</c:v>
                </c:pt>
                <c:pt idx="832">
                  <c:v>42531</c:v>
                </c:pt>
                <c:pt idx="833">
                  <c:v>42534</c:v>
                </c:pt>
                <c:pt idx="834">
                  <c:v>42535</c:v>
                </c:pt>
                <c:pt idx="835">
                  <c:v>42536</c:v>
                </c:pt>
                <c:pt idx="836">
                  <c:v>42537</c:v>
                </c:pt>
                <c:pt idx="837">
                  <c:v>42538</c:v>
                </c:pt>
                <c:pt idx="838">
                  <c:v>42541</c:v>
                </c:pt>
                <c:pt idx="839">
                  <c:v>42542</c:v>
                </c:pt>
                <c:pt idx="840">
                  <c:v>42543</c:v>
                </c:pt>
                <c:pt idx="841">
                  <c:v>42544</c:v>
                </c:pt>
                <c:pt idx="842">
                  <c:v>42545</c:v>
                </c:pt>
                <c:pt idx="843">
                  <c:v>42548</c:v>
                </c:pt>
                <c:pt idx="844">
                  <c:v>42549</c:v>
                </c:pt>
                <c:pt idx="845">
                  <c:v>42550</c:v>
                </c:pt>
                <c:pt idx="846">
                  <c:v>42551</c:v>
                </c:pt>
                <c:pt idx="847">
                  <c:v>42552</c:v>
                </c:pt>
                <c:pt idx="848">
                  <c:v>42556</c:v>
                </c:pt>
                <c:pt idx="849">
                  <c:v>42557</c:v>
                </c:pt>
                <c:pt idx="850">
                  <c:v>42558</c:v>
                </c:pt>
                <c:pt idx="851">
                  <c:v>42559</c:v>
                </c:pt>
                <c:pt idx="852">
                  <c:v>42562</c:v>
                </c:pt>
                <c:pt idx="853">
                  <c:v>42563</c:v>
                </c:pt>
                <c:pt idx="854">
                  <c:v>42564</c:v>
                </c:pt>
                <c:pt idx="855">
                  <c:v>42565</c:v>
                </c:pt>
                <c:pt idx="856">
                  <c:v>42566</c:v>
                </c:pt>
                <c:pt idx="857">
                  <c:v>42569</c:v>
                </c:pt>
                <c:pt idx="858">
                  <c:v>42570</c:v>
                </c:pt>
                <c:pt idx="859">
                  <c:v>42571</c:v>
                </c:pt>
                <c:pt idx="860">
                  <c:v>42572</c:v>
                </c:pt>
                <c:pt idx="861">
                  <c:v>42573</c:v>
                </c:pt>
                <c:pt idx="862">
                  <c:v>42576</c:v>
                </c:pt>
                <c:pt idx="863">
                  <c:v>42577</c:v>
                </c:pt>
                <c:pt idx="864">
                  <c:v>42578</c:v>
                </c:pt>
                <c:pt idx="865">
                  <c:v>42579</c:v>
                </c:pt>
                <c:pt idx="866">
                  <c:v>42580</c:v>
                </c:pt>
                <c:pt idx="867">
                  <c:v>42583</c:v>
                </c:pt>
                <c:pt idx="868">
                  <c:v>42584</c:v>
                </c:pt>
                <c:pt idx="869">
                  <c:v>42585</c:v>
                </c:pt>
                <c:pt idx="870">
                  <c:v>42586</c:v>
                </c:pt>
                <c:pt idx="871">
                  <c:v>42587</c:v>
                </c:pt>
                <c:pt idx="872">
                  <c:v>42590</c:v>
                </c:pt>
                <c:pt idx="873">
                  <c:v>42591</c:v>
                </c:pt>
                <c:pt idx="874">
                  <c:v>42592</c:v>
                </c:pt>
                <c:pt idx="875">
                  <c:v>42593</c:v>
                </c:pt>
                <c:pt idx="876">
                  <c:v>42594</c:v>
                </c:pt>
                <c:pt idx="877">
                  <c:v>42597</c:v>
                </c:pt>
                <c:pt idx="878">
                  <c:v>42598</c:v>
                </c:pt>
                <c:pt idx="879">
                  <c:v>42599</c:v>
                </c:pt>
                <c:pt idx="880">
                  <c:v>42600</c:v>
                </c:pt>
                <c:pt idx="881">
                  <c:v>42601</c:v>
                </c:pt>
                <c:pt idx="882">
                  <c:v>42604</c:v>
                </c:pt>
                <c:pt idx="883">
                  <c:v>42605</c:v>
                </c:pt>
                <c:pt idx="884">
                  <c:v>42606</c:v>
                </c:pt>
                <c:pt idx="885">
                  <c:v>42607</c:v>
                </c:pt>
                <c:pt idx="886">
                  <c:v>42608</c:v>
                </c:pt>
                <c:pt idx="887">
                  <c:v>42611</c:v>
                </c:pt>
                <c:pt idx="888">
                  <c:v>42612</c:v>
                </c:pt>
                <c:pt idx="889">
                  <c:v>42613</c:v>
                </c:pt>
                <c:pt idx="890">
                  <c:v>42614</c:v>
                </c:pt>
                <c:pt idx="891">
                  <c:v>42615</c:v>
                </c:pt>
                <c:pt idx="892">
                  <c:v>42619</c:v>
                </c:pt>
                <c:pt idx="893">
                  <c:v>42620</c:v>
                </c:pt>
                <c:pt idx="894">
                  <c:v>42621</c:v>
                </c:pt>
                <c:pt idx="895">
                  <c:v>42622</c:v>
                </c:pt>
                <c:pt idx="896">
                  <c:v>42625</c:v>
                </c:pt>
                <c:pt idx="897">
                  <c:v>42626</c:v>
                </c:pt>
                <c:pt idx="898">
                  <c:v>42627</c:v>
                </c:pt>
                <c:pt idx="899">
                  <c:v>42628</c:v>
                </c:pt>
                <c:pt idx="900">
                  <c:v>42629</c:v>
                </c:pt>
                <c:pt idx="901">
                  <c:v>42632</c:v>
                </c:pt>
                <c:pt idx="902">
                  <c:v>42633</c:v>
                </c:pt>
                <c:pt idx="903">
                  <c:v>42634</c:v>
                </c:pt>
                <c:pt idx="904">
                  <c:v>42635</c:v>
                </c:pt>
                <c:pt idx="905">
                  <c:v>42636</c:v>
                </c:pt>
                <c:pt idx="906">
                  <c:v>42639</c:v>
                </c:pt>
                <c:pt idx="907">
                  <c:v>42640</c:v>
                </c:pt>
                <c:pt idx="908">
                  <c:v>42641</c:v>
                </c:pt>
                <c:pt idx="909">
                  <c:v>42642</c:v>
                </c:pt>
                <c:pt idx="910">
                  <c:v>42643</c:v>
                </c:pt>
                <c:pt idx="911">
                  <c:v>42646</c:v>
                </c:pt>
                <c:pt idx="912">
                  <c:v>42647</c:v>
                </c:pt>
                <c:pt idx="913">
                  <c:v>42648</c:v>
                </c:pt>
                <c:pt idx="914">
                  <c:v>42649</c:v>
                </c:pt>
                <c:pt idx="915">
                  <c:v>42650</c:v>
                </c:pt>
                <c:pt idx="916">
                  <c:v>42653</c:v>
                </c:pt>
                <c:pt idx="917">
                  <c:v>42654</c:v>
                </c:pt>
                <c:pt idx="918">
                  <c:v>42655</c:v>
                </c:pt>
                <c:pt idx="919">
                  <c:v>42656</c:v>
                </c:pt>
                <c:pt idx="920">
                  <c:v>42657</c:v>
                </c:pt>
                <c:pt idx="921">
                  <c:v>42660</c:v>
                </c:pt>
                <c:pt idx="922">
                  <c:v>42661</c:v>
                </c:pt>
                <c:pt idx="923">
                  <c:v>42662</c:v>
                </c:pt>
                <c:pt idx="924">
                  <c:v>42663</c:v>
                </c:pt>
                <c:pt idx="925">
                  <c:v>42664</c:v>
                </c:pt>
                <c:pt idx="926">
                  <c:v>42667</c:v>
                </c:pt>
                <c:pt idx="927">
                  <c:v>42668</c:v>
                </c:pt>
                <c:pt idx="928">
                  <c:v>42669</c:v>
                </c:pt>
                <c:pt idx="929">
                  <c:v>42670</c:v>
                </c:pt>
                <c:pt idx="930">
                  <c:v>42671</c:v>
                </c:pt>
                <c:pt idx="931">
                  <c:v>42674</c:v>
                </c:pt>
                <c:pt idx="932">
                  <c:v>42675</c:v>
                </c:pt>
                <c:pt idx="933">
                  <c:v>42676</c:v>
                </c:pt>
                <c:pt idx="934">
                  <c:v>42677</c:v>
                </c:pt>
                <c:pt idx="935">
                  <c:v>42678</c:v>
                </c:pt>
                <c:pt idx="936">
                  <c:v>42681</c:v>
                </c:pt>
                <c:pt idx="937">
                  <c:v>42682</c:v>
                </c:pt>
                <c:pt idx="938">
                  <c:v>42683</c:v>
                </c:pt>
                <c:pt idx="939">
                  <c:v>42684</c:v>
                </c:pt>
                <c:pt idx="940">
                  <c:v>42685</c:v>
                </c:pt>
                <c:pt idx="941">
                  <c:v>42688</c:v>
                </c:pt>
                <c:pt idx="942">
                  <c:v>42689</c:v>
                </c:pt>
                <c:pt idx="943">
                  <c:v>42690</c:v>
                </c:pt>
                <c:pt idx="944">
                  <c:v>42691</c:v>
                </c:pt>
                <c:pt idx="945">
                  <c:v>42692</c:v>
                </c:pt>
                <c:pt idx="946">
                  <c:v>42695</c:v>
                </c:pt>
                <c:pt idx="947">
                  <c:v>42696</c:v>
                </c:pt>
                <c:pt idx="948">
                  <c:v>42697</c:v>
                </c:pt>
                <c:pt idx="949">
                  <c:v>42699</c:v>
                </c:pt>
                <c:pt idx="950">
                  <c:v>42702</c:v>
                </c:pt>
                <c:pt idx="951">
                  <c:v>42703</c:v>
                </c:pt>
                <c:pt idx="952">
                  <c:v>42704</c:v>
                </c:pt>
                <c:pt idx="953">
                  <c:v>42705</c:v>
                </c:pt>
                <c:pt idx="954">
                  <c:v>42706</c:v>
                </c:pt>
                <c:pt idx="955">
                  <c:v>42709</c:v>
                </c:pt>
                <c:pt idx="956">
                  <c:v>42710</c:v>
                </c:pt>
                <c:pt idx="957">
                  <c:v>42711</c:v>
                </c:pt>
                <c:pt idx="958">
                  <c:v>42712</c:v>
                </c:pt>
                <c:pt idx="959">
                  <c:v>42713</c:v>
                </c:pt>
                <c:pt idx="960">
                  <c:v>42716</c:v>
                </c:pt>
                <c:pt idx="961">
                  <c:v>42717</c:v>
                </c:pt>
                <c:pt idx="962">
                  <c:v>42718</c:v>
                </c:pt>
                <c:pt idx="963">
                  <c:v>42719</c:v>
                </c:pt>
                <c:pt idx="964">
                  <c:v>42720</c:v>
                </c:pt>
                <c:pt idx="965">
                  <c:v>42723</c:v>
                </c:pt>
                <c:pt idx="966">
                  <c:v>42724</c:v>
                </c:pt>
                <c:pt idx="967">
                  <c:v>42725</c:v>
                </c:pt>
                <c:pt idx="968">
                  <c:v>42726</c:v>
                </c:pt>
                <c:pt idx="969">
                  <c:v>42727</c:v>
                </c:pt>
                <c:pt idx="970">
                  <c:v>42731</c:v>
                </c:pt>
                <c:pt idx="971">
                  <c:v>42732</c:v>
                </c:pt>
                <c:pt idx="972">
                  <c:v>42733</c:v>
                </c:pt>
                <c:pt idx="973">
                  <c:v>42734</c:v>
                </c:pt>
                <c:pt idx="974">
                  <c:v>42738</c:v>
                </c:pt>
                <c:pt idx="975">
                  <c:v>42739</c:v>
                </c:pt>
                <c:pt idx="976">
                  <c:v>42740</c:v>
                </c:pt>
                <c:pt idx="977">
                  <c:v>42741</c:v>
                </c:pt>
                <c:pt idx="978">
                  <c:v>42744</c:v>
                </c:pt>
                <c:pt idx="979">
                  <c:v>42745</c:v>
                </c:pt>
                <c:pt idx="980">
                  <c:v>42746</c:v>
                </c:pt>
                <c:pt idx="981">
                  <c:v>42747</c:v>
                </c:pt>
                <c:pt idx="982">
                  <c:v>42748</c:v>
                </c:pt>
                <c:pt idx="983">
                  <c:v>42752</c:v>
                </c:pt>
                <c:pt idx="984">
                  <c:v>42753</c:v>
                </c:pt>
                <c:pt idx="985">
                  <c:v>42754</c:v>
                </c:pt>
                <c:pt idx="986">
                  <c:v>42755</c:v>
                </c:pt>
                <c:pt idx="987">
                  <c:v>42758</c:v>
                </c:pt>
                <c:pt idx="988">
                  <c:v>42759</c:v>
                </c:pt>
                <c:pt idx="989">
                  <c:v>42760</c:v>
                </c:pt>
                <c:pt idx="990">
                  <c:v>42761</c:v>
                </c:pt>
                <c:pt idx="991">
                  <c:v>42762</c:v>
                </c:pt>
                <c:pt idx="992">
                  <c:v>42765</c:v>
                </c:pt>
                <c:pt idx="993">
                  <c:v>42766</c:v>
                </c:pt>
                <c:pt idx="994">
                  <c:v>42767</c:v>
                </c:pt>
                <c:pt idx="995">
                  <c:v>42768</c:v>
                </c:pt>
                <c:pt idx="996">
                  <c:v>42769</c:v>
                </c:pt>
                <c:pt idx="997">
                  <c:v>42772</c:v>
                </c:pt>
                <c:pt idx="998">
                  <c:v>42773</c:v>
                </c:pt>
                <c:pt idx="999">
                  <c:v>42774</c:v>
                </c:pt>
                <c:pt idx="1000">
                  <c:v>42775</c:v>
                </c:pt>
                <c:pt idx="1001">
                  <c:v>42776</c:v>
                </c:pt>
                <c:pt idx="1002">
                  <c:v>42779</c:v>
                </c:pt>
                <c:pt idx="1003">
                  <c:v>42780</c:v>
                </c:pt>
                <c:pt idx="1004">
                  <c:v>42781</c:v>
                </c:pt>
                <c:pt idx="1005">
                  <c:v>42782</c:v>
                </c:pt>
                <c:pt idx="1006">
                  <c:v>42783</c:v>
                </c:pt>
                <c:pt idx="1007">
                  <c:v>42787</c:v>
                </c:pt>
                <c:pt idx="1008">
                  <c:v>42788</c:v>
                </c:pt>
                <c:pt idx="1009">
                  <c:v>42789</c:v>
                </c:pt>
                <c:pt idx="1010">
                  <c:v>42790</c:v>
                </c:pt>
                <c:pt idx="1011">
                  <c:v>42793</c:v>
                </c:pt>
                <c:pt idx="1012">
                  <c:v>42794</c:v>
                </c:pt>
                <c:pt idx="1013">
                  <c:v>42795</c:v>
                </c:pt>
                <c:pt idx="1014">
                  <c:v>42796</c:v>
                </c:pt>
                <c:pt idx="1015">
                  <c:v>42797</c:v>
                </c:pt>
                <c:pt idx="1016">
                  <c:v>42800</c:v>
                </c:pt>
                <c:pt idx="1017">
                  <c:v>42801</c:v>
                </c:pt>
                <c:pt idx="1018">
                  <c:v>42802</c:v>
                </c:pt>
                <c:pt idx="1019">
                  <c:v>42803</c:v>
                </c:pt>
                <c:pt idx="1020">
                  <c:v>42804</c:v>
                </c:pt>
                <c:pt idx="1021">
                  <c:v>42807</c:v>
                </c:pt>
                <c:pt idx="1022">
                  <c:v>42808</c:v>
                </c:pt>
                <c:pt idx="1023">
                  <c:v>42809</c:v>
                </c:pt>
                <c:pt idx="1024">
                  <c:v>42810</c:v>
                </c:pt>
                <c:pt idx="1025">
                  <c:v>42811</c:v>
                </c:pt>
                <c:pt idx="1026">
                  <c:v>42814</c:v>
                </c:pt>
                <c:pt idx="1027">
                  <c:v>42815</c:v>
                </c:pt>
                <c:pt idx="1028">
                  <c:v>42816</c:v>
                </c:pt>
                <c:pt idx="1029">
                  <c:v>42817</c:v>
                </c:pt>
                <c:pt idx="1030">
                  <c:v>42818</c:v>
                </c:pt>
                <c:pt idx="1031">
                  <c:v>42821</c:v>
                </c:pt>
                <c:pt idx="1032">
                  <c:v>42822</c:v>
                </c:pt>
                <c:pt idx="1033">
                  <c:v>42823</c:v>
                </c:pt>
                <c:pt idx="1034">
                  <c:v>42824</c:v>
                </c:pt>
                <c:pt idx="1035">
                  <c:v>42825</c:v>
                </c:pt>
                <c:pt idx="1036">
                  <c:v>42828</c:v>
                </c:pt>
                <c:pt idx="1037">
                  <c:v>42829</c:v>
                </c:pt>
                <c:pt idx="1038">
                  <c:v>42830</c:v>
                </c:pt>
                <c:pt idx="1039">
                  <c:v>42831</c:v>
                </c:pt>
                <c:pt idx="1040">
                  <c:v>42832</c:v>
                </c:pt>
                <c:pt idx="1041">
                  <c:v>42835</c:v>
                </c:pt>
                <c:pt idx="1042">
                  <c:v>42836</c:v>
                </c:pt>
                <c:pt idx="1043">
                  <c:v>42837</c:v>
                </c:pt>
                <c:pt idx="1044">
                  <c:v>42838</c:v>
                </c:pt>
                <c:pt idx="1045">
                  <c:v>42842</c:v>
                </c:pt>
                <c:pt idx="1046">
                  <c:v>42843</c:v>
                </c:pt>
                <c:pt idx="1047">
                  <c:v>42844</c:v>
                </c:pt>
                <c:pt idx="1048">
                  <c:v>42845</c:v>
                </c:pt>
                <c:pt idx="1049">
                  <c:v>42846</c:v>
                </c:pt>
                <c:pt idx="1050">
                  <c:v>42849</c:v>
                </c:pt>
                <c:pt idx="1051">
                  <c:v>42850</c:v>
                </c:pt>
                <c:pt idx="1052">
                  <c:v>42851</c:v>
                </c:pt>
                <c:pt idx="1053">
                  <c:v>42852</c:v>
                </c:pt>
                <c:pt idx="1054">
                  <c:v>42853</c:v>
                </c:pt>
                <c:pt idx="1055">
                  <c:v>42856</c:v>
                </c:pt>
                <c:pt idx="1056">
                  <c:v>42857</c:v>
                </c:pt>
                <c:pt idx="1057">
                  <c:v>42858</c:v>
                </c:pt>
                <c:pt idx="1058">
                  <c:v>42859</c:v>
                </c:pt>
                <c:pt idx="1059">
                  <c:v>42860</c:v>
                </c:pt>
                <c:pt idx="1060">
                  <c:v>42863</c:v>
                </c:pt>
                <c:pt idx="1061">
                  <c:v>42864</c:v>
                </c:pt>
                <c:pt idx="1062">
                  <c:v>42865</c:v>
                </c:pt>
                <c:pt idx="1063">
                  <c:v>42866</c:v>
                </c:pt>
                <c:pt idx="1064">
                  <c:v>42867</c:v>
                </c:pt>
                <c:pt idx="1065">
                  <c:v>42870</c:v>
                </c:pt>
                <c:pt idx="1066">
                  <c:v>42871</c:v>
                </c:pt>
                <c:pt idx="1067">
                  <c:v>42872</c:v>
                </c:pt>
                <c:pt idx="1068">
                  <c:v>42873</c:v>
                </c:pt>
                <c:pt idx="1069">
                  <c:v>42874</c:v>
                </c:pt>
                <c:pt idx="1070">
                  <c:v>42877</c:v>
                </c:pt>
                <c:pt idx="1071">
                  <c:v>42878</c:v>
                </c:pt>
                <c:pt idx="1072">
                  <c:v>42879</c:v>
                </c:pt>
                <c:pt idx="1073">
                  <c:v>42880</c:v>
                </c:pt>
                <c:pt idx="1074">
                  <c:v>42881</c:v>
                </c:pt>
                <c:pt idx="1075">
                  <c:v>42885</c:v>
                </c:pt>
                <c:pt idx="1076">
                  <c:v>42886</c:v>
                </c:pt>
                <c:pt idx="1077">
                  <c:v>42887</c:v>
                </c:pt>
                <c:pt idx="1078">
                  <c:v>42888</c:v>
                </c:pt>
                <c:pt idx="1079">
                  <c:v>42891</c:v>
                </c:pt>
                <c:pt idx="1080">
                  <c:v>42892</c:v>
                </c:pt>
                <c:pt idx="1081">
                  <c:v>42893</c:v>
                </c:pt>
                <c:pt idx="1082">
                  <c:v>42894</c:v>
                </c:pt>
                <c:pt idx="1083">
                  <c:v>42895</c:v>
                </c:pt>
                <c:pt idx="1084">
                  <c:v>42898</c:v>
                </c:pt>
                <c:pt idx="1085">
                  <c:v>42899</c:v>
                </c:pt>
                <c:pt idx="1086">
                  <c:v>42900</c:v>
                </c:pt>
                <c:pt idx="1087">
                  <c:v>42901</c:v>
                </c:pt>
                <c:pt idx="1088">
                  <c:v>42902</c:v>
                </c:pt>
                <c:pt idx="1089">
                  <c:v>42905</c:v>
                </c:pt>
                <c:pt idx="1090">
                  <c:v>42906</c:v>
                </c:pt>
                <c:pt idx="1091">
                  <c:v>42907</c:v>
                </c:pt>
                <c:pt idx="1092">
                  <c:v>42908</c:v>
                </c:pt>
                <c:pt idx="1093">
                  <c:v>42909</c:v>
                </c:pt>
                <c:pt idx="1094">
                  <c:v>42912</c:v>
                </c:pt>
                <c:pt idx="1095">
                  <c:v>42913</c:v>
                </c:pt>
                <c:pt idx="1096">
                  <c:v>42914</c:v>
                </c:pt>
                <c:pt idx="1097">
                  <c:v>42915</c:v>
                </c:pt>
                <c:pt idx="1098">
                  <c:v>42916</c:v>
                </c:pt>
                <c:pt idx="1099">
                  <c:v>42919</c:v>
                </c:pt>
                <c:pt idx="1100">
                  <c:v>42921</c:v>
                </c:pt>
                <c:pt idx="1101">
                  <c:v>42922</c:v>
                </c:pt>
                <c:pt idx="1102">
                  <c:v>42923</c:v>
                </c:pt>
                <c:pt idx="1103">
                  <c:v>42926</c:v>
                </c:pt>
                <c:pt idx="1104">
                  <c:v>42927</c:v>
                </c:pt>
                <c:pt idx="1105">
                  <c:v>42928</c:v>
                </c:pt>
                <c:pt idx="1106">
                  <c:v>42929</c:v>
                </c:pt>
                <c:pt idx="1107">
                  <c:v>42930</c:v>
                </c:pt>
                <c:pt idx="1108">
                  <c:v>42933</c:v>
                </c:pt>
                <c:pt idx="1109">
                  <c:v>42934</c:v>
                </c:pt>
                <c:pt idx="1110">
                  <c:v>42935</c:v>
                </c:pt>
                <c:pt idx="1111">
                  <c:v>42936</c:v>
                </c:pt>
                <c:pt idx="1112">
                  <c:v>42937</c:v>
                </c:pt>
                <c:pt idx="1113">
                  <c:v>42940</c:v>
                </c:pt>
                <c:pt idx="1114">
                  <c:v>42941</c:v>
                </c:pt>
                <c:pt idx="1115">
                  <c:v>42942</c:v>
                </c:pt>
                <c:pt idx="1116">
                  <c:v>42943</c:v>
                </c:pt>
                <c:pt idx="1117">
                  <c:v>42944</c:v>
                </c:pt>
                <c:pt idx="1118">
                  <c:v>42947</c:v>
                </c:pt>
                <c:pt idx="1119">
                  <c:v>42948</c:v>
                </c:pt>
                <c:pt idx="1120">
                  <c:v>42949</c:v>
                </c:pt>
                <c:pt idx="1121">
                  <c:v>42950</c:v>
                </c:pt>
                <c:pt idx="1122">
                  <c:v>42951</c:v>
                </c:pt>
                <c:pt idx="1123">
                  <c:v>42954</c:v>
                </c:pt>
                <c:pt idx="1124">
                  <c:v>42955</c:v>
                </c:pt>
                <c:pt idx="1125">
                  <c:v>42956</c:v>
                </c:pt>
                <c:pt idx="1126">
                  <c:v>42957</c:v>
                </c:pt>
                <c:pt idx="1127">
                  <c:v>42958</c:v>
                </c:pt>
                <c:pt idx="1128">
                  <c:v>42961</c:v>
                </c:pt>
                <c:pt idx="1129">
                  <c:v>42962</c:v>
                </c:pt>
                <c:pt idx="1130">
                  <c:v>42963</c:v>
                </c:pt>
                <c:pt idx="1131">
                  <c:v>42964</c:v>
                </c:pt>
                <c:pt idx="1132">
                  <c:v>42965</c:v>
                </c:pt>
                <c:pt idx="1133">
                  <c:v>42968</c:v>
                </c:pt>
                <c:pt idx="1134">
                  <c:v>42969</c:v>
                </c:pt>
                <c:pt idx="1135">
                  <c:v>42970</c:v>
                </c:pt>
                <c:pt idx="1136">
                  <c:v>42971</c:v>
                </c:pt>
                <c:pt idx="1137">
                  <c:v>42972</c:v>
                </c:pt>
                <c:pt idx="1138">
                  <c:v>42975</c:v>
                </c:pt>
                <c:pt idx="1139">
                  <c:v>42976</c:v>
                </c:pt>
                <c:pt idx="1140">
                  <c:v>42977</c:v>
                </c:pt>
                <c:pt idx="1141">
                  <c:v>42978</c:v>
                </c:pt>
                <c:pt idx="1142">
                  <c:v>42979</c:v>
                </c:pt>
                <c:pt idx="1143">
                  <c:v>42983</c:v>
                </c:pt>
                <c:pt idx="1144">
                  <c:v>42984</c:v>
                </c:pt>
                <c:pt idx="1145">
                  <c:v>42985</c:v>
                </c:pt>
                <c:pt idx="1146">
                  <c:v>42986</c:v>
                </c:pt>
                <c:pt idx="1147">
                  <c:v>42989</c:v>
                </c:pt>
                <c:pt idx="1148">
                  <c:v>42990</c:v>
                </c:pt>
                <c:pt idx="1149">
                  <c:v>42991</c:v>
                </c:pt>
                <c:pt idx="1150">
                  <c:v>42992</c:v>
                </c:pt>
                <c:pt idx="1151">
                  <c:v>42993</c:v>
                </c:pt>
                <c:pt idx="1152">
                  <c:v>42996</c:v>
                </c:pt>
                <c:pt idx="1153">
                  <c:v>42997</c:v>
                </c:pt>
                <c:pt idx="1154">
                  <c:v>42998</c:v>
                </c:pt>
                <c:pt idx="1155">
                  <c:v>42999</c:v>
                </c:pt>
                <c:pt idx="1156">
                  <c:v>43000</c:v>
                </c:pt>
                <c:pt idx="1157">
                  <c:v>43003</c:v>
                </c:pt>
                <c:pt idx="1158">
                  <c:v>43004</c:v>
                </c:pt>
                <c:pt idx="1159">
                  <c:v>43005</c:v>
                </c:pt>
                <c:pt idx="1160">
                  <c:v>43006</c:v>
                </c:pt>
                <c:pt idx="1161">
                  <c:v>43007</c:v>
                </c:pt>
                <c:pt idx="1162">
                  <c:v>43010</c:v>
                </c:pt>
                <c:pt idx="1163">
                  <c:v>43011</c:v>
                </c:pt>
                <c:pt idx="1164">
                  <c:v>43012</c:v>
                </c:pt>
                <c:pt idx="1165">
                  <c:v>43013</c:v>
                </c:pt>
                <c:pt idx="1166">
                  <c:v>43014</c:v>
                </c:pt>
                <c:pt idx="1167">
                  <c:v>43017</c:v>
                </c:pt>
                <c:pt idx="1168">
                  <c:v>43018</c:v>
                </c:pt>
                <c:pt idx="1169">
                  <c:v>43019</c:v>
                </c:pt>
                <c:pt idx="1170">
                  <c:v>43020</c:v>
                </c:pt>
                <c:pt idx="1171">
                  <c:v>43021</c:v>
                </c:pt>
                <c:pt idx="1172">
                  <c:v>43024</c:v>
                </c:pt>
                <c:pt idx="1173">
                  <c:v>43025</c:v>
                </c:pt>
                <c:pt idx="1174">
                  <c:v>43026</c:v>
                </c:pt>
                <c:pt idx="1175">
                  <c:v>43027</c:v>
                </c:pt>
                <c:pt idx="1176">
                  <c:v>43028</c:v>
                </c:pt>
                <c:pt idx="1177">
                  <c:v>43031</c:v>
                </c:pt>
                <c:pt idx="1178">
                  <c:v>43032</c:v>
                </c:pt>
                <c:pt idx="1179">
                  <c:v>43033</c:v>
                </c:pt>
                <c:pt idx="1180">
                  <c:v>43034</c:v>
                </c:pt>
                <c:pt idx="1181">
                  <c:v>43035</c:v>
                </c:pt>
                <c:pt idx="1182">
                  <c:v>43038</c:v>
                </c:pt>
                <c:pt idx="1183">
                  <c:v>43039</c:v>
                </c:pt>
                <c:pt idx="1184">
                  <c:v>43040</c:v>
                </c:pt>
                <c:pt idx="1185">
                  <c:v>43041</c:v>
                </c:pt>
                <c:pt idx="1186">
                  <c:v>43042</c:v>
                </c:pt>
                <c:pt idx="1187">
                  <c:v>43045</c:v>
                </c:pt>
                <c:pt idx="1188">
                  <c:v>43046</c:v>
                </c:pt>
                <c:pt idx="1189">
                  <c:v>43047</c:v>
                </c:pt>
                <c:pt idx="1190">
                  <c:v>43048</c:v>
                </c:pt>
                <c:pt idx="1191">
                  <c:v>43049</c:v>
                </c:pt>
                <c:pt idx="1192">
                  <c:v>43052</c:v>
                </c:pt>
                <c:pt idx="1193">
                  <c:v>43053</c:v>
                </c:pt>
                <c:pt idx="1194">
                  <c:v>43054</c:v>
                </c:pt>
                <c:pt idx="1195">
                  <c:v>43055</c:v>
                </c:pt>
                <c:pt idx="1196">
                  <c:v>43056</c:v>
                </c:pt>
                <c:pt idx="1197">
                  <c:v>43059</c:v>
                </c:pt>
                <c:pt idx="1198">
                  <c:v>43060</c:v>
                </c:pt>
                <c:pt idx="1199">
                  <c:v>43061</c:v>
                </c:pt>
                <c:pt idx="1200">
                  <c:v>43063</c:v>
                </c:pt>
                <c:pt idx="1201">
                  <c:v>43066</c:v>
                </c:pt>
                <c:pt idx="1202">
                  <c:v>43067</c:v>
                </c:pt>
                <c:pt idx="1203">
                  <c:v>43068</c:v>
                </c:pt>
                <c:pt idx="1204">
                  <c:v>43069</c:v>
                </c:pt>
                <c:pt idx="1205">
                  <c:v>43070</c:v>
                </c:pt>
                <c:pt idx="1206">
                  <c:v>43073</c:v>
                </c:pt>
                <c:pt idx="1207">
                  <c:v>43074</c:v>
                </c:pt>
                <c:pt idx="1208">
                  <c:v>43075</c:v>
                </c:pt>
                <c:pt idx="1209">
                  <c:v>43076</c:v>
                </c:pt>
                <c:pt idx="1210">
                  <c:v>43077</c:v>
                </c:pt>
                <c:pt idx="1211">
                  <c:v>43080</c:v>
                </c:pt>
                <c:pt idx="1212">
                  <c:v>43081</c:v>
                </c:pt>
                <c:pt idx="1213">
                  <c:v>43082</c:v>
                </c:pt>
                <c:pt idx="1214">
                  <c:v>43083</c:v>
                </c:pt>
                <c:pt idx="1215">
                  <c:v>43084</c:v>
                </c:pt>
                <c:pt idx="1216">
                  <c:v>43087</c:v>
                </c:pt>
                <c:pt idx="1217">
                  <c:v>43088</c:v>
                </c:pt>
                <c:pt idx="1218">
                  <c:v>43089</c:v>
                </c:pt>
                <c:pt idx="1219">
                  <c:v>43090</c:v>
                </c:pt>
              </c:numCache>
            </c:numRef>
          </c:cat>
          <c:val>
            <c:numRef>
              <c:f>[0]!ret_graph</c:f>
              <c:numCache>
                <c:formatCode>General</c:formatCode>
                <c:ptCount val="1220"/>
                <c:pt idx="0">
                  <c:v>2.5652823252067414E-2</c:v>
                </c:pt>
                <c:pt idx="1">
                  <c:v>1.8733453356924556E-2</c:v>
                </c:pt>
                <c:pt idx="2">
                  <c:v>4.1683857684136072E-2</c:v>
                </c:pt>
                <c:pt idx="3">
                  <c:v>3.8836800241542235E-2</c:v>
                </c:pt>
                <c:pt idx="4">
                  <c:v>2.3784955116232354E-2</c:v>
                </c:pt>
                <c:pt idx="5">
                  <c:v>2.5962597992894132E-2</c:v>
                </c:pt>
                <c:pt idx="6">
                  <c:v>2.9228790404989269E-2</c:v>
                </c:pt>
                <c:pt idx="7">
                  <c:v>2.3008890295864504E-2</c:v>
                </c:pt>
                <c:pt idx="8">
                  <c:v>7.9627683931438042E-3</c:v>
                </c:pt>
                <c:pt idx="9">
                  <c:v>4.4533733789924312E-3</c:v>
                </c:pt>
                <c:pt idx="10">
                  <c:v>9.3136933904238717E-3</c:v>
                </c:pt>
                <c:pt idx="11">
                  <c:v>-3.4743590420234227E-3</c:v>
                </c:pt>
                <c:pt idx="12">
                  <c:v>4.3046600560892045E-4</c:v>
                </c:pt>
                <c:pt idx="13">
                  <c:v>-5.0901789345569881E-4</c:v>
                </c:pt>
                <c:pt idx="14">
                  <c:v>5.9327561020996455E-3</c:v>
                </c:pt>
                <c:pt idx="15">
                  <c:v>-2.4311854285219425E-4</c:v>
                </c:pt>
                <c:pt idx="16">
                  <c:v>5.4251178897626318E-3</c:v>
                </c:pt>
                <c:pt idx="17">
                  <c:v>6.4670712764263172E-3</c:v>
                </c:pt>
                <c:pt idx="18">
                  <c:v>1.4051475017873294E-2</c:v>
                </c:pt>
                <c:pt idx="19">
                  <c:v>-3.2258222023058281E-3</c:v>
                </c:pt>
                <c:pt idx="20">
                  <c:v>9.131380456334881E-3</c:v>
                </c:pt>
                <c:pt idx="21">
                  <c:v>-2.3214085211389346E-3</c:v>
                </c:pt>
                <c:pt idx="22">
                  <c:v>7.3071800388966324E-3</c:v>
                </c:pt>
                <c:pt idx="23">
                  <c:v>3.0902820500813277E-3</c:v>
                </c:pt>
                <c:pt idx="24">
                  <c:v>1.5794248395900823E-2</c:v>
                </c:pt>
                <c:pt idx="25">
                  <c:v>1.5291741924803759E-2</c:v>
                </c:pt>
                <c:pt idx="26">
                  <c:v>1.6934560511864483E-2</c:v>
                </c:pt>
                <c:pt idx="27">
                  <c:v>-1.1458498389421479E-2</c:v>
                </c:pt>
                <c:pt idx="28">
                  <c:v>1.3349475961846657E-2</c:v>
                </c:pt>
                <c:pt idx="29">
                  <c:v>-5.1221163632693134E-3</c:v>
                </c:pt>
                <c:pt idx="30">
                  <c:v>-7.5415276523251862E-3</c:v>
                </c:pt>
                <c:pt idx="31">
                  <c:v>-5.0154971446874086E-3</c:v>
                </c:pt>
                <c:pt idx="32">
                  <c:v>-3.9027646966474094E-3</c:v>
                </c:pt>
                <c:pt idx="33">
                  <c:v>-5.652895337574293E-3</c:v>
                </c:pt>
                <c:pt idx="34">
                  <c:v>-9.1925114203101899E-3</c:v>
                </c:pt>
                <c:pt idx="35">
                  <c:v>-2.3250989446914616E-3</c:v>
                </c:pt>
                <c:pt idx="36">
                  <c:v>1.9065214256458241E-2</c:v>
                </c:pt>
                <c:pt idx="37">
                  <c:v>1.2019688682433305E-2</c:v>
                </c:pt>
                <c:pt idx="38">
                  <c:v>2.8932819492073492E-2</c:v>
                </c:pt>
                <c:pt idx="39">
                  <c:v>2.6304903263459245E-2</c:v>
                </c:pt>
                <c:pt idx="40">
                  <c:v>2.6859918015746054E-2</c:v>
                </c:pt>
                <c:pt idx="41">
                  <c:v>3.2688683669889862E-2</c:v>
                </c:pt>
                <c:pt idx="42">
                  <c:v>2.4229332146987304E-2</c:v>
                </c:pt>
                <c:pt idx="43">
                  <c:v>2.9439631026737523E-2</c:v>
                </c:pt>
                <c:pt idx="44">
                  <c:v>2.954355511495077E-2</c:v>
                </c:pt>
                <c:pt idx="45">
                  <c:v>2.7693449204909015E-2</c:v>
                </c:pt>
                <c:pt idx="46">
                  <c:v>2.4845477540740291E-2</c:v>
                </c:pt>
                <c:pt idx="47">
                  <c:v>2.2406548923478375E-2</c:v>
                </c:pt>
                <c:pt idx="48">
                  <c:v>4.184908829181655E-2</c:v>
                </c:pt>
                <c:pt idx="49">
                  <c:v>3.758618746278497E-2</c:v>
                </c:pt>
                <c:pt idx="50">
                  <c:v>2.2084291966648628E-2</c:v>
                </c:pt>
                <c:pt idx="51">
                  <c:v>3.0425742856767357E-2</c:v>
                </c:pt>
                <c:pt idx="52">
                  <c:v>2.4501235038235869E-2</c:v>
                </c:pt>
                <c:pt idx="53">
                  <c:v>2.2091601071660527E-2</c:v>
                </c:pt>
                <c:pt idx="54">
                  <c:v>1.7477444910000806E-2</c:v>
                </c:pt>
                <c:pt idx="55">
                  <c:v>1.0236986064501075E-2</c:v>
                </c:pt>
                <c:pt idx="56">
                  <c:v>9.6425798335291191E-3</c:v>
                </c:pt>
                <c:pt idx="57">
                  <c:v>5.8724751452849944E-3</c:v>
                </c:pt>
                <c:pt idx="58">
                  <c:v>-6.3015647582407297E-3</c:v>
                </c:pt>
                <c:pt idx="59">
                  <c:v>2.384392087307674E-3</c:v>
                </c:pt>
                <c:pt idx="60">
                  <c:v>-2.2273596854390121E-2</c:v>
                </c:pt>
                <c:pt idx="61">
                  <c:v>-1.5647288197332188E-2</c:v>
                </c:pt>
                <c:pt idx="62">
                  <c:v>-2.2894240777302066E-2</c:v>
                </c:pt>
                <c:pt idx="63">
                  <c:v>-2.8461721742424118E-2</c:v>
                </c:pt>
                <c:pt idx="64">
                  <c:v>-1.7079151877719134E-2</c:v>
                </c:pt>
                <c:pt idx="65">
                  <c:v>-3.7777201398574434E-3</c:v>
                </c:pt>
                <c:pt idx="66">
                  <c:v>-1.0445555670386852E-2</c:v>
                </c:pt>
                <c:pt idx="67">
                  <c:v>-1.3577883329265461E-2</c:v>
                </c:pt>
                <c:pt idx="68">
                  <c:v>-2.5646285237670874E-2</c:v>
                </c:pt>
                <c:pt idx="69">
                  <c:v>3.4403603111199388E-3</c:v>
                </c:pt>
                <c:pt idx="70">
                  <c:v>-8.3804808614518222E-3</c:v>
                </c:pt>
                <c:pt idx="71">
                  <c:v>4.6844429183954261E-3</c:v>
                </c:pt>
                <c:pt idx="72">
                  <c:v>2.6320961504366913E-2</c:v>
                </c:pt>
                <c:pt idx="73">
                  <c:v>3.9182054554336432E-3</c:v>
                </c:pt>
                <c:pt idx="74">
                  <c:v>-3.4160133717993091E-2</c:v>
                </c:pt>
                <c:pt idx="75">
                  <c:v>-3.1147040799494263E-2</c:v>
                </c:pt>
                <c:pt idx="76">
                  <c:v>-3.3161145466372943E-2</c:v>
                </c:pt>
                <c:pt idx="77">
                  <c:v>-1.5303912518819018E-2</c:v>
                </c:pt>
                <c:pt idx="78">
                  <c:v>-2.0435191111318751E-2</c:v>
                </c:pt>
                <c:pt idx="79">
                  <c:v>-8.3520989279826097E-3</c:v>
                </c:pt>
                <c:pt idx="80">
                  <c:v>-2.0189763799466576E-2</c:v>
                </c:pt>
                <c:pt idx="81">
                  <c:v>-2.2561527679412663E-2</c:v>
                </c:pt>
                <c:pt idx="82">
                  <c:v>-9.1582830450773756E-3</c:v>
                </c:pt>
                <c:pt idx="83">
                  <c:v>1.6993849597694677E-2</c:v>
                </c:pt>
                <c:pt idx="84">
                  <c:v>2.4477676136744897E-2</c:v>
                </c:pt>
                <c:pt idx="85">
                  <c:v>4.193485020017107E-2</c:v>
                </c:pt>
                <c:pt idx="86">
                  <c:v>3.9686055663859854E-2</c:v>
                </c:pt>
                <c:pt idx="87">
                  <c:v>3.0322841733199546E-2</c:v>
                </c:pt>
                <c:pt idx="88">
                  <c:v>3.7605363801743508E-2</c:v>
                </c:pt>
                <c:pt idx="89">
                  <c:v>4.498588255948377E-2</c:v>
                </c:pt>
                <c:pt idx="90">
                  <c:v>4.0970618119915869E-2</c:v>
                </c:pt>
                <c:pt idx="91">
                  <c:v>3.7800019604662616E-2</c:v>
                </c:pt>
                <c:pt idx="92">
                  <c:v>3.9746518189117452E-2</c:v>
                </c:pt>
                <c:pt idx="93">
                  <c:v>3.4616813908763255E-2</c:v>
                </c:pt>
                <c:pt idx="94">
                  <c:v>3.0987764627466774E-2</c:v>
                </c:pt>
                <c:pt idx="95">
                  <c:v>2.5815065166788109E-2</c:v>
                </c:pt>
                <c:pt idx="96">
                  <c:v>2.3779835612613986E-2</c:v>
                </c:pt>
                <c:pt idx="97">
                  <c:v>6.4981193180893015E-3</c:v>
                </c:pt>
                <c:pt idx="98">
                  <c:v>5.9695998452484744E-3</c:v>
                </c:pt>
                <c:pt idx="99">
                  <c:v>5.4236156450446771E-3</c:v>
                </c:pt>
                <c:pt idx="100">
                  <c:v>5.3962369598830051E-3</c:v>
                </c:pt>
                <c:pt idx="101">
                  <c:v>2.9997777130583714E-3</c:v>
                </c:pt>
                <c:pt idx="102">
                  <c:v>-2.1569828676177849E-3</c:v>
                </c:pt>
                <c:pt idx="103">
                  <c:v>8.6968498170056918E-3</c:v>
                </c:pt>
                <c:pt idx="104">
                  <c:v>8.3050017444552537E-3</c:v>
                </c:pt>
                <c:pt idx="105">
                  <c:v>8.677724526353181E-3</c:v>
                </c:pt>
                <c:pt idx="106">
                  <c:v>6.7567545992357481E-3</c:v>
                </c:pt>
                <c:pt idx="107">
                  <c:v>3.9041867391453877E-4</c:v>
                </c:pt>
                <c:pt idx="108">
                  <c:v>3.4403883849432049E-3</c:v>
                </c:pt>
                <c:pt idx="109">
                  <c:v>3.6070746150418387E-3</c:v>
                </c:pt>
                <c:pt idx="110">
                  <c:v>2.0797417430511445E-3</c:v>
                </c:pt>
                <c:pt idx="111">
                  <c:v>4.9883702996735835E-3</c:v>
                </c:pt>
                <c:pt idx="112">
                  <c:v>-1.2664281053356596E-2</c:v>
                </c:pt>
                <c:pt idx="113">
                  <c:v>-2.8687960572499449E-2</c:v>
                </c:pt>
                <c:pt idx="114">
                  <c:v>-3.0517097351394185E-2</c:v>
                </c:pt>
                <c:pt idx="115">
                  <c:v>-3.0695401923188648E-2</c:v>
                </c:pt>
                <c:pt idx="116">
                  <c:v>-2.3068363121860891E-2</c:v>
                </c:pt>
                <c:pt idx="117">
                  <c:v>-3.2742653639343366E-2</c:v>
                </c:pt>
                <c:pt idx="118">
                  <c:v>-2.0583864229883453E-2</c:v>
                </c:pt>
                <c:pt idx="119">
                  <c:v>-1.5491036640253419E-2</c:v>
                </c:pt>
                <c:pt idx="120">
                  <c:v>-2.2311085774983752E-2</c:v>
                </c:pt>
                <c:pt idx="121">
                  <c:v>-3.3122562199270789E-2</c:v>
                </c:pt>
                <c:pt idx="122">
                  <c:v>-1.5994119234030713E-2</c:v>
                </c:pt>
                <c:pt idx="123">
                  <c:v>-1.0722575107269705E-2</c:v>
                </c:pt>
                <c:pt idx="124">
                  <c:v>-7.9841644741618367E-3</c:v>
                </c:pt>
                <c:pt idx="125">
                  <c:v>-7.6425022452992764E-3</c:v>
                </c:pt>
                <c:pt idx="126">
                  <c:v>6.2380549776293037E-3</c:v>
                </c:pt>
                <c:pt idx="127">
                  <c:v>-1.135255159373294E-3</c:v>
                </c:pt>
                <c:pt idx="128">
                  <c:v>-5.0200673060016854E-3</c:v>
                </c:pt>
                <c:pt idx="129">
                  <c:v>8.9710542465608611E-3</c:v>
                </c:pt>
                <c:pt idx="130">
                  <c:v>3.2291533892285784E-2</c:v>
                </c:pt>
                <c:pt idx="131">
                  <c:v>3.2595291079971389E-2</c:v>
                </c:pt>
                <c:pt idx="132">
                  <c:v>2.7247672571026449E-2</c:v>
                </c:pt>
                <c:pt idx="133">
                  <c:v>3.3138041097013016E-2</c:v>
                </c:pt>
                <c:pt idx="134">
                  <c:v>3.4659474444571181E-2</c:v>
                </c:pt>
                <c:pt idx="135">
                  <c:v>3.0784156325080581E-2</c:v>
                </c:pt>
                <c:pt idx="136">
                  <c:v>4.1679146478163176E-2</c:v>
                </c:pt>
                <c:pt idx="137">
                  <c:v>3.9780062436486574E-2</c:v>
                </c:pt>
                <c:pt idx="138">
                  <c:v>2.2593726120909707E-2</c:v>
                </c:pt>
                <c:pt idx="139">
                  <c:v>1.0544027081391683E-2</c:v>
                </c:pt>
                <c:pt idx="140">
                  <c:v>4.8958706879194125E-3</c:v>
                </c:pt>
                <c:pt idx="141">
                  <c:v>5.538787642930032E-3</c:v>
                </c:pt>
                <c:pt idx="142">
                  <c:v>6.3071517644397446E-3</c:v>
                </c:pt>
                <c:pt idx="143">
                  <c:v>-3.4519786097781946E-3</c:v>
                </c:pt>
                <c:pt idx="144">
                  <c:v>-1.3708327978880774E-2</c:v>
                </c:pt>
                <c:pt idx="145">
                  <c:v>-1.7845725090277043E-2</c:v>
                </c:pt>
                <c:pt idx="146">
                  <c:v>-1.6667962713989404E-2</c:v>
                </c:pt>
                <c:pt idx="147">
                  <c:v>-1.8444881080140973E-2</c:v>
                </c:pt>
                <c:pt idx="148">
                  <c:v>-6.6856555375345295E-3</c:v>
                </c:pt>
                <c:pt idx="149">
                  <c:v>-1.2627881573171074E-2</c:v>
                </c:pt>
                <c:pt idx="150">
                  <c:v>-2.2293406628479673E-2</c:v>
                </c:pt>
                <c:pt idx="151">
                  <c:v>-2.5199030647306664E-2</c:v>
                </c:pt>
                <c:pt idx="152">
                  <c:v>4.7871442116598217E-4</c:v>
                </c:pt>
                <c:pt idx="153">
                  <c:v>1.2792789576537622E-2</c:v>
                </c:pt>
                <c:pt idx="154">
                  <c:v>8.8925064471201409E-3</c:v>
                </c:pt>
                <c:pt idx="155">
                  <c:v>2.4706088065533649E-3</c:v>
                </c:pt>
                <c:pt idx="156">
                  <c:v>2.5223385376549778E-2</c:v>
                </c:pt>
                <c:pt idx="157">
                  <c:v>2.4916232776358349E-2</c:v>
                </c:pt>
                <c:pt idx="158">
                  <c:v>3.9986386085623771E-2</c:v>
                </c:pt>
                <c:pt idx="159">
                  <c:v>5.2486868157226141E-2</c:v>
                </c:pt>
                <c:pt idx="160">
                  <c:v>5.763424294656172E-2</c:v>
                </c:pt>
                <c:pt idx="161">
                  <c:v>3.1302866369626869E-2</c:v>
                </c:pt>
                <c:pt idx="162">
                  <c:v>2.8289109405501556E-2</c:v>
                </c:pt>
                <c:pt idx="163">
                  <c:v>2.8607882777853533E-2</c:v>
                </c:pt>
                <c:pt idx="164">
                  <c:v>3.7025488411298824E-2</c:v>
                </c:pt>
                <c:pt idx="165">
                  <c:v>2.8861345696323149E-2</c:v>
                </c:pt>
                <c:pt idx="166">
                  <c:v>1.7252182118007831E-2</c:v>
                </c:pt>
                <c:pt idx="167">
                  <c:v>6.8780055815675922E-3</c:v>
                </c:pt>
                <c:pt idx="168">
                  <c:v>9.6854881223125133E-3</c:v>
                </c:pt>
                <c:pt idx="169">
                  <c:v>7.5285710905612646E-3</c:v>
                </c:pt>
                <c:pt idx="170">
                  <c:v>9.4547934512130283E-3</c:v>
                </c:pt>
                <c:pt idx="171">
                  <c:v>1.0458423550458562E-2</c:v>
                </c:pt>
                <c:pt idx="172">
                  <c:v>-7.1972273778788676E-3</c:v>
                </c:pt>
                <c:pt idx="173">
                  <c:v>4.8121653994694924E-3</c:v>
                </c:pt>
                <c:pt idx="174">
                  <c:v>-3.3825455201252908E-5</c:v>
                </c:pt>
                <c:pt idx="175">
                  <c:v>2.4808180381290512E-3</c:v>
                </c:pt>
                <c:pt idx="176">
                  <c:v>1.4390341822357655E-2</c:v>
                </c:pt>
                <c:pt idx="177">
                  <c:v>1.6316723930007271E-2</c:v>
                </c:pt>
                <c:pt idx="178">
                  <c:v>1.6965671088049916E-2</c:v>
                </c:pt>
                <c:pt idx="179">
                  <c:v>1.6070149181531157E-2</c:v>
                </c:pt>
                <c:pt idx="180">
                  <c:v>9.7686255925806265E-3</c:v>
                </c:pt>
                <c:pt idx="181">
                  <c:v>1.9396825700389364E-2</c:v>
                </c:pt>
                <c:pt idx="182">
                  <c:v>1.4154322586793278E-2</c:v>
                </c:pt>
                <c:pt idx="183">
                  <c:v>1.8380842524183372E-2</c:v>
                </c:pt>
                <c:pt idx="184">
                  <c:v>1.9489907220870961E-2</c:v>
                </c:pt>
                <c:pt idx="185">
                  <c:v>1.1576947766114287E-2</c:v>
                </c:pt>
                <c:pt idx="186">
                  <c:v>9.2333494291949592E-3</c:v>
                </c:pt>
                <c:pt idx="187">
                  <c:v>4.2342049563428574E-3</c:v>
                </c:pt>
                <c:pt idx="188">
                  <c:v>5.2165337167053849E-3</c:v>
                </c:pt>
                <c:pt idx="189">
                  <c:v>4.0636329015120154E-3</c:v>
                </c:pt>
                <c:pt idx="190">
                  <c:v>6.4015258853808987E-3</c:v>
                </c:pt>
                <c:pt idx="191">
                  <c:v>-6.0431960377194116E-3</c:v>
                </c:pt>
                <c:pt idx="192">
                  <c:v>1.8280870568698759E-4</c:v>
                </c:pt>
                <c:pt idx="193">
                  <c:v>3.2624009664532494E-3</c:v>
                </c:pt>
                <c:pt idx="194">
                  <c:v>-7.2117424972262256E-5</c:v>
                </c:pt>
                <c:pt idx="195">
                  <c:v>-1.3935513286080337E-2</c:v>
                </c:pt>
                <c:pt idx="196">
                  <c:v>-1.6927203859038897E-2</c:v>
                </c:pt>
                <c:pt idx="197">
                  <c:v>-1.4305895318763362E-2</c:v>
                </c:pt>
                <c:pt idx="198">
                  <c:v>-4.8077870688976176E-3</c:v>
                </c:pt>
                <c:pt idx="199">
                  <c:v>-6.6092499577541375E-3</c:v>
                </c:pt>
                <c:pt idx="200">
                  <c:v>1.425067202873187E-2</c:v>
                </c:pt>
                <c:pt idx="201">
                  <c:v>2.49537991509996E-3</c:v>
                </c:pt>
                <c:pt idx="202">
                  <c:v>5.4870838844003345E-3</c:v>
                </c:pt>
                <c:pt idx="203">
                  <c:v>1.3975837697228322E-2</c:v>
                </c:pt>
                <c:pt idx="204">
                  <c:v>2.8268739415098665E-2</c:v>
                </c:pt>
                <c:pt idx="205">
                  <c:v>3.678073299411011E-2</c:v>
                </c:pt>
                <c:pt idx="206">
                  <c:v>3.654550695349279E-2</c:v>
                </c:pt>
                <c:pt idx="207">
                  <c:v>3.0066084802097492E-2</c:v>
                </c:pt>
                <c:pt idx="208">
                  <c:v>3.7123747019403019E-2</c:v>
                </c:pt>
                <c:pt idx="209">
                  <c:v>1.1711428156613302E-2</c:v>
                </c:pt>
                <c:pt idx="210">
                  <c:v>1.1958504799231662E-2</c:v>
                </c:pt>
                <c:pt idx="211">
                  <c:v>4.6364228131574592E-3</c:v>
                </c:pt>
                <c:pt idx="212">
                  <c:v>5.3957390787466863E-3</c:v>
                </c:pt>
                <c:pt idx="213">
                  <c:v>2.2720031091321147E-3</c:v>
                </c:pt>
                <c:pt idx="214">
                  <c:v>-2.1140531893273362E-3</c:v>
                </c:pt>
                <c:pt idx="215">
                  <c:v>5.2661866371384036E-4</c:v>
                </c:pt>
                <c:pt idx="216">
                  <c:v>-1.1950077931792258E-2</c:v>
                </c:pt>
                <c:pt idx="217">
                  <c:v>-5.142057969569791E-3</c:v>
                </c:pt>
                <c:pt idx="218">
                  <c:v>8.9122442470825902E-3</c:v>
                </c:pt>
                <c:pt idx="219">
                  <c:v>7.8972362159923648E-3</c:v>
                </c:pt>
                <c:pt idx="220">
                  <c:v>6.5093825452144927E-3</c:v>
                </c:pt>
                <c:pt idx="221">
                  <c:v>3.2159497921728786E-3</c:v>
                </c:pt>
                <c:pt idx="222">
                  <c:v>4.0028812529255831E-3</c:v>
                </c:pt>
                <c:pt idx="223">
                  <c:v>-5.2746920217199289E-3</c:v>
                </c:pt>
                <c:pt idx="224">
                  <c:v>-2.8675143881248033E-2</c:v>
                </c:pt>
                <c:pt idx="225">
                  <c:v>-2.0907398981981018E-2</c:v>
                </c:pt>
                <c:pt idx="226">
                  <c:v>-2.5545399865719354E-2</c:v>
                </c:pt>
                <c:pt idx="227">
                  <c:v>-4.095999300544495E-2</c:v>
                </c:pt>
                <c:pt idx="228">
                  <c:v>-2.8407920403408227E-2</c:v>
                </c:pt>
                <c:pt idx="229">
                  <c:v>-3.0991429686483052E-2</c:v>
                </c:pt>
                <c:pt idx="230">
                  <c:v>-5.6857946719455654E-2</c:v>
                </c:pt>
                <c:pt idx="231">
                  <c:v>-4.9820603102111782E-2</c:v>
                </c:pt>
                <c:pt idx="232">
                  <c:v>-4.2921560672315451E-2</c:v>
                </c:pt>
                <c:pt idx="233">
                  <c:v>-9.4620847602149283E-3</c:v>
                </c:pt>
                <c:pt idx="234">
                  <c:v>8.6403304323328101E-3</c:v>
                </c:pt>
                <c:pt idx="235">
                  <c:v>4.0864596801721831E-3</c:v>
                </c:pt>
                <c:pt idx="236">
                  <c:v>2.5349539529962328E-2</c:v>
                </c:pt>
                <c:pt idx="237">
                  <c:v>1.3876196768404014E-2</c:v>
                </c:pt>
                <c:pt idx="238">
                  <c:v>2.6155698475487377E-2</c:v>
                </c:pt>
                <c:pt idx="239">
                  <c:v>5.4049992558119264E-2</c:v>
                </c:pt>
                <c:pt idx="240">
                  <c:v>4.7595752630935628E-2</c:v>
                </c:pt>
                <c:pt idx="241">
                  <c:v>4.3080172840443964E-2</c:v>
                </c:pt>
                <c:pt idx="242">
                  <c:v>3.6730460090346639E-2</c:v>
                </c:pt>
                <c:pt idx="243">
                  <c:v>2.1595699976380445E-2</c:v>
                </c:pt>
                <c:pt idx="244">
                  <c:v>2.6195150696191938E-2</c:v>
                </c:pt>
                <c:pt idx="245">
                  <c:v>1.3845184301764846E-2</c:v>
                </c:pt>
                <c:pt idx="246">
                  <c:v>1.4136182528909025E-2</c:v>
                </c:pt>
                <c:pt idx="247">
                  <c:v>1.3278852180943268E-2</c:v>
                </c:pt>
                <c:pt idx="248">
                  <c:v>1.1259986924382126E-2</c:v>
                </c:pt>
                <c:pt idx="249">
                  <c:v>2.6963171062490687E-3</c:v>
                </c:pt>
                <c:pt idx="250">
                  <c:v>2.4394501840986571E-2</c:v>
                </c:pt>
                <c:pt idx="251">
                  <c:v>1.8327807738446111E-2</c:v>
                </c:pt>
                <c:pt idx="252">
                  <c:v>2.1965307372154186E-2</c:v>
                </c:pt>
                <c:pt idx="253">
                  <c:v>1.6335796712099615E-2</c:v>
                </c:pt>
                <c:pt idx="254">
                  <c:v>1.7221033683299858E-2</c:v>
                </c:pt>
                <c:pt idx="255">
                  <c:v>1.2104237033444321E-2</c:v>
                </c:pt>
                <c:pt idx="256">
                  <c:v>7.4734797298132705E-3</c:v>
                </c:pt>
                <c:pt idx="257">
                  <c:v>-7.0754359993596694E-3</c:v>
                </c:pt>
                <c:pt idx="258">
                  <c:v>-2.4953360884900633E-3</c:v>
                </c:pt>
                <c:pt idx="259">
                  <c:v>-8.079941320737305E-3</c:v>
                </c:pt>
                <c:pt idx="260">
                  <c:v>-8.3290660887325174E-4</c:v>
                </c:pt>
                <c:pt idx="261">
                  <c:v>-8.7003645755876491E-3</c:v>
                </c:pt>
                <c:pt idx="262">
                  <c:v>-3.2159753167757543E-3</c:v>
                </c:pt>
                <c:pt idx="263">
                  <c:v>-5.6896017286414136E-3</c:v>
                </c:pt>
                <c:pt idx="264">
                  <c:v>-5.4710862162528073E-3</c:v>
                </c:pt>
                <c:pt idx="265">
                  <c:v>-1.3819393799936464E-3</c:v>
                </c:pt>
                <c:pt idx="266">
                  <c:v>3.3632154537990289E-3</c:v>
                </c:pt>
                <c:pt idx="267">
                  <c:v>4.2870903078453537E-3</c:v>
                </c:pt>
                <c:pt idx="268">
                  <c:v>-6.5113807999761519E-4</c:v>
                </c:pt>
                <c:pt idx="269">
                  <c:v>4.8051188960229752E-5</c:v>
                </c:pt>
                <c:pt idx="270">
                  <c:v>1.3213264230632404E-2</c:v>
                </c:pt>
                <c:pt idx="271">
                  <c:v>1.0040193634079486E-2</c:v>
                </c:pt>
                <c:pt idx="272">
                  <c:v>1.1850088878895271E-2</c:v>
                </c:pt>
                <c:pt idx="273">
                  <c:v>4.1101272309598258E-3</c:v>
                </c:pt>
                <c:pt idx="274">
                  <c:v>-1.1092456236129422E-2</c:v>
                </c:pt>
                <c:pt idx="275">
                  <c:v>-3.2398151555934618E-4</c:v>
                </c:pt>
                <c:pt idx="276">
                  <c:v>1.2436949544126996E-2</c:v>
                </c:pt>
                <c:pt idx="277">
                  <c:v>-1.3298507591619213E-2</c:v>
                </c:pt>
                <c:pt idx="278">
                  <c:v>-3.072343906927788E-2</c:v>
                </c:pt>
                <c:pt idx="279">
                  <c:v>-2.9554419083688721E-2</c:v>
                </c:pt>
                <c:pt idx="280">
                  <c:v>-2.5669102992538662E-2</c:v>
                </c:pt>
                <c:pt idx="281">
                  <c:v>-1.4108149825429628E-2</c:v>
                </c:pt>
                <c:pt idx="282">
                  <c:v>-1.2868303729440811E-4</c:v>
                </c:pt>
                <c:pt idx="283">
                  <c:v>1.4447645046421265E-2</c:v>
                </c:pt>
                <c:pt idx="284">
                  <c:v>1.4787895898382253E-2</c:v>
                </c:pt>
                <c:pt idx="285">
                  <c:v>1.7130896692600928E-3</c:v>
                </c:pt>
                <c:pt idx="286">
                  <c:v>2.453454549161016E-2</c:v>
                </c:pt>
                <c:pt idx="287">
                  <c:v>2.5937260646847982E-2</c:v>
                </c:pt>
                <c:pt idx="288">
                  <c:v>2.0984364003745704E-2</c:v>
                </c:pt>
                <c:pt idx="289">
                  <c:v>1.8999244869231546E-2</c:v>
                </c:pt>
                <c:pt idx="290">
                  <c:v>1.1552926188564072E-2</c:v>
                </c:pt>
                <c:pt idx="291">
                  <c:v>1.0046730977933294E-2</c:v>
                </c:pt>
                <c:pt idx="292">
                  <c:v>4.9293603601459068E-3</c:v>
                </c:pt>
                <c:pt idx="293">
                  <c:v>2.7150387604937265E-3</c:v>
                </c:pt>
                <c:pt idx="294">
                  <c:v>-4.0982256806980644E-3</c:v>
                </c:pt>
                <c:pt idx="295">
                  <c:v>-2.1295883606953225E-4</c:v>
                </c:pt>
                <c:pt idx="296">
                  <c:v>6.541816738915962E-3</c:v>
                </c:pt>
                <c:pt idx="297">
                  <c:v>4.8293280824438511E-3</c:v>
                </c:pt>
                <c:pt idx="298">
                  <c:v>9.7061239650901854E-3</c:v>
                </c:pt>
                <c:pt idx="299">
                  <c:v>7.1402431405198641E-3</c:v>
                </c:pt>
                <c:pt idx="300">
                  <c:v>2.5714250085302481E-3</c:v>
                </c:pt>
                <c:pt idx="301">
                  <c:v>-5.4851238004438585E-3</c:v>
                </c:pt>
                <c:pt idx="302">
                  <c:v>-3.6146286900899938E-3</c:v>
                </c:pt>
                <c:pt idx="303">
                  <c:v>9.2518168655155719E-3</c:v>
                </c:pt>
                <c:pt idx="304">
                  <c:v>-2.8685424885761535E-3</c:v>
                </c:pt>
                <c:pt idx="305">
                  <c:v>6.5893671347145855E-3</c:v>
                </c:pt>
                <c:pt idx="306">
                  <c:v>7.4304884799607507E-3</c:v>
                </c:pt>
                <c:pt idx="307">
                  <c:v>2.0436251619448953E-3</c:v>
                </c:pt>
                <c:pt idx="308">
                  <c:v>7.5919065196830005E-3</c:v>
                </c:pt>
                <c:pt idx="309">
                  <c:v>1.1189303339791401E-2</c:v>
                </c:pt>
                <c:pt idx="310">
                  <c:v>2.5947965803395867E-2</c:v>
                </c:pt>
                <c:pt idx="311">
                  <c:v>2.4049983840380484E-2</c:v>
                </c:pt>
                <c:pt idx="312">
                  <c:v>2.0940131161028219E-2</c:v>
                </c:pt>
                <c:pt idx="313">
                  <c:v>2.7080447024201426E-2</c:v>
                </c:pt>
                <c:pt idx="314">
                  <c:v>2.0886983393444858E-2</c:v>
                </c:pt>
                <c:pt idx="315">
                  <c:v>2.5031621256420777E-2</c:v>
                </c:pt>
                <c:pt idx="316">
                  <c:v>2.540931167831495E-2</c:v>
                </c:pt>
                <c:pt idx="317">
                  <c:v>2.0377692709669937E-2</c:v>
                </c:pt>
                <c:pt idx="318">
                  <c:v>2.1246371367050543E-2</c:v>
                </c:pt>
                <c:pt idx="319">
                  <c:v>1.2350301770085892E-2</c:v>
                </c:pt>
                <c:pt idx="320">
                  <c:v>3.394181870726598E-3</c:v>
                </c:pt>
                <c:pt idx="321">
                  <c:v>5.7962794905828119E-3</c:v>
                </c:pt>
                <c:pt idx="322">
                  <c:v>7.0119235065311258E-3</c:v>
                </c:pt>
                <c:pt idx="323">
                  <c:v>7.292259194985995E-3</c:v>
                </c:pt>
                <c:pt idx="324">
                  <c:v>8.4774201457902265E-3</c:v>
                </c:pt>
                <c:pt idx="325">
                  <c:v>5.13700013384355E-3</c:v>
                </c:pt>
                <c:pt idx="326">
                  <c:v>5.9272325039314566E-3</c:v>
                </c:pt>
                <c:pt idx="327">
                  <c:v>6.0407736857497341E-3</c:v>
                </c:pt>
                <c:pt idx="328">
                  <c:v>3.1279780646480404E-3</c:v>
                </c:pt>
                <c:pt idx="329">
                  <c:v>1.5127675028161036E-2</c:v>
                </c:pt>
                <c:pt idx="330">
                  <c:v>1.0818436615295468E-2</c:v>
                </c:pt>
                <c:pt idx="331">
                  <c:v>1.189112646318069E-2</c:v>
                </c:pt>
                <c:pt idx="332">
                  <c:v>9.3485877177723609E-3</c:v>
                </c:pt>
                <c:pt idx="333">
                  <c:v>8.3149176653494195E-3</c:v>
                </c:pt>
                <c:pt idx="334">
                  <c:v>7.6968505321399761E-3</c:v>
                </c:pt>
                <c:pt idx="335">
                  <c:v>1.1432836939349933E-2</c:v>
                </c:pt>
                <c:pt idx="336">
                  <c:v>7.6340708525961531E-3</c:v>
                </c:pt>
                <c:pt idx="337">
                  <c:v>7.0164154719885019E-3</c:v>
                </c:pt>
                <c:pt idx="338">
                  <c:v>6.7643744540992756E-3</c:v>
                </c:pt>
                <c:pt idx="339">
                  <c:v>3.8043254289288342E-3</c:v>
                </c:pt>
                <c:pt idx="340">
                  <c:v>3.3651220146593275E-3</c:v>
                </c:pt>
                <c:pt idx="341">
                  <c:v>8.569309366002642E-3</c:v>
                </c:pt>
                <c:pt idx="342">
                  <c:v>-2.0228551286471941E-5</c:v>
                </c:pt>
                <c:pt idx="343">
                  <c:v>3.513460300472282E-3</c:v>
                </c:pt>
                <c:pt idx="344">
                  <c:v>-1.3855695623382402E-2</c:v>
                </c:pt>
                <c:pt idx="345">
                  <c:v>2.8815254528780088E-4</c:v>
                </c:pt>
                <c:pt idx="346">
                  <c:v>5.0389679711706492E-3</c:v>
                </c:pt>
                <c:pt idx="347">
                  <c:v>5.409062435711931E-3</c:v>
                </c:pt>
                <c:pt idx="348">
                  <c:v>1.1301591629973018E-2</c:v>
                </c:pt>
                <c:pt idx="349">
                  <c:v>1.0319786384773266E-2</c:v>
                </c:pt>
                <c:pt idx="350">
                  <c:v>6.2697958194402048E-4</c:v>
                </c:pt>
                <c:pt idx="351">
                  <c:v>2.8490577216899737E-3</c:v>
                </c:pt>
                <c:pt idx="352">
                  <c:v>-5.8812957024905188E-3</c:v>
                </c:pt>
                <c:pt idx="353">
                  <c:v>6.0842209988898333E-3</c:v>
                </c:pt>
                <c:pt idx="354">
                  <c:v>-2.4330320090876434E-2</c:v>
                </c:pt>
                <c:pt idx="355">
                  <c:v>-2.4870590050982244E-2</c:v>
                </c:pt>
                <c:pt idx="356">
                  <c:v>-2.2710886465382885E-2</c:v>
                </c:pt>
                <c:pt idx="357">
                  <c:v>-3.4196466553932936E-2</c:v>
                </c:pt>
                <c:pt idx="358">
                  <c:v>-3.4668864740980965E-2</c:v>
                </c:pt>
                <c:pt idx="359">
                  <c:v>-3.5380034497545232E-2</c:v>
                </c:pt>
                <c:pt idx="360">
                  <c:v>-2.4202724907095963E-2</c:v>
                </c:pt>
                <c:pt idx="361">
                  <c:v>-1.6909031535885077E-2</c:v>
                </c:pt>
                <c:pt idx="362">
                  <c:v>-1.8607924798206277E-2</c:v>
                </c:pt>
                <c:pt idx="363">
                  <c:v>8.2787744369818839E-3</c:v>
                </c:pt>
                <c:pt idx="364">
                  <c:v>1.5478389180729302E-2</c:v>
                </c:pt>
                <c:pt idx="365">
                  <c:v>8.2536998892548397E-3</c:v>
                </c:pt>
                <c:pt idx="366">
                  <c:v>2.6481861826167297E-2</c:v>
                </c:pt>
                <c:pt idx="367">
                  <c:v>3.1454414061428793E-2</c:v>
                </c:pt>
                <c:pt idx="368">
                  <c:v>3.9501277729055317E-2</c:v>
                </c:pt>
                <c:pt idx="369">
                  <c:v>3.0981402030151983E-2</c:v>
                </c:pt>
                <c:pt idx="370">
                  <c:v>2.6231202000857934E-2</c:v>
                </c:pt>
                <c:pt idx="371">
                  <c:v>3.2645538502462657E-2</c:v>
                </c:pt>
                <c:pt idx="372">
                  <c:v>2.7011300349695233E-2</c:v>
                </c:pt>
                <c:pt idx="373">
                  <c:v>2.2724887830975149E-2</c:v>
                </c:pt>
                <c:pt idx="374">
                  <c:v>2.1094931974862341E-2</c:v>
                </c:pt>
                <c:pt idx="375">
                  <c:v>1.5914363469766712E-2</c:v>
                </c:pt>
                <c:pt idx="376">
                  <c:v>1.038195865527225E-2</c:v>
                </c:pt>
                <c:pt idx="377">
                  <c:v>7.1277660075503846E-3</c:v>
                </c:pt>
                <c:pt idx="378">
                  <c:v>2.6466193437100216E-3</c:v>
                </c:pt>
                <c:pt idx="379">
                  <c:v>9.6644423553167158E-3</c:v>
                </c:pt>
                <c:pt idx="380">
                  <c:v>1.8102423394301681E-3</c:v>
                </c:pt>
                <c:pt idx="381">
                  <c:v>-5.8068084685789501E-3</c:v>
                </c:pt>
                <c:pt idx="382">
                  <c:v>-2.2173506177907143E-3</c:v>
                </c:pt>
                <c:pt idx="383">
                  <c:v>3.5549686818292514E-4</c:v>
                </c:pt>
                <c:pt idx="384">
                  <c:v>-8.9398229571573395E-3</c:v>
                </c:pt>
                <c:pt idx="385">
                  <c:v>-9.1060123072503885E-3</c:v>
                </c:pt>
                <c:pt idx="386">
                  <c:v>-8.7006082010265828E-4</c:v>
                </c:pt>
                <c:pt idx="387">
                  <c:v>1.9603439094337816E-3</c:v>
                </c:pt>
                <c:pt idx="388">
                  <c:v>1.8163530630399549E-3</c:v>
                </c:pt>
                <c:pt idx="389">
                  <c:v>4.4168154381365454E-3</c:v>
                </c:pt>
                <c:pt idx="390">
                  <c:v>2.9377347883041693E-3</c:v>
                </c:pt>
                <c:pt idx="391">
                  <c:v>-6.4949586246809687E-3</c:v>
                </c:pt>
                <c:pt idx="392">
                  <c:v>4.2550110133365848E-4</c:v>
                </c:pt>
                <c:pt idx="393">
                  <c:v>-9.8950069316261491E-3</c:v>
                </c:pt>
                <c:pt idx="394">
                  <c:v>-6.4534182201825274E-4</c:v>
                </c:pt>
                <c:pt idx="395">
                  <c:v>-1.0651899831852774E-2</c:v>
                </c:pt>
                <c:pt idx="396">
                  <c:v>-1.473652166392192E-2</c:v>
                </c:pt>
                <c:pt idx="397">
                  <c:v>-3.295288493416848E-2</c:v>
                </c:pt>
                <c:pt idx="398">
                  <c:v>-3.2470357943913619E-2</c:v>
                </c:pt>
                <c:pt idx="399">
                  <c:v>-1.3321120302921763E-2</c:v>
                </c:pt>
                <c:pt idx="400">
                  <c:v>-9.0942564291562888E-3</c:v>
                </c:pt>
                <c:pt idx="401">
                  <c:v>-3.2137851295444442E-2</c:v>
                </c:pt>
                <c:pt idx="402">
                  <c:v>1.4740096375955858E-3</c:v>
                </c:pt>
                <c:pt idx="403">
                  <c:v>-2.7943100414903554E-2</c:v>
                </c:pt>
                <c:pt idx="404">
                  <c:v>-3.6910129433213257E-2</c:v>
                </c:pt>
                <c:pt idx="405">
                  <c:v>-5.0725346159328666E-2</c:v>
                </c:pt>
                <c:pt idx="406">
                  <c:v>-3.581062027170212E-2</c:v>
                </c:pt>
                <c:pt idx="407">
                  <c:v>-4.3949064480763411E-2</c:v>
                </c:pt>
                <c:pt idx="408">
                  <c:v>-5.4907732314055657E-2</c:v>
                </c:pt>
                <c:pt idx="409">
                  <c:v>-4.0539533000400141E-2</c:v>
                </c:pt>
                <c:pt idx="410">
                  <c:v>-1.6196798622210018E-2</c:v>
                </c:pt>
                <c:pt idx="411">
                  <c:v>-1.4122375533125009E-2</c:v>
                </c:pt>
                <c:pt idx="412">
                  <c:v>-5.7062762377935172E-4</c:v>
                </c:pt>
                <c:pt idx="413">
                  <c:v>2.3174758129220763E-2</c:v>
                </c:pt>
                <c:pt idx="414">
                  <c:v>4.6808481814293756E-2</c:v>
                </c:pt>
                <c:pt idx="415">
                  <c:v>4.3728165308682954E-2</c:v>
                </c:pt>
                <c:pt idx="416">
                  <c:v>6.3729830662820675E-2</c:v>
                </c:pt>
                <c:pt idx="417">
                  <c:v>6.2198547220195799E-2</c:v>
                </c:pt>
                <c:pt idx="418">
                  <c:v>5.560753079823133E-2</c:v>
                </c:pt>
                <c:pt idx="419">
                  <c:v>5.8169529203979664E-2</c:v>
                </c:pt>
                <c:pt idx="420">
                  <c:v>3.8665229852015592E-2</c:v>
                </c:pt>
                <c:pt idx="421">
                  <c:v>4.3157477294919033E-2</c:v>
                </c:pt>
                <c:pt idx="422">
                  <c:v>3.6613482251235396E-2</c:v>
                </c:pt>
                <c:pt idx="423">
                  <c:v>3.3353195773126565E-2</c:v>
                </c:pt>
                <c:pt idx="424">
                  <c:v>3.5205417687313556E-2</c:v>
                </c:pt>
                <c:pt idx="425">
                  <c:v>2.6452380201189563E-2</c:v>
                </c:pt>
                <c:pt idx="426">
                  <c:v>2.8535147848732123E-2</c:v>
                </c:pt>
                <c:pt idx="427">
                  <c:v>2.1622988174512692E-2</c:v>
                </c:pt>
                <c:pt idx="428">
                  <c:v>1.048957805019235E-2</c:v>
                </c:pt>
                <c:pt idx="429">
                  <c:v>1.0848748084081983E-2</c:v>
                </c:pt>
                <c:pt idx="430">
                  <c:v>1.4417690110056114E-2</c:v>
                </c:pt>
                <c:pt idx="431">
                  <c:v>1.3854228976946104E-2</c:v>
                </c:pt>
                <c:pt idx="432">
                  <c:v>8.5835383445216351E-3</c:v>
                </c:pt>
                <c:pt idx="433">
                  <c:v>1.0199177089892153E-2</c:v>
                </c:pt>
                <c:pt idx="434">
                  <c:v>1.2307062585998452E-2</c:v>
                </c:pt>
                <c:pt idx="435">
                  <c:v>1.4470540689864642E-2</c:v>
                </c:pt>
                <c:pt idx="436">
                  <c:v>1.4021211851313886E-2</c:v>
                </c:pt>
                <c:pt idx="437">
                  <c:v>1.6293560004654317E-2</c:v>
                </c:pt>
                <c:pt idx="438">
                  <c:v>1.35076543907795E-2</c:v>
                </c:pt>
                <c:pt idx="439">
                  <c:v>5.9197758738562811E-3</c:v>
                </c:pt>
                <c:pt idx="440">
                  <c:v>7.1630933346513714E-3</c:v>
                </c:pt>
                <c:pt idx="441">
                  <c:v>1.2423053839727416E-2</c:v>
                </c:pt>
                <c:pt idx="442">
                  <c:v>9.2953183602366707E-3</c:v>
                </c:pt>
                <c:pt idx="443">
                  <c:v>5.7359372047436352E-3</c:v>
                </c:pt>
                <c:pt idx="444">
                  <c:v>-4.4070144183336879E-3</c:v>
                </c:pt>
                <c:pt idx="445">
                  <c:v>-3.4941750566268581E-3</c:v>
                </c:pt>
                <c:pt idx="446">
                  <c:v>-2.2782348446616751E-2</c:v>
                </c:pt>
                <c:pt idx="447">
                  <c:v>-1.5711250295158408E-2</c:v>
                </c:pt>
                <c:pt idx="448">
                  <c:v>-2.5204926348099121E-2</c:v>
                </c:pt>
                <c:pt idx="449">
                  <c:v>-3.7931879573465999E-2</c:v>
                </c:pt>
                <c:pt idx="450">
                  <c:v>-5.0214813307149164E-2</c:v>
                </c:pt>
                <c:pt idx="451">
                  <c:v>-2.8904168159196608E-2</c:v>
                </c:pt>
                <c:pt idx="452">
                  <c:v>-6.8366251238014542E-3</c:v>
                </c:pt>
                <c:pt idx="453">
                  <c:v>5.006034767211176E-3</c:v>
                </c:pt>
                <c:pt idx="454">
                  <c:v>9.0471095805613189E-3</c:v>
                </c:pt>
                <c:pt idx="455">
                  <c:v>2.7278069135435068E-2</c:v>
                </c:pt>
                <c:pt idx="456">
                  <c:v>2.2613329153151618E-2</c:v>
                </c:pt>
                <c:pt idx="457">
                  <c:v>4.2263905061725282E-2</c:v>
                </c:pt>
                <c:pt idx="458">
                  <c:v>4.9488094279008799E-2</c:v>
                </c:pt>
                <c:pt idx="459">
                  <c:v>5.3112761624729998E-2</c:v>
                </c:pt>
                <c:pt idx="460">
                  <c:v>2.2600304194527077E-2</c:v>
                </c:pt>
                <c:pt idx="461">
                  <c:v>-1.4710916787983308E-3</c:v>
                </c:pt>
                <c:pt idx="462">
                  <c:v>-2.4477943183764062E-2</c:v>
                </c:pt>
                <c:pt idx="463">
                  <c:v>-3.72144206388203E-2</c:v>
                </c:pt>
                <c:pt idx="464">
                  <c:v>-2.7396523542583928E-2</c:v>
                </c:pt>
                <c:pt idx="465">
                  <c:v>-9.5270487954168814E-3</c:v>
                </c:pt>
                <c:pt idx="466">
                  <c:v>-2.1270481064875391E-2</c:v>
                </c:pt>
                <c:pt idx="467">
                  <c:v>-3.0258501023237905E-2</c:v>
                </c:pt>
                <c:pt idx="468">
                  <c:v>-2.7939794023991382E-2</c:v>
                </c:pt>
                <c:pt idx="469">
                  <c:v>-2.3405438718712368E-2</c:v>
                </c:pt>
                <c:pt idx="470">
                  <c:v>-3.2356320539212113E-2</c:v>
                </c:pt>
                <c:pt idx="471">
                  <c:v>-5.7421387716427574E-4</c:v>
                </c:pt>
                <c:pt idx="472">
                  <c:v>9.9077934533227108E-3</c:v>
                </c:pt>
                <c:pt idx="473">
                  <c:v>3.0655225168212397E-3</c:v>
                </c:pt>
                <c:pt idx="474">
                  <c:v>4.8966694238306019E-4</c:v>
                </c:pt>
                <c:pt idx="475">
                  <c:v>3.4223328075322357E-3</c:v>
                </c:pt>
                <c:pt idx="476">
                  <c:v>1.411411796106421E-2</c:v>
                </c:pt>
                <c:pt idx="477">
                  <c:v>3.2177158748423196E-3</c:v>
                </c:pt>
                <c:pt idx="478">
                  <c:v>-4.5397585224469239E-3</c:v>
                </c:pt>
                <c:pt idx="479">
                  <c:v>1.4240661835748014E-2</c:v>
                </c:pt>
                <c:pt idx="480">
                  <c:v>-1.2171330473955244E-2</c:v>
                </c:pt>
                <c:pt idx="481">
                  <c:v>-8.4091264266206167E-4</c:v>
                </c:pt>
                <c:pt idx="482">
                  <c:v>8.7748607055377903E-3</c:v>
                </c:pt>
                <c:pt idx="483">
                  <c:v>-1.0544158568978723E-2</c:v>
                </c:pt>
                <c:pt idx="484">
                  <c:v>5.2013085422331073E-3</c:v>
                </c:pt>
                <c:pt idx="485">
                  <c:v>-7.8788737942581122E-4</c:v>
                </c:pt>
                <c:pt idx="486">
                  <c:v>8.4341608354892017E-3</c:v>
                </c:pt>
                <c:pt idx="487">
                  <c:v>3.2640643542392489E-2</c:v>
                </c:pt>
                <c:pt idx="488">
                  <c:v>2.3122092187830567E-2</c:v>
                </c:pt>
                <c:pt idx="489">
                  <c:v>4.5797486296620171E-2</c:v>
                </c:pt>
                <c:pt idx="490">
                  <c:v>3.6984775314485852E-2</c:v>
                </c:pt>
                <c:pt idx="491">
                  <c:v>2.4244836948383863E-2</c:v>
                </c:pt>
                <c:pt idx="492">
                  <c:v>2.8095184757070513E-2</c:v>
                </c:pt>
                <c:pt idx="493">
                  <c:v>1.6793751964875092E-2</c:v>
                </c:pt>
                <c:pt idx="494">
                  <c:v>2.6325622544038474E-2</c:v>
                </c:pt>
                <c:pt idx="495">
                  <c:v>3.0278476768187623E-2</c:v>
                </c:pt>
                <c:pt idx="496">
                  <c:v>2.2414469345834576E-2</c:v>
                </c:pt>
                <c:pt idx="497">
                  <c:v>2.1677486610788499E-2</c:v>
                </c:pt>
                <c:pt idx="498">
                  <c:v>1.0602073084081454E-2</c:v>
                </c:pt>
                <c:pt idx="499">
                  <c:v>3.5749308060308849E-3</c:v>
                </c:pt>
                <c:pt idx="500">
                  <c:v>8.0848693247661529E-3</c:v>
                </c:pt>
                <c:pt idx="501">
                  <c:v>3.8503548850048475E-3</c:v>
                </c:pt>
                <c:pt idx="502">
                  <c:v>5.1481562304989126E-4</c:v>
                </c:pt>
                <c:pt idx="503">
                  <c:v>-4.3976618986398819E-3</c:v>
                </c:pt>
                <c:pt idx="504">
                  <c:v>-1.8369632772927247E-2</c:v>
                </c:pt>
                <c:pt idx="505">
                  <c:v>-1.7187942654378396E-2</c:v>
                </c:pt>
                <c:pt idx="506">
                  <c:v>-3.3528746910648444E-2</c:v>
                </c:pt>
                <c:pt idx="507">
                  <c:v>-3.3971149072389295E-2</c:v>
                </c:pt>
                <c:pt idx="508">
                  <c:v>-1.8487763897077514E-2</c:v>
                </c:pt>
                <c:pt idx="509">
                  <c:v>-3.0687239451861359E-2</c:v>
                </c:pt>
                <c:pt idx="510">
                  <c:v>-1.269545751189316E-2</c:v>
                </c:pt>
                <c:pt idx="511">
                  <c:v>-1.1622993936820869E-2</c:v>
                </c:pt>
                <c:pt idx="512">
                  <c:v>-7.3325765482668004E-4</c:v>
                </c:pt>
                <c:pt idx="513">
                  <c:v>8.6576096621469034E-3</c:v>
                </c:pt>
                <c:pt idx="514">
                  <c:v>1.3693329376463836E-2</c:v>
                </c:pt>
                <c:pt idx="515">
                  <c:v>2.9052893863956264E-2</c:v>
                </c:pt>
                <c:pt idx="516">
                  <c:v>2.4814068806423784E-2</c:v>
                </c:pt>
                <c:pt idx="517">
                  <c:v>-2.3745598751423458E-3</c:v>
                </c:pt>
                <c:pt idx="518">
                  <c:v>1.3383463112184302E-3</c:v>
                </c:pt>
                <c:pt idx="519">
                  <c:v>-9.7388015607204892E-3</c:v>
                </c:pt>
                <c:pt idx="520">
                  <c:v>5.749278402352509E-3</c:v>
                </c:pt>
                <c:pt idx="521">
                  <c:v>-1.5170509143573874E-2</c:v>
                </c:pt>
                <c:pt idx="522">
                  <c:v>-1.4259274844081737E-2</c:v>
                </c:pt>
                <c:pt idx="523">
                  <c:v>-1.9708204444852662E-2</c:v>
                </c:pt>
                <c:pt idx="524">
                  <c:v>-1.1373875207666195E-2</c:v>
                </c:pt>
                <c:pt idx="525">
                  <c:v>-7.2795621253476384E-3</c:v>
                </c:pt>
                <c:pt idx="526">
                  <c:v>1.0065305770935673E-2</c:v>
                </c:pt>
                <c:pt idx="527">
                  <c:v>1.6893212969574911E-2</c:v>
                </c:pt>
                <c:pt idx="528">
                  <c:v>1.9716828766319416E-2</c:v>
                </c:pt>
                <c:pt idx="529">
                  <c:v>2.9626396164763591E-3</c:v>
                </c:pt>
                <c:pt idx="530">
                  <c:v>1.3425757656601256E-2</c:v>
                </c:pt>
                <c:pt idx="531">
                  <c:v>2.2534001341512955E-2</c:v>
                </c:pt>
                <c:pt idx="532">
                  <c:v>1.8231801851991136E-2</c:v>
                </c:pt>
                <c:pt idx="533">
                  <c:v>2.690254201480613E-4</c:v>
                </c:pt>
                <c:pt idx="534">
                  <c:v>1.1525806349018453E-2</c:v>
                </c:pt>
                <c:pt idx="535">
                  <c:v>7.3651625256729858E-3</c:v>
                </c:pt>
                <c:pt idx="536">
                  <c:v>7.9921692279176781E-3</c:v>
                </c:pt>
                <c:pt idx="537">
                  <c:v>5.1577332900381023E-3</c:v>
                </c:pt>
                <c:pt idx="538">
                  <c:v>1.1999806595344609E-2</c:v>
                </c:pt>
                <c:pt idx="539">
                  <c:v>6.2214614667688295E-3</c:v>
                </c:pt>
                <c:pt idx="540">
                  <c:v>3.8518768738580178E-3</c:v>
                </c:pt>
                <c:pt idx="541">
                  <c:v>8.8327575694702176E-4</c:v>
                </c:pt>
                <c:pt idx="542">
                  <c:v>2.0784265779552058E-3</c:v>
                </c:pt>
                <c:pt idx="543">
                  <c:v>3.7494547491849772E-3</c:v>
                </c:pt>
                <c:pt idx="544">
                  <c:v>8.1675901866589129E-3</c:v>
                </c:pt>
                <c:pt idx="545">
                  <c:v>-8.8149959439531855E-3</c:v>
                </c:pt>
                <c:pt idx="546">
                  <c:v>-1.5635618263035944E-2</c:v>
                </c:pt>
                <c:pt idx="547">
                  <c:v>-1.4119174091141495E-2</c:v>
                </c:pt>
                <c:pt idx="548">
                  <c:v>3.398887048291499E-3</c:v>
                </c:pt>
                <c:pt idx="549">
                  <c:v>-4.4690741185124949E-3</c:v>
                </c:pt>
                <c:pt idx="550">
                  <c:v>-3.6757225125860771E-3</c:v>
                </c:pt>
                <c:pt idx="551">
                  <c:v>6.1998291467331157E-3</c:v>
                </c:pt>
                <c:pt idx="552">
                  <c:v>6.0576573725033001E-3</c:v>
                </c:pt>
                <c:pt idx="553">
                  <c:v>3.8893427509183454E-3</c:v>
                </c:pt>
                <c:pt idx="554">
                  <c:v>1.884065858136541E-2</c:v>
                </c:pt>
                <c:pt idx="555">
                  <c:v>2.2662758341597922E-2</c:v>
                </c:pt>
                <c:pt idx="556">
                  <c:v>1.7965098476521391E-2</c:v>
                </c:pt>
                <c:pt idx="557">
                  <c:v>6.9320959051033526E-3</c:v>
                </c:pt>
                <c:pt idx="558">
                  <c:v>9.7982677932577644E-3</c:v>
                </c:pt>
                <c:pt idx="559">
                  <c:v>2.4170590823091587E-3</c:v>
                </c:pt>
                <c:pt idx="560">
                  <c:v>1.1842979297060019E-2</c:v>
                </c:pt>
                <c:pt idx="561">
                  <c:v>-1.4618907634922351E-4</c:v>
                </c:pt>
                <c:pt idx="562">
                  <c:v>-7.2528224757686388E-3</c:v>
                </c:pt>
                <c:pt idx="563">
                  <c:v>-8.2387920114550539E-3</c:v>
                </c:pt>
                <c:pt idx="564">
                  <c:v>-8.6043152160195646E-3</c:v>
                </c:pt>
                <c:pt idx="565">
                  <c:v>-5.5567368488524949E-3</c:v>
                </c:pt>
                <c:pt idx="566">
                  <c:v>-1.6552444420163681E-2</c:v>
                </c:pt>
                <c:pt idx="567">
                  <c:v>-1.5753274975063292E-2</c:v>
                </c:pt>
                <c:pt idx="568">
                  <c:v>-1.191363021615377E-2</c:v>
                </c:pt>
                <c:pt idx="569">
                  <c:v>-2.0616283509672151E-2</c:v>
                </c:pt>
                <c:pt idx="570">
                  <c:v>-7.3782279473375567E-3</c:v>
                </c:pt>
                <c:pt idx="571">
                  <c:v>6.974036452245258E-4</c:v>
                </c:pt>
                <c:pt idx="572">
                  <c:v>-8.3788140862726124E-3</c:v>
                </c:pt>
                <c:pt idx="573">
                  <c:v>-1.2002998553747979E-2</c:v>
                </c:pt>
                <c:pt idx="574">
                  <c:v>-8.445897377035827E-3</c:v>
                </c:pt>
                <c:pt idx="575">
                  <c:v>2.1923488473616359E-3</c:v>
                </c:pt>
                <c:pt idx="576">
                  <c:v>1.3483564328939046E-2</c:v>
                </c:pt>
                <c:pt idx="577">
                  <c:v>1.466150951175571E-2</c:v>
                </c:pt>
                <c:pt idx="578">
                  <c:v>2.0319612269777743E-2</c:v>
                </c:pt>
                <c:pt idx="579">
                  <c:v>8.9847866160059908E-3</c:v>
                </c:pt>
                <c:pt idx="580">
                  <c:v>-1.327957187902129E-4</c:v>
                </c:pt>
                <c:pt idx="581">
                  <c:v>3.9080750316466961E-3</c:v>
                </c:pt>
                <c:pt idx="582">
                  <c:v>8.1512082298607069E-3</c:v>
                </c:pt>
                <c:pt idx="583">
                  <c:v>-1.8609491275724643E-2</c:v>
                </c:pt>
                <c:pt idx="584">
                  <c:v>-1.7932213564246346E-2</c:v>
                </c:pt>
                <c:pt idx="585">
                  <c:v>-2.0874117001884684E-2</c:v>
                </c:pt>
                <c:pt idx="586">
                  <c:v>-1.5864572156012891E-2</c:v>
                </c:pt>
                <c:pt idx="587">
                  <c:v>-2.581017285321785E-2</c:v>
                </c:pt>
                <c:pt idx="588">
                  <c:v>-2.0383278502443147E-2</c:v>
                </c:pt>
                <c:pt idx="589">
                  <c:v>-2.9795777629225917E-2</c:v>
                </c:pt>
                <c:pt idx="590">
                  <c:v>-2.4558126023522142E-2</c:v>
                </c:pt>
                <c:pt idx="591">
                  <c:v>-1.1904983877159658E-2</c:v>
                </c:pt>
                <c:pt idx="592">
                  <c:v>2.0187254076263095E-2</c:v>
                </c:pt>
                <c:pt idx="593">
                  <c:v>2.1975565124590979E-2</c:v>
                </c:pt>
                <c:pt idx="594">
                  <c:v>1.43282120429431E-2</c:v>
                </c:pt>
                <c:pt idx="595">
                  <c:v>2.2619016013779358E-2</c:v>
                </c:pt>
                <c:pt idx="596">
                  <c:v>2.7593820308683625E-2</c:v>
                </c:pt>
                <c:pt idx="597">
                  <c:v>2.2302196061692037E-2</c:v>
                </c:pt>
                <c:pt idx="598">
                  <c:v>3.4824364811408159E-2</c:v>
                </c:pt>
                <c:pt idx="599">
                  <c:v>3.0174151897501389E-2</c:v>
                </c:pt>
                <c:pt idx="600">
                  <c:v>1.2218955588521929E-2</c:v>
                </c:pt>
                <c:pt idx="601">
                  <c:v>-9.5473338712768197E-3</c:v>
                </c:pt>
                <c:pt idx="602">
                  <c:v>-1.9782361558292827E-2</c:v>
                </c:pt>
                <c:pt idx="603">
                  <c:v>-6.7370315780852508E-3</c:v>
                </c:pt>
                <c:pt idx="604">
                  <c:v>-7.4276223993061663E-3</c:v>
                </c:pt>
                <c:pt idx="605">
                  <c:v>-8.5048270881769028E-3</c:v>
                </c:pt>
                <c:pt idx="606">
                  <c:v>-1.1549867212296228E-2</c:v>
                </c:pt>
                <c:pt idx="607">
                  <c:v>-1.0039765165238634E-2</c:v>
                </c:pt>
                <c:pt idx="608">
                  <c:v>-9.9014392617808866E-3</c:v>
                </c:pt>
                <c:pt idx="609">
                  <c:v>-1.0993906402188003E-3</c:v>
                </c:pt>
                <c:pt idx="610">
                  <c:v>1.8784342785416186E-3</c:v>
                </c:pt>
                <c:pt idx="611">
                  <c:v>4.7911657499817295E-3</c:v>
                </c:pt>
                <c:pt idx="612">
                  <c:v>5.2079281279233669E-3</c:v>
                </c:pt>
                <c:pt idx="613">
                  <c:v>-1.1687279652436544E-2</c:v>
                </c:pt>
                <c:pt idx="614">
                  <c:v>-1.0766042922768726E-2</c:v>
                </c:pt>
                <c:pt idx="615">
                  <c:v>-9.7679648330641911E-3</c:v>
                </c:pt>
                <c:pt idx="616">
                  <c:v>-3.1029387643988215E-3</c:v>
                </c:pt>
                <c:pt idx="617">
                  <c:v>4.3471920904787353E-3</c:v>
                </c:pt>
                <c:pt idx="618">
                  <c:v>-1.3916290015698607E-3</c:v>
                </c:pt>
                <c:pt idx="619">
                  <c:v>-1.8975698939707186E-3</c:v>
                </c:pt>
                <c:pt idx="620">
                  <c:v>-2.0344507151221158E-2</c:v>
                </c:pt>
                <c:pt idx="621">
                  <c:v>-6.5440585240254201E-2</c:v>
                </c:pt>
                <c:pt idx="622">
                  <c:v>-9.6048964708726814E-2</c:v>
                </c:pt>
                <c:pt idx="623">
                  <c:v>-0.11061281856568339</c:v>
                </c:pt>
                <c:pt idx="624">
                  <c:v>-7.1045493073849997E-2</c:v>
                </c:pt>
                <c:pt idx="625">
                  <c:v>-5.0942570837324119E-2</c:v>
                </c:pt>
                <c:pt idx="626">
                  <c:v>-5.553191119502543E-2</c:v>
                </c:pt>
                <c:pt idx="627">
                  <c:v>-6.1330006970724327E-2</c:v>
                </c:pt>
                <c:pt idx="628">
                  <c:v>-8.30635200713008E-2</c:v>
                </c:pt>
                <c:pt idx="629">
                  <c:v>-4.3609888563285182E-2</c:v>
                </c:pt>
                <c:pt idx="630">
                  <c:v>-1.0076530510172432E-2</c:v>
                </c:pt>
                <c:pt idx="631">
                  <c:v>1.4686605321898583E-2</c:v>
                </c:pt>
                <c:pt idx="632">
                  <c:v>5.3074492237084492E-2</c:v>
                </c:pt>
                <c:pt idx="633">
                  <c:v>7.8815678350263596E-4</c:v>
                </c:pt>
                <c:pt idx="634">
                  <c:v>-1.7955022049901181E-2</c:v>
                </c:pt>
                <c:pt idx="635">
                  <c:v>-1.4086566673613632E-2</c:v>
                </c:pt>
                <c:pt idx="636">
                  <c:v>-9.7575296778167342E-3</c:v>
                </c:pt>
                <c:pt idx="637">
                  <c:v>3.3014807969109938E-2</c:v>
                </c:pt>
                <c:pt idx="638">
                  <c:v>2.3554877770778582E-2</c:v>
                </c:pt>
                <c:pt idx="639">
                  <c:v>1.9826417098381732E-2</c:v>
                </c:pt>
                <c:pt idx="640">
                  <c:v>1.8978494738552953E-2</c:v>
                </c:pt>
                <c:pt idx="641">
                  <c:v>-1.23974987650044E-3</c:v>
                </c:pt>
                <c:pt idx="642">
                  <c:v>3.6035554257818347E-4</c:v>
                </c:pt>
                <c:pt idx="643">
                  <c:v>-6.9544638905894018E-3</c:v>
                </c:pt>
                <c:pt idx="644">
                  <c:v>-1.4800122568725982E-2</c:v>
                </c:pt>
                <c:pt idx="645">
                  <c:v>-1.1167982692916745E-2</c:v>
                </c:pt>
                <c:pt idx="646">
                  <c:v>-4.9918881573941754E-2</c:v>
                </c:pt>
                <c:pt idx="647">
                  <c:v>-5.7354528642828306E-2</c:v>
                </c:pt>
                <c:pt idx="648">
                  <c:v>-3.589428555673102E-2</c:v>
                </c:pt>
                <c:pt idx="649">
                  <c:v>-1.7626115854386448E-2</c:v>
                </c:pt>
                <c:pt idx="650">
                  <c:v>-7.9677152041108812E-3</c:v>
                </c:pt>
                <c:pt idx="651">
                  <c:v>2.2551808872001367E-2</c:v>
                </c:pt>
                <c:pt idx="652">
                  <c:v>2.1007863457043641E-2</c:v>
                </c:pt>
                <c:pt idx="653">
                  <c:v>3.2380035373067884E-2</c:v>
                </c:pt>
                <c:pt idx="654">
                  <c:v>4.1625717275480589E-2</c:v>
                </c:pt>
                <c:pt idx="655">
                  <c:v>6.8351776873657677E-2</c:v>
                </c:pt>
                <c:pt idx="656">
                  <c:v>6.8394347448235138E-2</c:v>
                </c:pt>
                <c:pt idx="657">
                  <c:v>4.2649625170803063E-2</c:v>
                </c:pt>
                <c:pt idx="658">
                  <c:v>3.5950255661385988E-2</c:v>
                </c:pt>
                <c:pt idx="659">
                  <c:v>3.6480013970060732E-2</c:v>
                </c:pt>
                <c:pt idx="660">
                  <c:v>2.2915481559385498E-2</c:v>
                </c:pt>
                <c:pt idx="661">
                  <c:v>2.6780679990840994E-2</c:v>
                </c:pt>
                <c:pt idx="662">
                  <c:v>1.7355059451596766E-2</c:v>
                </c:pt>
                <c:pt idx="663">
                  <c:v>2.7328297928930212E-3</c:v>
                </c:pt>
                <c:pt idx="664">
                  <c:v>1.8498828529464717E-2</c:v>
                </c:pt>
                <c:pt idx="665">
                  <c:v>2.8194117884837055E-2</c:v>
                </c:pt>
                <c:pt idx="666">
                  <c:v>3.312800914675762E-2</c:v>
                </c:pt>
                <c:pt idx="667">
                  <c:v>3.5298054139082602E-2</c:v>
                </c:pt>
                <c:pt idx="668">
                  <c:v>3.2324991292290051E-2</c:v>
                </c:pt>
                <c:pt idx="669">
                  <c:v>2.7315054320347976E-2</c:v>
                </c:pt>
                <c:pt idx="670">
                  <c:v>2.2223063452948111E-2</c:v>
                </c:pt>
                <c:pt idx="671">
                  <c:v>3.5449040813050559E-2</c:v>
                </c:pt>
                <c:pt idx="672">
                  <c:v>4.401584296998351E-2</c:v>
                </c:pt>
                <c:pt idx="673">
                  <c:v>2.397332892519799E-2</c:v>
                </c:pt>
                <c:pt idx="674">
                  <c:v>1.1870585457393723E-2</c:v>
                </c:pt>
                <c:pt idx="675">
                  <c:v>1.3437836086294119E-2</c:v>
                </c:pt>
                <c:pt idx="676">
                  <c:v>6.1239312859209249E-3</c:v>
                </c:pt>
                <c:pt idx="677">
                  <c:v>-4.1371018062621445E-3</c:v>
                </c:pt>
                <c:pt idx="678">
                  <c:v>-6.9205336729867284E-3</c:v>
                </c:pt>
                <c:pt idx="679">
                  <c:v>-1.6188215025551678E-2</c:v>
                </c:pt>
                <c:pt idx="680">
                  <c:v>-3.9262732257093091E-2</c:v>
                </c:pt>
                <c:pt idx="681">
                  <c:v>-2.7193782443583281E-2</c:v>
                </c:pt>
                <c:pt idx="682">
                  <c:v>-2.4982392745312332E-2</c:v>
                </c:pt>
                <c:pt idx="683">
                  <c:v>-7.8163729514031388E-3</c:v>
                </c:pt>
                <c:pt idx="684">
                  <c:v>-8.5924312999656749E-3</c:v>
                </c:pt>
                <c:pt idx="685">
                  <c:v>5.0818147873918917E-3</c:v>
                </c:pt>
                <c:pt idx="686">
                  <c:v>2.336735582097127E-3</c:v>
                </c:pt>
                <c:pt idx="687">
                  <c:v>6.791293140755883E-3</c:v>
                </c:pt>
                <c:pt idx="688">
                  <c:v>2.0751315425620476E-2</c:v>
                </c:pt>
                <c:pt idx="689">
                  <c:v>3.2615397481171371E-2</c:v>
                </c:pt>
                <c:pt idx="690">
                  <c:v>1.3170294863556364E-2</c:v>
                </c:pt>
                <c:pt idx="691">
                  <c:v>2.5134510970556079E-2</c:v>
                </c:pt>
                <c:pt idx="692">
                  <c:v>-1.9553116606676468E-3</c:v>
                </c:pt>
                <c:pt idx="693">
                  <c:v>-1.5309397927405932E-2</c:v>
                </c:pt>
                <c:pt idx="694">
                  <c:v>1.2055028811106538E-3</c:v>
                </c:pt>
                <c:pt idx="695">
                  <c:v>-4.5729172089883363E-3</c:v>
                </c:pt>
                <c:pt idx="696">
                  <c:v>-1.2305219703040216E-2</c:v>
                </c:pt>
                <c:pt idx="697">
                  <c:v>-1.9945165272300613E-2</c:v>
                </c:pt>
                <c:pt idx="698">
                  <c:v>-1.8289750312284525E-2</c:v>
                </c:pt>
                <c:pt idx="699">
                  <c:v>-3.3251817907573589E-2</c:v>
                </c:pt>
                <c:pt idx="700">
                  <c:v>-3.913146907468068E-2</c:v>
                </c:pt>
                <c:pt idx="701">
                  <c:v>-1.7512296239863723E-2</c:v>
                </c:pt>
                <c:pt idx="702">
                  <c:v>1.1376165973826069E-2</c:v>
                </c:pt>
                <c:pt idx="703">
                  <c:v>-2.4096466577632647E-2</c:v>
                </c:pt>
                <c:pt idx="704">
                  <c:v>-3.5039917732017756E-2</c:v>
                </c:pt>
                <c:pt idx="705">
                  <c:v>-2.0780558895853396E-2</c:v>
                </c:pt>
                <c:pt idx="706">
                  <c:v>-4.2333764778934579E-3</c:v>
                </c:pt>
                <c:pt idx="707">
                  <c:v>5.8593634663681726E-3</c:v>
                </c:pt>
                <c:pt idx="708">
                  <c:v>2.3873315564700626E-2</c:v>
                </c:pt>
                <c:pt idx="709">
                  <c:v>1.6948091300733381E-2</c:v>
                </c:pt>
                <c:pt idx="710">
                  <c:v>1.6959175051870723E-2</c:v>
                </c:pt>
                <c:pt idx="711">
                  <c:v>-4.6948592987350324E-3</c:v>
                </c:pt>
                <c:pt idx="712">
                  <c:v>1.003431955846068E-3</c:v>
                </c:pt>
                <c:pt idx="713">
                  <c:v>3.5388853611024729E-3</c:v>
                </c:pt>
                <c:pt idx="714">
                  <c:v>-2.1992168158604386E-3</c:v>
                </c:pt>
                <c:pt idx="715">
                  <c:v>-2.4179475673750339E-2</c:v>
                </c:pt>
                <c:pt idx="716">
                  <c:v>-6.0506888570057704E-2</c:v>
                </c:pt>
                <c:pt idx="717">
                  <c:v>-6.980451077553429E-2</c:v>
                </c:pt>
                <c:pt idx="718">
                  <c:v>-6.6770665954236641E-2</c:v>
                </c:pt>
                <c:pt idx="719">
                  <c:v>-6.9571815685826266E-2</c:v>
                </c:pt>
                <c:pt idx="720">
                  <c:v>-8.761079228463764E-2</c:v>
                </c:pt>
                <c:pt idx="721">
                  <c:v>-6.15962460639361E-2</c:v>
                </c:pt>
                <c:pt idx="722">
                  <c:v>-6.8009977196354932E-2</c:v>
                </c:pt>
                <c:pt idx="723">
                  <c:v>-6.9488501268539338E-2</c:v>
                </c:pt>
                <c:pt idx="724">
                  <c:v>-6.8049104378926195E-2</c:v>
                </c:pt>
                <c:pt idx="725">
                  <c:v>-3.8881299294336813E-2</c:v>
                </c:pt>
                <c:pt idx="726">
                  <c:v>-7.9030348110773474E-3</c:v>
                </c:pt>
                <c:pt idx="727">
                  <c:v>-2.4517488274605093E-2</c:v>
                </c:pt>
                <c:pt idx="728">
                  <c:v>-1.8244764591991647E-2</c:v>
                </c:pt>
                <c:pt idx="729">
                  <c:v>-3.885311661294466E-3</c:v>
                </c:pt>
                <c:pt idx="730">
                  <c:v>-1.4930022223040851E-2</c:v>
                </c:pt>
                <c:pt idx="731">
                  <c:v>3.1364401657145713E-2</c:v>
                </c:pt>
                <c:pt idx="732">
                  <c:v>3.0389386805381058E-2</c:v>
                </c:pt>
                <c:pt idx="733">
                  <c:v>2.3231183896966101E-2</c:v>
                </c:pt>
                <c:pt idx="734">
                  <c:v>2.3028815379356082E-2</c:v>
                </c:pt>
                <c:pt idx="735">
                  <c:v>4.4736569468977194E-3</c:v>
                </c:pt>
                <c:pt idx="736">
                  <c:v>1.581043836514695E-3</c:v>
                </c:pt>
                <c:pt idx="737">
                  <c:v>-2.6719252318212483E-2</c:v>
                </c:pt>
                <c:pt idx="738">
                  <c:v>-1.6460170258674189E-2</c:v>
                </c:pt>
                <c:pt idx="739">
                  <c:v>-2.2162489236210448E-2</c:v>
                </c:pt>
                <c:pt idx="740">
                  <c:v>-5.8998587464964558E-2</c:v>
                </c:pt>
                <c:pt idx="741">
                  <c:v>-3.9225237722900985E-2</c:v>
                </c:pt>
                <c:pt idx="742">
                  <c:v>-3.9225309162072008E-3</c:v>
                </c:pt>
                <c:pt idx="743">
                  <c:v>7.443959565915037E-3</c:v>
                </c:pt>
                <c:pt idx="744">
                  <c:v>1.2417592054667637E-3</c:v>
                </c:pt>
                <c:pt idx="745">
                  <c:v>1.9869883892578599E-2</c:v>
                </c:pt>
                <c:pt idx="746">
                  <c:v>4.8475673380122153E-2</c:v>
                </c:pt>
                <c:pt idx="747">
                  <c:v>3.6606936447141969E-2</c:v>
                </c:pt>
                <c:pt idx="748">
                  <c:v>4.1225864681205593E-2</c:v>
                </c:pt>
                <c:pt idx="749">
                  <c:v>6.4887678403841242E-2</c:v>
                </c:pt>
                <c:pt idx="750">
                  <c:v>4.3685798172826473E-2</c:v>
                </c:pt>
                <c:pt idx="751">
                  <c:v>1.9149928878393396E-2</c:v>
                </c:pt>
                <c:pt idx="752">
                  <c:v>2.6392204227433602E-2</c:v>
                </c:pt>
                <c:pt idx="753">
                  <c:v>3.5154785795144861E-2</c:v>
                </c:pt>
                <c:pt idx="754">
                  <c:v>3.8673453402356728E-2</c:v>
                </c:pt>
                <c:pt idx="755">
                  <c:v>2.7623162104948307E-2</c:v>
                </c:pt>
                <c:pt idx="756">
                  <c:v>4.1040362466894464E-2</c:v>
                </c:pt>
                <c:pt idx="757">
                  <c:v>2.5306646532503585E-2</c:v>
                </c:pt>
                <c:pt idx="758">
                  <c:v>1.9061952761398437E-2</c:v>
                </c:pt>
                <c:pt idx="759">
                  <c:v>2.1089610448683516E-2</c:v>
                </c:pt>
                <c:pt idx="760">
                  <c:v>4.550628740432483E-2</c:v>
                </c:pt>
                <c:pt idx="761">
                  <c:v>2.0656133309169711E-2</c:v>
                </c:pt>
                <c:pt idx="762">
                  <c:v>1.4731552778887824E-2</c:v>
                </c:pt>
                <c:pt idx="763">
                  <c:v>1.6823646464598774E-2</c:v>
                </c:pt>
                <c:pt idx="764">
                  <c:v>2.0096789518337488E-2</c:v>
                </c:pt>
                <c:pt idx="765">
                  <c:v>2.3608133585182323E-2</c:v>
                </c:pt>
                <c:pt idx="766">
                  <c:v>3.5896981772689962E-2</c:v>
                </c:pt>
                <c:pt idx="767">
                  <c:v>2.9979536009996366E-2</c:v>
                </c:pt>
                <c:pt idx="768">
                  <c:v>2.3417233892153E-2</c:v>
                </c:pt>
                <c:pt idx="769">
                  <c:v>6.7765463493048017E-3</c:v>
                </c:pt>
                <c:pt idx="770">
                  <c:v>8.5834217629354725E-3</c:v>
                </c:pt>
                <c:pt idx="771">
                  <c:v>1.9200064811848883E-2</c:v>
                </c:pt>
                <c:pt idx="772">
                  <c:v>1.7956216723255203E-2</c:v>
                </c:pt>
                <c:pt idx="773">
                  <c:v>9.3407913229119899E-3</c:v>
                </c:pt>
                <c:pt idx="774">
                  <c:v>1.1255783258093288E-2</c:v>
                </c:pt>
                <c:pt idx="775">
                  <c:v>7.0572113133806624E-3</c:v>
                </c:pt>
                <c:pt idx="776">
                  <c:v>-2.2613141819478599E-3</c:v>
                </c:pt>
                <c:pt idx="777">
                  <c:v>1.4597993254231056E-2</c:v>
                </c:pt>
                <c:pt idx="778">
                  <c:v>2.9280612587543331E-3</c:v>
                </c:pt>
                <c:pt idx="779">
                  <c:v>5.1656569816023179E-3</c:v>
                </c:pt>
                <c:pt idx="780">
                  <c:v>-6.3559013089111716E-3</c:v>
                </c:pt>
                <c:pt idx="781">
                  <c:v>-1.0810269649912385E-3</c:v>
                </c:pt>
                <c:pt idx="782">
                  <c:v>1.0950885109734187E-2</c:v>
                </c:pt>
                <c:pt idx="783">
                  <c:v>4.8128383001397879E-3</c:v>
                </c:pt>
                <c:pt idx="784">
                  <c:v>7.0415484531300976E-3</c:v>
                </c:pt>
                <c:pt idx="785">
                  <c:v>2.3757572820237272E-2</c:v>
                </c:pt>
                <c:pt idx="786">
                  <c:v>1.6384512900343928E-2</c:v>
                </c:pt>
                <c:pt idx="787">
                  <c:v>2.9193841709341584E-2</c:v>
                </c:pt>
                <c:pt idx="788">
                  <c:v>2.1203575896595162E-2</c:v>
                </c:pt>
                <c:pt idx="789">
                  <c:v>2.3994980847096059E-2</c:v>
                </c:pt>
                <c:pt idx="790">
                  <c:v>1.2565537116000058E-2</c:v>
                </c:pt>
                <c:pt idx="791">
                  <c:v>4.4464675534117148E-3</c:v>
                </c:pt>
                <c:pt idx="792">
                  <c:v>5.9215493556914467E-3</c:v>
                </c:pt>
                <c:pt idx="793">
                  <c:v>-2.3673166872049123E-3</c:v>
                </c:pt>
                <c:pt idx="794">
                  <c:v>-1.3962991921552259E-2</c:v>
                </c:pt>
                <c:pt idx="795">
                  <c:v>-9.263123067326795E-3</c:v>
                </c:pt>
                <c:pt idx="796">
                  <c:v>-1.8738877523168718E-2</c:v>
                </c:pt>
                <c:pt idx="797">
                  <c:v>-1.9485897311271927E-2</c:v>
                </c:pt>
                <c:pt idx="798">
                  <c:v>-1.9772792565117214E-2</c:v>
                </c:pt>
                <c:pt idx="799">
                  <c:v>-1.4789492306986673E-2</c:v>
                </c:pt>
                <c:pt idx="800">
                  <c:v>-1.5907279523792006E-2</c:v>
                </c:pt>
                <c:pt idx="801">
                  <c:v>-5.1489079178717034E-3</c:v>
                </c:pt>
                <c:pt idx="802">
                  <c:v>-5.4827952660776447E-3</c:v>
                </c:pt>
                <c:pt idx="803">
                  <c:v>-5.7632542565766443E-4</c:v>
                </c:pt>
                <c:pt idx="804">
                  <c:v>-1.68703663414842E-2</c:v>
                </c:pt>
                <c:pt idx="805">
                  <c:v>1.5931098189074788E-3</c:v>
                </c:pt>
                <c:pt idx="806">
                  <c:v>-1.9081709437873684E-3</c:v>
                </c:pt>
                <c:pt idx="807">
                  <c:v>-1.4639767207391685E-3</c:v>
                </c:pt>
                <c:pt idx="808">
                  <c:v>-8.3471819985234674E-3</c:v>
                </c:pt>
                <c:pt idx="809">
                  <c:v>-3.0989358253856736E-3</c:v>
                </c:pt>
                <c:pt idx="810">
                  <c:v>-1.7592937884665538E-2</c:v>
                </c:pt>
                <c:pt idx="811">
                  <c:v>5.6032229255160715E-3</c:v>
                </c:pt>
                <c:pt idx="812">
                  <c:v>1.2723231854144146E-2</c:v>
                </c:pt>
                <c:pt idx="813">
                  <c:v>2.1027200127722523E-2</c:v>
                </c:pt>
                <c:pt idx="814">
                  <c:v>1.5555918587768502E-2</c:v>
                </c:pt>
                <c:pt idx="815">
                  <c:v>2.4006013160384754E-2</c:v>
                </c:pt>
                <c:pt idx="816">
                  <c:v>2.4935254123628958E-2</c:v>
                </c:pt>
                <c:pt idx="817">
                  <c:v>3.1469545072075E-2</c:v>
                </c:pt>
                <c:pt idx="818">
                  <c:v>2.2552023735039839E-2</c:v>
                </c:pt>
                <c:pt idx="819">
                  <c:v>2.9524988536741681E-2</c:v>
                </c:pt>
                <c:pt idx="820">
                  <c:v>1.7224966546373288E-2</c:v>
                </c:pt>
                <c:pt idx="821">
                  <c:v>1.3578538915070659E-2</c:v>
                </c:pt>
                <c:pt idx="822">
                  <c:v>1.2069769039642964E-2</c:v>
                </c:pt>
                <c:pt idx="823">
                  <c:v>-1.4254582889074996E-3</c:v>
                </c:pt>
                <c:pt idx="824">
                  <c:v>-8.5679878156703637E-3</c:v>
                </c:pt>
                <c:pt idx="825">
                  <c:v>-1.1502891932556381E-2</c:v>
                </c:pt>
                <c:pt idx="826">
                  <c:v>-1.6165997161058598E-2</c:v>
                </c:pt>
                <c:pt idx="827">
                  <c:v>-1.0121841904101814E-2</c:v>
                </c:pt>
                <c:pt idx="828">
                  <c:v>-1.8270454170778549E-2</c:v>
                </c:pt>
                <c:pt idx="829">
                  <c:v>-1.3767687305509924E-2</c:v>
                </c:pt>
                <c:pt idx="830">
                  <c:v>-1.4363398660561799E-2</c:v>
                </c:pt>
                <c:pt idx="831">
                  <c:v>-1.4297091843999965E-2</c:v>
                </c:pt>
                <c:pt idx="832">
                  <c:v>8.1960075003566502E-3</c:v>
                </c:pt>
                <c:pt idx="833">
                  <c:v>-2.0236486800510711E-2</c:v>
                </c:pt>
                <c:pt idx="834">
                  <c:v>-3.6698227814722983E-2</c:v>
                </c:pt>
                <c:pt idx="835">
                  <c:v>-1.7241697200497619E-2</c:v>
                </c:pt>
                <c:pt idx="836">
                  <c:v>-3.4805470893859436E-3</c:v>
                </c:pt>
                <c:pt idx="837">
                  <c:v>1.3256599521199952E-2</c:v>
                </c:pt>
                <c:pt idx="838">
                  <c:v>9.4119232984128942E-3</c:v>
                </c:pt>
                <c:pt idx="839">
                  <c:v>-1.6749596281062651E-4</c:v>
                </c:pt>
                <c:pt idx="840">
                  <c:v>6.8241197043610313E-3</c:v>
                </c:pt>
                <c:pt idx="841">
                  <c:v>-7.3234051073027828E-3</c:v>
                </c:pt>
                <c:pt idx="842">
                  <c:v>4.4395574184875386E-2</c:v>
                </c:pt>
                <c:pt idx="843">
                  <c:v>6.6060640061839315E-2</c:v>
                </c:pt>
                <c:pt idx="844">
                  <c:v>5.5431360892807646E-2</c:v>
                </c:pt>
                <c:pt idx="845">
                  <c:v>3.8676876429358131E-2</c:v>
                </c:pt>
                <c:pt idx="846">
                  <c:v>3.0448436341992569E-2</c:v>
                </c:pt>
                <c:pt idx="847">
                  <c:v>2.7572350761398745E-2</c:v>
                </c:pt>
                <c:pt idx="848">
                  <c:v>3.6822841707953025E-2</c:v>
                </c:pt>
                <c:pt idx="849">
                  <c:v>3.004795012290451E-2</c:v>
                </c:pt>
                <c:pt idx="850">
                  <c:v>3.5181116618928421E-2</c:v>
                </c:pt>
                <c:pt idx="851">
                  <c:v>1.6423860035968296E-2</c:v>
                </c:pt>
                <c:pt idx="852">
                  <c:v>1.7564667209041041E-2</c:v>
                </c:pt>
                <c:pt idx="853">
                  <c:v>7.5638058348896919E-3</c:v>
                </c:pt>
                <c:pt idx="854">
                  <c:v>7.7517797315280745E-3</c:v>
                </c:pt>
                <c:pt idx="855">
                  <c:v>1.3070959266183735E-3</c:v>
                </c:pt>
                <c:pt idx="856">
                  <c:v>3.8413957879024352E-3</c:v>
                </c:pt>
                <c:pt idx="857">
                  <c:v>3.0919137515210693E-3</c:v>
                </c:pt>
                <c:pt idx="858">
                  <c:v>3.2575243285748456E-3</c:v>
                </c:pt>
                <c:pt idx="859">
                  <c:v>-7.3856253407864614E-3</c:v>
                </c:pt>
                <c:pt idx="860">
                  <c:v>-6.3751250146282246E-4</c:v>
                </c:pt>
                <c:pt idx="861">
                  <c:v>-4.9685897683753311E-3</c:v>
                </c:pt>
                <c:pt idx="862">
                  <c:v>6.6141262547114721E-3</c:v>
                </c:pt>
                <c:pt idx="863">
                  <c:v>5.3838166999504722E-3</c:v>
                </c:pt>
                <c:pt idx="864">
                  <c:v>6.9727955558152033E-3</c:v>
                </c:pt>
                <c:pt idx="865">
                  <c:v>2.4990777990243629E-3</c:v>
                </c:pt>
                <c:pt idx="866">
                  <c:v>5.5925128920097933E-3</c:v>
                </c:pt>
                <c:pt idx="867">
                  <c:v>6.0667438676409446E-3</c:v>
                </c:pt>
                <c:pt idx="868">
                  <c:v>1.5237700927196229E-2</c:v>
                </c:pt>
                <c:pt idx="869">
                  <c:v>6.6145158850359209E-3</c:v>
                </c:pt>
                <c:pt idx="870">
                  <c:v>8.2688128566781316E-3</c:v>
                </c:pt>
                <c:pt idx="871">
                  <c:v>1.8993174278660874E-3</c:v>
                </c:pt>
                <c:pt idx="872">
                  <c:v>1.3655845711122439E-3</c:v>
                </c:pt>
                <c:pt idx="873">
                  <c:v>4.1238528124409868E-4</c:v>
                </c:pt>
                <c:pt idx="874">
                  <c:v>5.2310491729308239E-3</c:v>
                </c:pt>
                <c:pt idx="875">
                  <c:v>-4.7464212978836073E-3</c:v>
                </c:pt>
                <c:pt idx="876">
                  <c:v>-5.3162180915080626E-3</c:v>
                </c:pt>
                <c:pt idx="877">
                  <c:v>-9.6852985545625714E-3</c:v>
                </c:pt>
                <c:pt idx="878">
                  <c:v>1.0232722062637478E-3</c:v>
                </c:pt>
                <c:pt idx="879">
                  <c:v>-2.7991656730312897E-3</c:v>
                </c:pt>
                <c:pt idx="880">
                  <c:v>-7.3750585462741824E-3</c:v>
                </c:pt>
                <c:pt idx="881">
                  <c:v>-5.9751341818934378E-3</c:v>
                </c:pt>
                <c:pt idx="882">
                  <c:v>-1.2194109993686197E-3</c:v>
                </c:pt>
                <c:pt idx="883">
                  <c:v>-1.9203545661294896E-4</c:v>
                </c:pt>
                <c:pt idx="884">
                  <c:v>4.9156240586780697E-3</c:v>
                </c:pt>
                <c:pt idx="885">
                  <c:v>4.0562960682821725E-3</c:v>
                </c:pt>
                <c:pt idx="886">
                  <c:v>-1.9191381826243692E-2</c:v>
                </c:pt>
                <c:pt idx="887">
                  <c:v>-9.8354233561650517E-3</c:v>
                </c:pt>
                <c:pt idx="888">
                  <c:v>-2.2821579805770043E-2</c:v>
                </c:pt>
                <c:pt idx="889">
                  <c:v>-2.1030738106882829E-2</c:v>
                </c:pt>
                <c:pt idx="890">
                  <c:v>-1.0930836264223309E-2</c:v>
                </c:pt>
                <c:pt idx="891">
                  <c:v>-1.8902505798421565E-2</c:v>
                </c:pt>
                <c:pt idx="892">
                  <c:v>-2.1898351439413766E-2</c:v>
                </c:pt>
                <c:pt idx="893">
                  <c:v>-2.1452861984054827E-2</c:v>
                </c:pt>
                <c:pt idx="894">
                  <c:v>-8.3693737829877435E-3</c:v>
                </c:pt>
                <c:pt idx="895">
                  <c:v>2.2937120685106116E-2</c:v>
                </c:pt>
                <c:pt idx="896">
                  <c:v>2.6134403590898359E-3</c:v>
                </c:pt>
                <c:pt idx="897">
                  <c:v>8.9303386179029332E-3</c:v>
                </c:pt>
                <c:pt idx="898">
                  <c:v>1.5941683189093503E-2</c:v>
                </c:pt>
                <c:pt idx="899">
                  <c:v>1.1165743201919653E-2</c:v>
                </c:pt>
                <c:pt idx="900">
                  <c:v>5.5800436012054533E-3</c:v>
                </c:pt>
                <c:pt idx="901">
                  <c:v>1.3535039588603581E-2</c:v>
                </c:pt>
                <c:pt idx="902">
                  <c:v>9.9699224299421019E-3</c:v>
                </c:pt>
                <c:pt idx="903">
                  <c:v>-5.8559595233012018E-3</c:v>
                </c:pt>
                <c:pt idx="904">
                  <c:v>-8.0472255695447359E-3</c:v>
                </c:pt>
                <c:pt idx="905">
                  <c:v>-1.8124879705094799E-3</c:v>
                </c:pt>
                <c:pt idx="906">
                  <c:v>3.553574032189033E-3</c:v>
                </c:pt>
                <c:pt idx="907">
                  <c:v>1.7254092362772866E-3</c:v>
                </c:pt>
                <c:pt idx="908">
                  <c:v>-1.6081744981213397E-2</c:v>
                </c:pt>
                <c:pt idx="909">
                  <c:v>-5.570684830873418E-3</c:v>
                </c:pt>
                <c:pt idx="910">
                  <c:v>-1.6611154047558863E-2</c:v>
                </c:pt>
                <c:pt idx="911">
                  <c:v>-1.3143546711555487E-2</c:v>
                </c:pt>
                <c:pt idx="912">
                  <c:v>-1.121828278781134E-2</c:v>
                </c:pt>
                <c:pt idx="913">
                  <c:v>-9.3642631445955971E-3</c:v>
                </c:pt>
                <c:pt idx="914">
                  <c:v>-7.6561354656341507E-3</c:v>
                </c:pt>
                <c:pt idx="915">
                  <c:v>-5.774018749417742E-3</c:v>
                </c:pt>
                <c:pt idx="916">
                  <c:v>-1.0453494367327565E-2</c:v>
                </c:pt>
                <c:pt idx="917">
                  <c:v>6.8096781396604911E-3</c:v>
                </c:pt>
                <c:pt idx="918">
                  <c:v>1.8587880882501295E-3</c:v>
                </c:pt>
                <c:pt idx="919">
                  <c:v>3.2209368857092358E-3</c:v>
                </c:pt>
                <c:pt idx="920">
                  <c:v>2.815692366020528E-5</c:v>
                </c:pt>
                <c:pt idx="921">
                  <c:v>-4.2365346023309769E-5</c:v>
                </c:pt>
                <c:pt idx="922">
                  <c:v>-6.3061551068219757E-3</c:v>
                </c:pt>
                <c:pt idx="923">
                  <c:v>-1.5305745878838373E-2</c:v>
                </c:pt>
                <c:pt idx="924">
                  <c:v>-2.0475959615362527E-2</c:v>
                </c:pt>
                <c:pt idx="925">
                  <c:v>-2.4825027254380849E-2</c:v>
                </c:pt>
                <c:pt idx="926">
                  <c:v>-3.1231141941766793E-2</c:v>
                </c:pt>
                <c:pt idx="927">
                  <c:v>-5.4459847070980061E-3</c:v>
                </c:pt>
                <c:pt idx="928">
                  <c:v>6.0821362196428197E-5</c:v>
                </c:pt>
                <c:pt idx="929">
                  <c:v>1.4068137263607561E-2</c:v>
                </c:pt>
                <c:pt idx="930">
                  <c:v>1.9130122816855E-2</c:v>
                </c:pt>
                <c:pt idx="931">
                  <c:v>1.7853478600354578E-2</c:v>
                </c:pt>
                <c:pt idx="932">
                  <c:v>2.4547987949635086E-2</c:v>
                </c:pt>
                <c:pt idx="933">
                  <c:v>3.8547828032308828E-2</c:v>
                </c:pt>
                <c:pt idx="934">
                  <c:v>4.1397524011164144E-2</c:v>
                </c:pt>
                <c:pt idx="935">
                  <c:v>4.7730513520227724E-2</c:v>
                </c:pt>
                <c:pt idx="936">
                  <c:v>2.3360662305830893E-2</c:v>
                </c:pt>
                <c:pt idx="937">
                  <c:v>2.7029486330619967E-2</c:v>
                </c:pt>
                <c:pt idx="938">
                  <c:v>1.8176457288189063E-2</c:v>
                </c:pt>
                <c:pt idx="939">
                  <c:v>1.7035310372677692E-2</c:v>
                </c:pt>
                <c:pt idx="940">
                  <c:v>2.2340984217694704E-2</c:v>
                </c:pt>
                <c:pt idx="941">
                  <c:v>1.7188104399682658E-2</c:v>
                </c:pt>
                <c:pt idx="942">
                  <c:v>1.1069551273502398E-2</c:v>
                </c:pt>
                <c:pt idx="943">
                  <c:v>9.9961378551931546E-3</c:v>
                </c:pt>
                <c:pt idx="944">
                  <c:v>1.8089451845373361E-3</c:v>
                </c:pt>
                <c:pt idx="945">
                  <c:v>4.5955243206252661E-3</c:v>
                </c:pt>
                <c:pt idx="946">
                  <c:v>2.9662489622213073E-3</c:v>
                </c:pt>
                <c:pt idx="947">
                  <c:v>4.2082424351637115E-3</c:v>
                </c:pt>
                <c:pt idx="948">
                  <c:v>1.6477903069168853E-2</c:v>
                </c:pt>
                <c:pt idx="949">
                  <c:v>1.472817211773414E-2</c:v>
                </c:pt>
                <c:pt idx="950">
                  <c:v>2.5917979975383254E-2</c:v>
                </c:pt>
                <c:pt idx="951">
                  <c:v>2.3445495675050942E-2</c:v>
                </c:pt>
                <c:pt idx="952">
                  <c:v>3.2620909300065115E-2</c:v>
                </c:pt>
                <c:pt idx="953">
                  <c:v>2.7992336784343763E-2</c:v>
                </c:pt>
                <c:pt idx="954">
                  <c:v>3.147111677368386E-2</c:v>
                </c:pt>
                <c:pt idx="955">
                  <c:v>2.3914532961290647E-2</c:v>
                </c:pt>
                <c:pt idx="956">
                  <c:v>2.2482621475804265E-2</c:v>
                </c:pt>
                <c:pt idx="957">
                  <c:v>1.3036175001404082E-2</c:v>
                </c:pt>
                <c:pt idx="958">
                  <c:v>8.4187746495221205E-3</c:v>
                </c:pt>
                <c:pt idx="959">
                  <c:v>6.3264471367308062E-4</c:v>
                </c:pt>
                <c:pt idx="960">
                  <c:v>3.0216593250198542E-3</c:v>
                </c:pt>
                <c:pt idx="961">
                  <c:v>-1.2509749644102897E-3</c:v>
                </c:pt>
                <c:pt idx="962">
                  <c:v>-1.4923199769709683E-3</c:v>
                </c:pt>
                <c:pt idx="963">
                  <c:v>-5.6613753482590568E-3</c:v>
                </c:pt>
                <c:pt idx="964">
                  <c:v>-8.557053426257788E-3</c:v>
                </c:pt>
                <c:pt idx="965">
                  <c:v>-2.0794594157793611E-3</c:v>
                </c:pt>
                <c:pt idx="966">
                  <c:v>-4.4082254477828542E-6</c:v>
                </c:pt>
                <c:pt idx="967">
                  <c:v>1.6850098413101477E-3</c:v>
                </c:pt>
                <c:pt idx="968">
                  <c:v>7.0605101694294348E-3</c:v>
                </c:pt>
                <c:pt idx="969">
                  <c:v>2.2546722724028356E-3</c:v>
                </c:pt>
                <c:pt idx="970">
                  <c:v>8.8232576054281253E-6</c:v>
                </c:pt>
                <c:pt idx="971">
                  <c:v>1.1226106377121958E-2</c:v>
                </c:pt>
                <c:pt idx="972">
                  <c:v>9.3723416456326092E-3</c:v>
                </c:pt>
                <c:pt idx="973">
                  <c:v>1.5868308262065867E-2</c:v>
                </c:pt>
                <c:pt idx="974">
                  <c:v>4.445627052771961E-3</c:v>
                </c:pt>
                <c:pt idx="975">
                  <c:v>5.0186369634186434E-4</c:v>
                </c:pt>
                <c:pt idx="976">
                  <c:v>-2.3430066906531266E-3</c:v>
                </c:pt>
                <c:pt idx="977">
                  <c:v>-2.4932112457420885E-3</c:v>
                </c:pt>
                <c:pt idx="978">
                  <c:v>-1.6320557293507676E-3</c:v>
                </c:pt>
                <c:pt idx="979">
                  <c:v>4.9110847178717165E-3</c:v>
                </c:pt>
                <c:pt idx="980">
                  <c:v>1.0079495207214961E-2</c:v>
                </c:pt>
                <c:pt idx="981">
                  <c:v>1.1490952924721576E-2</c:v>
                </c:pt>
                <c:pt idx="982">
                  <c:v>8.775981341919703E-3</c:v>
                </c:pt>
                <c:pt idx="983">
                  <c:v>5.7202223278212116E-3</c:v>
                </c:pt>
                <c:pt idx="984">
                  <c:v>3.0677203187368107E-3</c:v>
                </c:pt>
                <c:pt idx="985">
                  <c:v>6.9818774540060247E-3</c:v>
                </c:pt>
                <c:pt idx="986">
                  <c:v>4.1914399483840015E-3</c:v>
                </c:pt>
                <c:pt idx="987">
                  <c:v>1.4123686607443453E-2</c:v>
                </c:pt>
                <c:pt idx="988">
                  <c:v>5.4629487693063083E-3</c:v>
                </c:pt>
                <c:pt idx="989">
                  <c:v>-2.304300870568099E-3</c:v>
                </c:pt>
                <c:pt idx="990">
                  <c:v>-8.7556391576448789E-4</c:v>
                </c:pt>
                <c:pt idx="991">
                  <c:v>5.727339507734186E-3</c:v>
                </c:pt>
                <c:pt idx="992">
                  <c:v>1.5314720029169671E-2</c:v>
                </c:pt>
                <c:pt idx="993">
                  <c:v>2.1437155004365493E-2</c:v>
                </c:pt>
                <c:pt idx="994">
                  <c:v>2.5138163000771208E-2</c:v>
                </c:pt>
                <c:pt idx="995">
                  <c:v>2.9547904805976799E-2</c:v>
                </c:pt>
                <c:pt idx="996">
                  <c:v>2.1444916572654904E-2</c:v>
                </c:pt>
                <c:pt idx="997">
                  <c:v>2.5239663117807787E-2</c:v>
                </c:pt>
                <c:pt idx="998">
                  <c:v>3.104271003153336E-2</c:v>
                </c:pt>
                <c:pt idx="999">
                  <c:v>2.9266841395769738E-2</c:v>
                </c:pt>
                <c:pt idx="1000">
                  <c:v>2.3949677090745247E-2</c:v>
                </c:pt>
                <c:pt idx="1001">
                  <c:v>2.188222014544472E-2</c:v>
                </c:pt>
                <c:pt idx="1002">
                  <c:v>1.7667551931383585E-2</c:v>
                </c:pt>
                <c:pt idx="1003">
                  <c:v>1.1086518852476246E-2</c:v>
                </c:pt>
                <c:pt idx="1004">
                  <c:v>1.9687841064592426E-2</c:v>
                </c:pt>
                <c:pt idx="1005">
                  <c:v>1.467521559395113E-2</c:v>
                </c:pt>
                <c:pt idx="1006">
                  <c:v>1.3501816677090162E-2</c:v>
                </c:pt>
                <c:pt idx="1007">
                  <c:v>4.1893440173765839E-3</c:v>
                </c:pt>
                <c:pt idx="1008">
                  <c:v>2.3545045005519682E-3</c:v>
                </c:pt>
                <c:pt idx="1009">
                  <c:v>-3.5122313522872872E-4</c:v>
                </c:pt>
                <c:pt idx="1010">
                  <c:v>-1.0438975097457615E-3</c:v>
                </c:pt>
                <c:pt idx="1011">
                  <c:v>1.2019771987485939E-3</c:v>
                </c:pt>
                <c:pt idx="1012">
                  <c:v>4.1502487348248351E-3</c:v>
                </c:pt>
                <c:pt idx="1013">
                  <c:v>-1.2815711375131933E-2</c:v>
                </c:pt>
                <c:pt idx="1014">
                  <c:v>1.401284866186181E-3</c:v>
                </c:pt>
                <c:pt idx="1015">
                  <c:v>-7.3050018989828658E-4</c:v>
                </c:pt>
                <c:pt idx="1016">
                  <c:v>1.2369429809906407E-3</c:v>
                </c:pt>
                <c:pt idx="1017">
                  <c:v>2.1426529206838296E-3</c:v>
                </c:pt>
                <c:pt idx="1018">
                  <c:v>-8.0561132539589408E-3</c:v>
                </c:pt>
                <c:pt idx="1019">
                  <c:v>-6.9675864115126274E-3</c:v>
                </c:pt>
                <c:pt idx="1020">
                  <c:v>-1.1291758386541062E-2</c:v>
                </c:pt>
                <c:pt idx="1021">
                  <c:v>-1.2502676426469073E-2</c:v>
                </c:pt>
                <c:pt idx="1022">
                  <c:v>-1.0138034586992362E-2</c:v>
                </c:pt>
                <c:pt idx="1023">
                  <c:v>-1.1252605252054515E-2</c:v>
                </c:pt>
                <c:pt idx="1024">
                  <c:v>-8.5398339977365012E-3</c:v>
                </c:pt>
                <c:pt idx="1025">
                  <c:v>-4.293843650920337E-3</c:v>
                </c:pt>
                <c:pt idx="1026">
                  <c:v>-4.5395216797921023E-3</c:v>
                </c:pt>
                <c:pt idx="1027">
                  <c:v>6.3025974481192293E-3</c:v>
                </c:pt>
                <c:pt idx="1028">
                  <c:v>4.9738608557703401E-3</c:v>
                </c:pt>
                <c:pt idx="1029">
                  <c:v>2.9751560625452811E-3</c:v>
                </c:pt>
                <c:pt idx="1030">
                  <c:v>5.7471587704709393E-3</c:v>
                </c:pt>
                <c:pt idx="1031">
                  <c:v>5.9397937195653228E-3</c:v>
                </c:pt>
                <c:pt idx="1032">
                  <c:v>-5.980647950636353E-4</c:v>
                </c:pt>
                <c:pt idx="1033">
                  <c:v>-3.117709602358687E-3</c:v>
                </c:pt>
                <c:pt idx="1034">
                  <c:v>-9.8155577458109988E-3</c:v>
                </c:pt>
                <c:pt idx="1035">
                  <c:v>-1.4395984278499085E-2</c:v>
                </c:pt>
                <c:pt idx="1036">
                  <c:v>-4.1760430265220805E-3</c:v>
                </c:pt>
                <c:pt idx="1037">
                  <c:v>-7.6430121275308238E-3</c:v>
                </c:pt>
                <c:pt idx="1038">
                  <c:v>-6.3013004592633592E-3</c:v>
                </c:pt>
                <c:pt idx="1039">
                  <c:v>-7.0010037068790609E-4</c:v>
                </c:pt>
                <c:pt idx="1040">
                  <c:v>-2.9123163071380631E-3</c:v>
                </c:pt>
                <c:pt idx="1041">
                  <c:v>7.1819701932387403E-3</c:v>
                </c:pt>
                <c:pt idx="1042">
                  <c:v>1.4689092744842647E-2</c:v>
                </c:pt>
                <c:pt idx="1043">
                  <c:v>1.7970308513388211E-2</c:v>
                </c:pt>
                <c:pt idx="1044">
                  <c:v>2.536109629876826E-2</c:v>
                </c:pt>
                <c:pt idx="1045">
                  <c:v>1.486965069427626E-2</c:v>
                </c:pt>
                <c:pt idx="1046">
                  <c:v>1.9508045659979878E-2</c:v>
                </c:pt>
                <c:pt idx="1047">
                  <c:v>2.2414214520363629E-2</c:v>
                </c:pt>
                <c:pt idx="1048">
                  <c:v>1.3613194794833916E-2</c:v>
                </c:pt>
                <c:pt idx="1049">
                  <c:v>1.7234816526869423E-2</c:v>
                </c:pt>
                <c:pt idx="1050">
                  <c:v>1.0533439095837593E-2</c:v>
                </c:pt>
                <c:pt idx="1051">
                  <c:v>4.4986702920208899E-3</c:v>
                </c:pt>
                <c:pt idx="1052">
                  <c:v>3.9587170802910521E-3</c:v>
                </c:pt>
                <c:pt idx="1053">
                  <c:v>4.5359125552071333E-3</c:v>
                </c:pt>
                <c:pt idx="1054">
                  <c:v>4.2857406731089398E-3</c:v>
                </c:pt>
                <c:pt idx="1055">
                  <c:v>1.0754135115584873E-3</c:v>
                </c:pt>
                <c:pt idx="1056">
                  <c:v>4.652212118328336E-3</c:v>
                </c:pt>
                <c:pt idx="1057">
                  <c:v>5.2372486525955608E-3</c:v>
                </c:pt>
                <c:pt idx="1058">
                  <c:v>-1.3690153102065672E-2</c:v>
                </c:pt>
                <c:pt idx="1059">
                  <c:v>-1.4090473408666426E-2</c:v>
                </c:pt>
                <c:pt idx="1060">
                  <c:v>-7.3832158988702545E-3</c:v>
                </c:pt>
                <c:pt idx="1061">
                  <c:v>-1.2105776274626834E-3</c:v>
                </c:pt>
                <c:pt idx="1062">
                  <c:v>-5.043553422012792E-4</c:v>
                </c:pt>
                <c:pt idx="1063">
                  <c:v>4.1468302076257402E-3</c:v>
                </c:pt>
                <c:pt idx="1064">
                  <c:v>1.005847724024278E-2</c:v>
                </c:pt>
                <c:pt idx="1065">
                  <c:v>5.6038367283974821E-3</c:v>
                </c:pt>
                <c:pt idx="1066">
                  <c:v>5.0856189376160543E-3</c:v>
                </c:pt>
                <c:pt idx="1067">
                  <c:v>2.2971012783393974E-2</c:v>
                </c:pt>
                <c:pt idx="1068">
                  <c:v>2.6833569585495098E-2</c:v>
                </c:pt>
                <c:pt idx="1069">
                  <c:v>2.3789741003123588E-2</c:v>
                </c:pt>
                <c:pt idx="1070">
                  <c:v>1.7424470462524155E-2</c:v>
                </c:pt>
                <c:pt idx="1071">
                  <c:v>1.2805376575060201E-2</c:v>
                </c:pt>
                <c:pt idx="1072">
                  <c:v>1.1886371668330398E-2</c:v>
                </c:pt>
                <c:pt idx="1073">
                  <c:v>7.7214287872156007E-3</c:v>
                </c:pt>
                <c:pt idx="1074">
                  <c:v>6.5805933541200901E-3</c:v>
                </c:pt>
                <c:pt idx="1075">
                  <c:v>6.8067014814001681E-3</c:v>
                </c:pt>
                <c:pt idx="1076">
                  <c:v>1.1768134795194563E-2</c:v>
                </c:pt>
                <c:pt idx="1077">
                  <c:v>3.2292120595291962E-3</c:v>
                </c:pt>
                <c:pt idx="1078">
                  <c:v>-2.7137720664178744E-3</c:v>
                </c:pt>
                <c:pt idx="1079">
                  <c:v>-1.2117662313499977E-3</c:v>
                </c:pt>
                <c:pt idx="1080">
                  <c:v>9.8837260010613548E-3</c:v>
                </c:pt>
                <c:pt idx="1081">
                  <c:v>1.5975363856481906E-3</c:v>
                </c:pt>
                <c:pt idx="1082">
                  <c:v>7.4755330438591727E-4</c:v>
                </c:pt>
                <c:pt idx="1083">
                  <c:v>1.1220011529058382E-3</c:v>
                </c:pt>
                <c:pt idx="1084">
                  <c:v>3.6609422776283651E-3</c:v>
                </c:pt>
                <c:pt idx="1085">
                  <c:v>-5.2466481090629458E-4</c:v>
                </c:pt>
                <c:pt idx="1086">
                  <c:v>-7.6339241068339447E-3</c:v>
                </c:pt>
                <c:pt idx="1087">
                  <c:v>3.3776871181885326E-3</c:v>
                </c:pt>
                <c:pt idx="1088">
                  <c:v>-5.5431286136231606E-3</c:v>
                </c:pt>
                <c:pt idx="1089">
                  <c:v>-1.2323654350495872E-2</c:v>
                </c:pt>
                <c:pt idx="1090">
                  <c:v>-3.2963256355023063E-3</c:v>
                </c:pt>
                <c:pt idx="1091">
                  <c:v>-1.2612874767317095E-3</c:v>
                </c:pt>
                <c:pt idx="1092">
                  <c:v>-1.0218388958677771E-2</c:v>
                </c:pt>
                <c:pt idx="1093">
                  <c:v>-5.3953748667767698E-3</c:v>
                </c:pt>
                <c:pt idx="1094">
                  <c:v>-4.7837904853027524E-3</c:v>
                </c:pt>
                <c:pt idx="1095">
                  <c:v>2.5388085290041218E-3</c:v>
                </c:pt>
                <c:pt idx="1096">
                  <c:v>1.0483581966189703E-3</c:v>
                </c:pt>
                <c:pt idx="1097">
                  <c:v>1.1558404367749908E-2</c:v>
                </c:pt>
                <c:pt idx="1098">
                  <c:v>1.4688963142657663E-2</c:v>
                </c:pt>
                <c:pt idx="1099">
                  <c:v>1.232788076612934E-2</c:v>
                </c:pt>
                <c:pt idx="1100">
                  <c:v>1.147333520713012E-2</c:v>
                </c:pt>
                <c:pt idx="1101">
                  <c:v>2.6244580825278696E-2</c:v>
                </c:pt>
                <c:pt idx="1102">
                  <c:v>1.9708196999911998E-2</c:v>
                </c:pt>
                <c:pt idx="1103">
                  <c:v>1.8412921611538735E-2</c:v>
                </c:pt>
                <c:pt idx="1104">
                  <c:v>1.8131607933650429E-2</c:v>
                </c:pt>
                <c:pt idx="1105">
                  <c:v>1.3771464503305353E-2</c:v>
                </c:pt>
                <c:pt idx="1106">
                  <c:v>1.2181258960878516E-2</c:v>
                </c:pt>
                <c:pt idx="1107">
                  <c:v>6.545481012747878E-3</c:v>
                </c:pt>
                <c:pt idx="1108">
                  <c:v>5.2563796789453221E-3</c:v>
                </c:pt>
                <c:pt idx="1109">
                  <c:v>3.9302904198041944E-3</c:v>
                </c:pt>
                <c:pt idx="1110">
                  <c:v>1.0181529270036904E-3</c:v>
                </c:pt>
                <c:pt idx="1111">
                  <c:v>1.6643511580527459E-3</c:v>
                </c:pt>
                <c:pt idx="1112">
                  <c:v>-1.537512910854133E-4</c:v>
                </c:pt>
                <c:pt idx="1113">
                  <c:v>2.7978711346428042E-3</c:v>
                </c:pt>
                <c:pt idx="1114">
                  <c:v>1.5248081454313223E-3</c:v>
                </c:pt>
                <c:pt idx="1115">
                  <c:v>-1.1751678703406654E-3</c:v>
                </c:pt>
                <c:pt idx="1116">
                  <c:v>-5.6568098764131491E-4</c:v>
                </c:pt>
                <c:pt idx="1117">
                  <c:v>-1.3803883962657082E-2</c:v>
                </c:pt>
                <c:pt idx="1118">
                  <c:v>-1.1800716103473441E-2</c:v>
                </c:pt>
                <c:pt idx="1119">
                  <c:v>-4.2531855100387261E-3</c:v>
                </c:pt>
                <c:pt idx="1120">
                  <c:v>-5.2446451759333712E-3</c:v>
                </c:pt>
                <c:pt idx="1121">
                  <c:v>-1.639507918222094E-3</c:v>
                </c:pt>
                <c:pt idx="1122">
                  <c:v>-1.9084171549347495E-2</c:v>
                </c:pt>
                <c:pt idx="1123">
                  <c:v>-2.2567069886950897E-2</c:v>
                </c:pt>
                <c:pt idx="1124">
                  <c:v>-1.8987742184664924E-2</c:v>
                </c:pt>
                <c:pt idx="1125">
                  <c:v>-8.7323720975112096E-3</c:v>
                </c:pt>
                <c:pt idx="1126">
                  <c:v>2.3882762132885205E-3</c:v>
                </c:pt>
                <c:pt idx="1127">
                  <c:v>-9.6309734170496597E-4</c:v>
                </c:pt>
                <c:pt idx="1128">
                  <c:v>-9.2852771617462082E-3</c:v>
                </c:pt>
                <c:pt idx="1129">
                  <c:v>-8.2993913122786367E-3</c:v>
                </c:pt>
                <c:pt idx="1130">
                  <c:v>-8.8760199076967083E-3</c:v>
                </c:pt>
                <c:pt idx="1131">
                  <c:v>1.1285854074420953E-2</c:v>
                </c:pt>
                <c:pt idx="1132">
                  <c:v>1.8827581162494944E-2</c:v>
                </c:pt>
                <c:pt idx="1133">
                  <c:v>1.9646183846814047E-2</c:v>
                </c:pt>
                <c:pt idx="1134">
                  <c:v>2.1750299317231381E-3</c:v>
                </c:pt>
                <c:pt idx="1135">
                  <c:v>8.758442513436826E-3</c:v>
                </c:pt>
                <c:pt idx="1136">
                  <c:v>1.0656607233223703E-2</c:v>
                </c:pt>
                <c:pt idx="1137">
                  <c:v>7.4951754787528913E-3</c:v>
                </c:pt>
                <c:pt idx="1138">
                  <c:v>1.7789197053286188E-2</c:v>
                </c:pt>
                <c:pt idx="1139">
                  <c:v>2.0305032701804393E-2</c:v>
                </c:pt>
                <c:pt idx="1140">
                  <c:v>1.6457335300295917E-2</c:v>
                </c:pt>
                <c:pt idx="1141">
                  <c:v>9.651338048253244E-3</c:v>
                </c:pt>
                <c:pt idx="1142">
                  <c:v>9.5162372312485033E-3</c:v>
                </c:pt>
                <c:pt idx="1143">
                  <c:v>1.8550557754664077E-2</c:v>
                </c:pt>
                <c:pt idx="1144">
                  <c:v>1.6536294981207789E-2</c:v>
                </c:pt>
                <c:pt idx="1145">
                  <c:v>1.7348893607268323E-2</c:v>
                </c:pt>
                <c:pt idx="1146">
                  <c:v>1.5788288028164565E-2</c:v>
                </c:pt>
                <c:pt idx="1147">
                  <c:v>5.6548971229206657E-3</c:v>
                </c:pt>
                <c:pt idx="1148">
                  <c:v>7.2071683938190745E-5</c:v>
                </c:pt>
                <c:pt idx="1149">
                  <c:v>-6.1259846335115498E-4</c:v>
                </c:pt>
                <c:pt idx="1150">
                  <c:v>4.5655477208121908E-3</c:v>
                </c:pt>
                <c:pt idx="1151">
                  <c:v>3.9239611027204191E-3</c:v>
                </c:pt>
                <c:pt idx="1152">
                  <c:v>6.1673618001902852E-3</c:v>
                </c:pt>
                <c:pt idx="1153">
                  <c:v>8.9243011687383245E-3</c:v>
                </c:pt>
                <c:pt idx="1154">
                  <c:v>1.044666563221508E-2</c:v>
                </c:pt>
                <c:pt idx="1155">
                  <c:v>1.4743174966296735E-2</c:v>
                </c:pt>
                <c:pt idx="1156">
                  <c:v>1.9726494972784003E-2</c:v>
                </c:pt>
                <c:pt idx="1157">
                  <c:v>2.0876806761635613E-2</c:v>
                </c:pt>
                <c:pt idx="1158">
                  <c:v>1.899857854494158E-2</c:v>
                </c:pt>
                <c:pt idx="1159">
                  <c:v>1.7241476191770744E-2</c:v>
                </c:pt>
                <c:pt idx="1160">
                  <c:v>1.7839468048594931E-2</c:v>
                </c:pt>
                <c:pt idx="1161">
                  <c:v>1.245302842164886E-2</c:v>
                </c:pt>
                <c:pt idx="1162">
                  <c:v>9.4642314115453985E-3</c:v>
                </c:pt>
                <c:pt idx="1163">
                  <c:v>9.0569428503606275E-3</c:v>
                </c:pt>
                <c:pt idx="1164">
                  <c:v>8.4833518079348025E-3</c:v>
                </c:pt>
                <c:pt idx="1165">
                  <c:v>3.5945075927772407E-3</c:v>
                </c:pt>
                <c:pt idx="1166">
                  <c:v>4.9966628239026534E-3</c:v>
                </c:pt>
                <c:pt idx="1167">
                  <c:v>1.1906522902220829E-2</c:v>
                </c:pt>
                <c:pt idx="1168">
                  <c:v>5.6064074021220378E-3</c:v>
                </c:pt>
                <c:pt idx="1169">
                  <c:v>5.4211258598710899E-3</c:v>
                </c:pt>
                <c:pt idx="1170">
                  <c:v>2.4353468529509925E-3</c:v>
                </c:pt>
                <c:pt idx="1171">
                  <c:v>2.827764190798554E-3</c:v>
                </c:pt>
                <c:pt idx="1172">
                  <c:v>9.1191515172521775E-3</c:v>
                </c:pt>
                <c:pt idx="1173">
                  <c:v>5.2492216555117821E-3</c:v>
                </c:pt>
                <c:pt idx="1174">
                  <c:v>5.4511749641115159E-3</c:v>
                </c:pt>
                <c:pt idx="1175">
                  <c:v>6.7140746597775802E-3</c:v>
                </c:pt>
                <c:pt idx="1176">
                  <c:v>1.8002266511132348E-3</c:v>
                </c:pt>
                <c:pt idx="1177">
                  <c:v>8.8729114064660664E-3</c:v>
                </c:pt>
                <c:pt idx="1178">
                  <c:v>8.5267541910498679E-3</c:v>
                </c:pt>
                <c:pt idx="1179">
                  <c:v>1.3011589371120458E-2</c:v>
                </c:pt>
                <c:pt idx="1180">
                  <c:v>1.3184063961833914E-2</c:v>
                </c:pt>
                <c:pt idx="1181">
                  <c:v>1.3744725028992377E-3</c:v>
                </c:pt>
                <c:pt idx="1182">
                  <c:v>3.6740029520387907E-3</c:v>
                </c:pt>
                <c:pt idx="1183">
                  <c:v>3.7131407628132607E-3</c:v>
                </c:pt>
                <c:pt idx="1184">
                  <c:v>-1.8998376582501919E-4</c:v>
                </c:pt>
                <c:pt idx="1185">
                  <c:v>-5.9209305748213481E-3</c:v>
                </c:pt>
                <c:pt idx="1186">
                  <c:v>-8.5056679091355392E-4</c:v>
                </c:pt>
                <c:pt idx="1187">
                  <c:v>-4.7504277145495877E-3</c:v>
                </c:pt>
                <c:pt idx="1188">
                  <c:v>-3.2864370810754551E-3</c:v>
                </c:pt>
                <c:pt idx="1189">
                  <c:v>1.7907876795844047E-3</c:v>
                </c:pt>
                <c:pt idx="1190">
                  <c:v>4.8092265265351486E-3</c:v>
                </c:pt>
                <c:pt idx="1191">
                  <c:v>7.7612577378811665E-3</c:v>
                </c:pt>
                <c:pt idx="1192">
                  <c:v>6.3937752640477186E-3</c:v>
                </c:pt>
                <c:pt idx="1193">
                  <c:v>1.8506388064302826E-2</c:v>
                </c:pt>
                <c:pt idx="1194">
                  <c:v>2.3678092810981433E-2</c:v>
                </c:pt>
                <c:pt idx="1195">
                  <c:v>2.3673026544185127E-2</c:v>
                </c:pt>
                <c:pt idx="1196">
                  <c:v>2.4275860776713287E-2</c:v>
                </c:pt>
                <c:pt idx="1197">
                  <c:v>2.1948280042277446E-2</c:v>
                </c:pt>
                <c:pt idx="1198">
                  <c:v>1.1682050931423937E-2</c:v>
                </c:pt>
                <c:pt idx="1199">
                  <c:v>1.2318481713077922E-2</c:v>
                </c:pt>
                <c:pt idx="1200">
                  <c:v>1.3192563992750372E-2</c:v>
                </c:pt>
                <c:pt idx="1201">
                  <c:v>1.906809779281371E-2</c:v>
                </c:pt>
                <c:pt idx="1202">
                  <c:v>1.2464607701445196E-2</c:v>
                </c:pt>
                <c:pt idx="1203">
                  <c:v>1.438162534914067E-2</c:v>
                </c:pt>
                <c:pt idx="1204">
                  <c:v>5.7509699139890458E-3</c:v>
                </c:pt>
                <c:pt idx="1205">
                  <c:v>3.6983849187457452E-3</c:v>
                </c:pt>
                <c:pt idx="1206">
                  <c:v>1.368540920789485E-2</c:v>
                </c:pt>
                <c:pt idx="1207">
                  <c:v>2.2780278103719631E-2</c:v>
                </c:pt>
                <c:pt idx="1208">
                  <c:v>1.9658892067553779E-2</c:v>
                </c:pt>
                <c:pt idx="1209">
                  <c:v>1.5902589229200181E-2</c:v>
                </c:pt>
                <c:pt idx="1210">
                  <c:v>1.2395073894713171E-2</c:v>
                </c:pt>
                <c:pt idx="1211">
                  <c:v>8.7399603976425766E-3</c:v>
                </c:pt>
                <c:pt idx="1212">
                  <c:v>6.1332610049769087E-3</c:v>
                </c:pt>
                <c:pt idx="1213">
                  <c:v>7.3969579280293019E-3</c:v>
                </c:pt>
                <c:pt idx="1214">
                  <c:v>1.3308444749065451E-2</c:v>
                </c:pt>
                <c:pt idx="1215">
                  <c:v>-8.2250115180926286E-4</c:v>
                </c:pt>
                <c:pt idx="1216">
                  <c:v>2.0980989879610945E-3</c:v>
                </c:pt>
                <c:pt idx="1217">
                  <c:v>1.1712030122686734E-2</c:v>
                </c:pt>
                <c:pt idx="1218">
                  <c:v>1.6560808926519677E-2</c:v>
                </c:pt>
                <c:pt idx="1219">
                  <c:v>2.1586267897042433E-2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516-4ED0-9936-A21FC45C2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axId val="83264000"/>
        <c:axId val="226818816"/>
      </c:barChart>
      <c:scatterChart>
        <c:scatterStyle val="lineMarker"/>
        <c:varyColors val="0"/>
        <c:ser>
          <c:idx val="1"/>
          <c:order val="1"/>
          <c:tx>
            <c:v>VaR</c:v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[0]!dates_graph</c:f>
              <c:numCache>
                <c:formatCode>dd-mm-yy</c:formatCode>
                <c:ptCount val="1220"/>
                <c:pt idx="0">
                  <c:v>41326</c:v>
                </c:pt>
                <c:pt idx="1">
                  <c:v>41327</c:v>
                </c:pt>
                <c:pt idx="2">
                  <c:v>41330</c:v>
                </c:pt>
                <c:pt idx="3">
                  <c:v>41331</c:v>
                </c:pt>
                <c:pt idx="4">
                  <c:v>41332</c:v>
                </c:pt>
                <c:pt idx="5">
                  <c:v>41333</c:v>
                </c:pt>
                <c:pt idx="6">
                  <c:v>41334</c:v>
                </c:pt>
                <c:pt idx="7">
                  <c:v>41337</c:v>
                </c:pt>
                <c:pt idx="8">
                  <c:v>41338</c:v>
                </c:pt>
                <c:pt idx="9">
                  <c:v>41339</c:v>
                </c:pt>
                <c:pt idx="10">
                  <c:v>41340</c:v>
                </c:pt>
                <c:pt idx="11">
                  <c:v>41341</c:v>
                </c:pt>
                <c:pt idx="12">
                  <c:v>41344</c:v>
                </c:pt>
                <c:pt idx="13">
                  <c:v>41345</c:v>
                </c:pt>
                <c:pt idx="14">
                  <c:v>41346</c:v>
                </c:pt>
                <c:pt idx="15">
                  <c:v>41347</c:v>
                </c:pt>
                <c:pt idx="16">
                  <c:v>41348</c:v>
                </c:pt>
                <c:pt idx="17">
                  <c:v>41351</c:v>
                </c:pt>
                <c:pt idx="18">
                  <c:v>41352</c:v>
                </c:pt>
                <c:pt idx="19">
                  <c:v>41353</c:v>
                </c:pt>
                <c:pt idx="20">
                  <c:v>41354</c:v>
                </c:pt>
                <c:pt idx="21">
                  <c:v>41355</c:v>
                </c:pt>
                <c:pt idx="22">
                  <c:v>41358</c:v>
                </c:pt>
                <c:pt idx="23">
                  <c:v>41359</c:v>
                </c:pt>
                <c:pt idx="24">
                  <c:v>41360</c:v>
                </c:pt>
                <c:pt idx="25">
                  <c:v>41361</c:v>
                </c:pt>
                <c:pt idx="26">
                  <c:v>41365</c:v>
                </c:pt>
                <c:pt idx="27">
                  <c:v>41366</c:v>
                </c:pt>
                <c:pt idx="28">
                  <c:v>41367</c:v>
                </c:pt>
                <c:pt idx="29">
                  <c:v>41368</c:v>
                </c:pt>
                <c:pt idx="30">
                  <c:v>41369</c:v>
                </c:pt>
                <c:pt idx="31">
                  <c:v>41372</c:v>
                </c:pt>
                <c:pt idx="32">
                  <c:v>41373</c:v>
                </c:pt>
                <c:pt idx="33">
                  <c:v>41374</c:v>
                </c:pt>
                <c:pt idx="34">
                  <c:v>41375</c:v>
                </c:pt>
                <c:pt idx="35">
                  <c:v>41376</c:v>
                </c:pt>
                <c:pt idx="36">
                  <c:v>41379</c:v>
                </c:pt>
                <c:pt idx="37">
                  <c:v>41380</c:v>
                </c:pt>
                <c:pt idx="38">
                  <c:v>41381</c:v>
                </c:pt>
                <c:pt idx="39">
                  <c:v>41382</c:v>
                </c:pt>
                <c:pt idx="40">
                  <c:v>41383</c:v>
                </c:pt>
                <c:pt idx="41">
                  <c:v>41386</c:v>
                </c:pt>
                <c:pt idx="42">
                  <c:v>41387</c:v>
                </c:pt>
                <c:pt idx="43">
                  <c:v>41388</c:v>
                </c:pt>
                <c:pt idx="44">
                  <c:v>41389</c:v>
                </c:pt>
                <c:pt idx="45">
                  <c:v>41390</c:v>
                </c:pt>
                <c:pt idx="46">
                  <c:v>41393</c:v>
                </c:pt>
                <c:pt idx="47">
                  <c:v>41394</c:v>
                </c:pt>
                <c:pt idx="48">
                  <c:v>41395</c:v>
                </c:pt>
                <c:pt idx="49">
                  <c:v>41396</c:v>
                </c:pt>
                <c:pt idx="50">
                  <c:v>41397</c:v>
                </c:pt>
                <c:pt idx="51">
                  <c:v>41400</c:v>
                </c:pt>
                <c:pt idx="52">
                  <c:v>41401</c:v>
                </c:pt>
                <c:pt idx="53">
                  <c:v>41402</c:v>
                </c:pt>
                <c:pt idx="54">
                  <c:v>41403</c:v>
                </c:pt>
                <c:pt idx="55">
                  <c:v>41404</c:v>
                </c:pt>
                <c:pt idx="56">
                  <c:v>41407</c:v>
                </c:pt>
                <c:pt idx="57">
                  <c:v>41408</c:v>
                </c:pt>
                <c:pt idx="58">
                  <c:v>41409</c:v>
                </c:pt>
                <c:pt idx="59">
                  <c:v>41410</c:v>
                </c:pt>
                <c:pt idx="60">
                  <c:v>41411</c:v>
                </c:pt>
                <c:pt idx="61">
                  <c:v>41414</c:v>
                </c:pt>
                <c:pt idx="62">
                  <c:v>41415</c:v>
                </c:pt>
                <c:pt idx="63">
                  <c:v>41416</c:v>
                </c:pt>
                <c:pt idx="64">
                  <c:v>41417</c:v>
                </c:pt>
                <c:pt idx="65">
                  <c:v>41418</c:v>
                </c:pt>
                <c:pt idx="66">
                  <c:v>41422</c:v>
                </c:pt>
                <c:pt idx="67">
                  <c:v>41423</c:v>
                </c:pt>
                <c:pt idx="68">
                  <c:v>41424</c:v>
                </c:pt>
                <c:pt idx="69">
                  <c:v>41425</c:v>
                </c:pt>
                <c:pt idx="70">
                  <c:v>41428</c:v>
                </c:pt>
                <c:pt idx="71">
                  <c:v>41429</c:v>
                </c:pt>
                <c:pt idx="72">
                  <c:v>41430</c:v>
                </c:pt>
                <c:pt idx="73">
                  <c:v>41431</c:v>
                </c:pt>
                <c:pt idx="74">
                  <c:v>41432</c:v>
                </c:pt>
                <c:pt idx="75">
                  <c:v>41435</c:v>
                </c:pt>
                <c:pt idx="76">
                  <c:v>41436</c:v>
                </c:pt>
                <c:pt idx="77">
                  <c:v>41437</c:v>
                </c:pt>
                <c:pt idx="78">
                  <c:v>41438</c:v>
                </c:pt>
                <c:pt idx="79">
                  <c:v>41439</c:v>
                </c:pt>
                <c:pt idx="80">
                  <c:v>41442</c:v>
                </c:pt>
                <c:pt idx="81">
                  <c:v>41443</c:v>
                </c:pt>
                <c:pt idx="82">
                  <c:v>41444</c:v>
                </c:pt>
                <c:pt idx="83">
                  <c:v>41445</c:v>
                </c:pt>
                <c:pt idx="84">
                  <c:v>41446</c:v>
                </c:pt>
                <c:pt idx="85">
                  <c:v>41449</c:v>
                </c:pt>
                <c:pt idx="86">
                  <c:v>41450</c:v>
                </c:pt>
                <c:pt idx="87">
                  <c:v>41451</c:v>
                </c:pt>
                <c:pt idx="88">
                  <c:v>41452</c:v>
                </c:pt>
                <c:pt idx="89">
                  <c:v>41453</c:v>
                </c:pt>
                <c:pt idx="90">
                  <c:v>41456</c:v>
                </c:pt>
                <c:pt idx="91">
                  <c:v>41457</c:v>
                </c:pt>
                <c:pt idx="92">
                  <c:v>41458</c:v>
                </c:pt>
                <c:pt idx="93">
                  <c:v>41460</c:v>
                </c:pt>
                <c:pt idx="94">
                  <c:v>41463</c:v>
                </c:pt>
                <c:pt idx="95">
                  <c:v>41464</c:v>
                </c:pt>
                <c:pt idx="96">
                  <c:v>41465</c:v>
                </c:pt>
                <c:pt idx="97">
                  <c:v>41466</c:v>
                </c:pt>
                <c:pt idx="98">
                  <c:v>41467</c:v>
                </c:pt>
                <c:pt idx="99">
                  <c:v>41470</c:v>
                </c:pt>
                <c:pt idx="100">
                  <c:v>41471</c:v>
                </c:pt>
                <c:pt idx="101">
                  <c:v>41472</c:v>
                </c:pt>
                <c:pt idx="102">
                  <c:v>41473</c:v>
                </c:pt>
                <c:pt idx="103">
                  <c:v>41474</c:v>
                </c:pt>
                <c:pt idx="104">
                  <c:v>41477</c:v>
                </c:pt>
                <c:pt idx="105">
                  <c:v>41478</c:v>
                </c:pt>
                <c:pt idx="106">
                  <c:v>41479</c:v>
                </c:pt>
                <c:pt idx="107">
                  <c:v>41480</c:v>
                </c:pt>
                <c:pt idx="108">
                  <c:v>41481</c:v>
                </c:pt>
                <c:pt idx="109">
                  <c:v>41484</c:v>
                </c:pt>
                <c:pt idx="110">
                  <c:v>41485</c:v>
                </c:pt>
                <c:pt idx="111">
                  <c:v>41486</c:v>
                </c:pt>
                <c:pt idx="112">
                  <c:v>41487</c:v>
                </c:pt>
                <c:pt idx="113">
                  <c:v>41488</c:v>
                </c:pt>
                <c:pt idx="114">
                  <c:v>41491</c:v>
                </c:pt>
                <c:pt idx="115">
                  <c:v>41492</c:v>
                </c:pt>
                <c:pt idx="116">
                  <c:v>41493</c:v>
                </c:pt>
                <c:pt idx="117">
                  <c:v>41494</c:v>
                </c:pt>
                <c:pt idx="118">
                  <c:v>41495</c:v>
                </c:pt>
                <c:pt idx="119">
                  <c:v>41498</c:v>
                </c:pt>
                <c:pt idx="120">
                  <c:v>41499</c:v>
                </c:pt>
                <c:pt idx="121">
                  <c:v>41500</c:v>
                </c:pt>
                <c:pt idx="122">
                  <c:v>41501</c:v>
                </c:pt>
                <c:pt idx="123">
                  <c:v>41502</c:v>
                </c:pt>
                <c:pt idx="124">
                  <c:v>41505</c:v>
                </c:pt>
                <c:pt idx="125">
                  <c:v>41506</c:v>
                </c:pt>
                <c:pt idx="126">
                  <c:v>41507</c:v>
                </c:pt>
                <c:pt idx="127">
                  <c:v>41508</c:v>
                </c:pt>
                <c:pt idx="128">
                  <c:v>41509</c:v>
                </c:pt>
                <c:pt idx="129">
                  <c:v>41512</c:v>
                </c:pt>
                <c:pt idx="130">
                  <c:v>41513</c:v>
                </c:pt>
                <c:pt idx="131">
                  <c:v>41514</c:v>
                </c:pt>
                <c:pt idx="132">
                  <c:v>41515</c:v>
                </c:pt>
                <c:pt idx="133">
                  <c:v>41516</c:v>
                </c:pt>
                <c:pt idx="134">
                  <c:v>41520</c:v>
                </c:pt>
                <c:pt idx="135">
                  <c:v>41521</c:v>
                </c:pt>
                <c:pt idx="136">
                  <c:v>41522</c:v>
                </c:pt>
                <c:pt idx="137">
                  <c:v>41523</c:v>
                </c:pt>
                <c:pt idx="138">
                  <c:v>41526</c:v>
                </c:pt>
                <c:pt idx="139">
                  <c:v>41527</c:v>
                </c:pt>
                <c:pt idx="140">
                  <c:v>41528</c:v>
                </c:pt>
                <c:pt idx="141">
                  <c:v>41529</c:v>
                </c:pt>
                <c:pt idx="142">
                  <c:v>41530</c:v>
                </c:pt>
                <c:pt idx="143">
                  <c:v>41533</c:v>
                </c:pt>
                <c:pt idx="144">
                  <c:v>41534</c:v>
                </c:pt>
                <c:pt idx="145">
                  <c:v>41535</c:v>
                </c:pt>
                <c:pt idx="146">
                  <c:v>41536</c:v>
                </c:pt>
                <c:pt idx="147">
                  <c:v>41537</c:v>
                </c:pt>
                <c:pt idx="148">
                  <c:v>41540</c:v>
                </c:pt>
                <c:pt idx="149">
                  <c:v>41541</c:v>
                </c:pt>
                <c:pt idx="150">
                  <c:v>41542</c:v>
                </c:pt>
                <c:pt idx="151">
                  <c:v>41543</c:v>
                </c:pt>
                <c:pt idx="152">
                  <c:v>41544</c:v>
                </c:pt>
                <c:pt idx="153">
                  <c:v>41547</c:v>
                </c:pt>
                <c:pt idx="154">
                  <c:v>41548</c:v>
                </c:pt>
                <c:pt idx="155">
                  <c:v>41549</c:v>
                </c:pt>
                <c:pt idx="156">
                  <c:v>41550</c:v>
                </c:pt>
                <c:pt idx="157">
                  <c:v>41551</c:v>
                </c:pt>
                <c:pt idx="158">
                  <c:v>41554</c:v>
                </c:pt>
                <c:pt idx="159">
                  <c:v>41555</c:v>
                </c:pt>
                <c:pt idx="160">
                  <c:v>41556</c:v>
                </c:pt>
                <c:pt idx="161">
                  <c:v>41557</c:v>
                </c:pt>
                <c:pt idx="162">
                  <c:v>41558</c:v>
                </c:pt>
                <c:pt idx="163">
                  <c:v>41561</c:v>
                </c:pt>
                <c:pt idx="164">
                  <c:v>41562</c:v>
                </c:pt>
                <c:pt idx="165">
                  <c:v>41563</c:v>
                </c:pt>
                <c:pt idx="166">
                  <c:v>41564</c:v>
                </c:pt>
                <c:pt idx="167">
                  <c:v>41565</c:v>
                </c:pt>
                <c:pt idx="168">
                  <c:v>41568</c:v>
                </c:pt>
                <c:pt idx="169">
                  <c:v>41569</c:v>
                </c:pt>
                <c:pt idx="170">
                  <c:v>41570</c:v>
                </c:pt>
                <c:pt idx="171">
                  <c:v>41571</c:v>
                </c:pt>
                <c:pt idx="172">
                  <c:v>41572</c:v>
                </c:pt>
                <c:pt idx="173">
                  <c:v>41575</c:v>
                </c:pt>
                <c:pt idx="174">
                  <c:v>41576</c:v>
                </c:pt>
                <c:pt idx="175">
                  <c:v>41577</c:v>
                </c:pt>
                <c:pt idx="176">
                  <c:v>41578</c:v>
                </c:pt>
                <c:pt idx="177">
                  <c:v>41579</c:v>
                </c:pt>
                <c:pt idx="178">
                  <c:v>41582</c:v>
                </c:pt>
                <c:pt idx="179">
                  <c:v>41583</c:v>
                </c:pt>
                <c:pt idx="180">
                  <c:v>41584</c:v>
                </c:pt>
                <c:pt idx="181">
                  <c:v>41585</c:v>
                </c:pt>
                <c:pt idx="182">
                  <c:v>41586</c:v>
                </c:pt>
                <c:pt idx="183">
                  <c:v>41589</c:v>
                </c:pt>
                <c:pt idx="184">
                  <c:v>41590</c:v>
                </c:pt>
                <c:pt idx="185">
                  <c:v>41591</c:v>
                </c:pt>
                <c:pt idx="186">
                  <c:v>41592</c:v>
                </c:pt>
                <c:pt idx="187">
                  <c:v>41593</c:v>
                </c:pt>
                <c:pt idx="188">
                  <c:v>41596</c:v>
                </c:pt>
                <c:pt idx="189">
                  <c:v>41597</c:v>
                </c:pt>
                <c:pt idx="190">
                  <c:v>41598</c:v>
                </c:pt>
                <c:pt idx="191">
                  <c:v>41599</c:v>
                </c:pt>
                <c:pt idx="192">
                  <c:v>41600</c:v>
                </c:pt>
                <c:pt idx="193">
                  <c:v>41603</c:v>
                </c:pt>
                <c:pt idx="194">
                  <c:v>41604</c:v>
                </c:pt>
                <c:pt idx="195">
                  <c:v>41605</c:v>
                </c:pt>
                <c:pt idx="196">
                  <c:v>41607</c:v>
                </c:pt>
                <c:pt idx="197">
                  <c:v>41610</c:v>
                </c:pt>
                <c:pt idx="198">
                  <c:v>41611</c:v>
                </c:pt>
                <c:pt idx="199">
                  <c:v>41612</c:v>
                </c:pt>
                <c:pt idx="200">
                  <c:v>41613</c:v>
                </c:pt>
                <c:pt idx="201">
                  <c:v>41614</c:v>
                </c:pt>
                <c:pt idx="202">
                  <c:v>41617</c:v>
                </c:pt>
                <c:pt idx="203">
                  <c:v>41618</c:v>
                </c:pt>
                <c:pt idx="204">
                  <c:v>41619</c:v>
                </c:pt>
                <c:pt idx="205">
                  <c:v>41620</c:v>
                </c:pt>
                <c:pt idx="206">
                  <c:v>41621</c:v>
                </c:pt>
                <c:pt idx="207">
                  <c:v>41624</c:v>
                </c:pt>
                <c:pt idx="208">
                  <c:v>41625</c:v>
                </c:pt>
                <c:pt idx="209">
                  <c:v>41626</c:v>
                </c:pt>
                <c:pt idx="210">
                  <c:v>41627</c:v>
                </c:pt>
                <c:pt idx="211">
                  <c:v>41628</c:v>
                </c:pt>
                <c:pt idx="212">
                  <c:v>41631</c:v>
                </c:pt>
                <c:pt idx="213">
                  <c:v>41632</c:v>
                </c:pt>
                <c:pt idx="214">
                  <c:v>41634</c:v>
                </c:pt>
                <c:pt idx="215">
                  <c:v>41635</c:v>
                </c:pt>
                <c:pt idx="216">
                  <c:v>41638</c:v>
                </c:pt>
                <c:pt idx="217">
                  <c:v>41639</c:v>
                </c:pt>
                <c:pt idx="218">
                  <c:v>41641</c:v>
                </c:pt>
                <c:pt idx="219">
                  <c:v>41642</c:v>
                </c:pt>
                <c:pt idx="220">
                  <c:v>41645</c:v>
                </c:pt>
                <c:pt idx="221">
                  <c:v>41646</c:v>
                </c:pt>
                <c:pt idx="222">
                  <c:v>41647</c:v>
                </c:pt>
                <c:pt idx="223">
                  <c:v>41648</c:v>
                </c:pt>
                <c:pt idx="224">
                  <c:v>41649</c:v>
                </c:pt>
                <c:pt idx="225">
                  <c:v>41652</c:v>
                </c:pt>
                <c:pt idx="226">
                  <c:v>41653</c:v>
                </c:pt>
                <c:pt idx="227">
                  <c:v>41654</c:v>
                </c:pt>
                <c:pt idx="228">
                  <c:v>41655</c:v>
                </c:pt>
                <c:pt idx="229">
                  <c:v>41656</c:v>
                </c:pt>
                <c:pt idx="230">
                  <c:v>41660</c:v>
                </c:pt>
                <c:pt idx="231">
                  <c:v>41661</c:v>
                </c:pt>
                <c:pt idx="232">
                  <c:v>41662</c:v>
                </c:pt>
                <c:pt idx="233">
                  <c:v>41663</c:v>
                </c:pt>
                <c:pt idx="234">
                  <c:v>41666</c:v>
                </c:pt>
                <c:pt idx="235">
                  <c:v>41667</c:v>
                </c:pt>
                <c:pt idx="236">
                  <c:v>41668</c:v>
                </c:pt>
                <c:pt idx="237">
                  <c:v>41669</c:v>
                </c:pt>
                <c:pt idx="238">
                  <c:v>41670</c:v>
                </c:pt>
                <c:pt idx="239">
                  <c:v>41673</c:v>
                </c:pt>
                <c:pt idx="240">
                  <c:v>41674</c:v>
                </c:pt>
                <c:pt idx="241">
                  <c:v>41675</c:v>
                </c:pt>
                <c:pt idx="242">
                  <c:v>41676</c:v>
                </c:pt>
                <c:pt idx="243">
                  <c:v>41677</c:v>
                </c:pt>
                <c:pt idx="244">
                  <c:v>41680</c:v>
                </c:pt>
                <c:pt idx="245">
                  <c:v>41681</c:v>
                </c:pt>
                <c:pt idx="246">
                  <c:v>41682</c:v>
                </c:pt>
                <c:pt idx="247">
                  <c:v>41683</c:v>
                </c:pt>
                <c:pt idx="248">
                  <c:v>41684</c:v>
                </c:pt>
                <c:pt idx="249">
                  <c:v>41688</c:v>
                </c:pt>
                <c:pt idx="250">
                  <c:v>41689</c:v>
                </c:pt>
                <c:pt idx="251">
                  <c:v>41690</c:v>
                </c:pt>
                <c:pt idx="252">
                  <c:v>41691</c:v>
                </c:pt>
                <c:pt idx="253">
                  <c:v>41694</c:v>
                </c:pt>
                <c:pt idx="254">
                  <c:v>41695</c:v>
                </c:pt>
                <c:pt idx="255">
                  <c:v>41696</c:v>
                </c:pt>
                <c:pt idx="256">
                  <c:v>41697</c:v>
                </c:pt>
                <c:pt idx="257">
                  <c:v>41698</c:v>
                </c:pt>
                <c:pt idx="258">
                  <c:v>41701</c:v>
                </c:pt>
                <c:pt idx="259">
                  <c:v>41702</c:v>
                </c:pt>
                <c:pt idx="260">
                  <c:v>41703</c:v>
                </c:pt>
                <c:pt idx="261">
                  <c:v>41704</c:v>
                </c:pt>
                <c:pt idx="262">
                  <c:v>41705</c:v>
                </c:pt>
                <c:pt idx="263">
                  <c:v>41708</c:v>
                </c:pt>
                <c:pt idx="264">
                  <c:v>41709</c:v>
                </c:pt>
                <c:pt idx="265">
                  <c:v>41710</c:v>
                </c:pt>
                <c:pt idx="266">
                  <c:v>41711</c:v>
                </c:pt>
                <c:pt idx="267">
                  <c:v>41712</c:v>
                </c:pt>
                <c:pt idx="268">
                  <c:v>41715</c:v>
                </c:pt>
                <c:pt idx="269">
                  <c:v>41716</c:v>
                </c:pt>
                <c:pt idx="270">
                  <c:v>41717</c:v>
                </c:pt>
                <c:pt idx="271">
                  <c:v>41718</c:v>
                </c:pt>
                <c:pt idx="272">
                  <c:v>41719</c:v>
                </c:pt>
                <c:pt idx="273">
                  <c:v>41722</c:v>
                </c:pt>
                <c:pt idx="274">
                  <c:v>41723</c:v>
                </c:pt>
                <c:pt idx="275">
                  <c:v>41724</c:v>
                </c:pt>
                <c:pt idx="276">
                  <c:v>41725</c:v>
                </c:pt>
                <c:pt idx="277">
                  <c:v>41726</c:v>
                </c:pt>
                <c:pt idx="278">
                  <c:v>41729</c:v>
                </c:pt>
                <c:pt idx="279">
                  <c:v>41730</c:v>
                </c:pt>
                <c:pt idx="280">
                  <c:v>41731</c:v>
                </c:pt>
                <c:pt idx="281">
                  <c:v>41732</c:v>
                </c:pt>
                <c:pt idx="282">
                  <c:v>41733</c:v>
                </c:pt>
                <c:pt idx="283">
                  <c:v>41736</c:v>
                </c:pt>
                <c:pt idx="284">
                  <c:v>41737</c:v>
                </c:pt>
                <c:pt idx="285">
                  <c:v>41738</c:v>
                </c:pt>
                <c:pt idx="286">
                  <c:v>41739</c:v>
                </c:pt>
                <c:pt idx="287">
                  <c:v>41740</c:v>
                </c:pt>
                <c:pt idx="288">
                  <c:v>41743</c:v>
                </c:pt>
                <c:pt idx="289">
                  <c:v>41744</c:v>
                </c:pt>
                <c:pt idx="290">
                  <c:v>41745</c:v>
                </c:pt>
                <c:pt idx="291">
                  <c:v>41746</c:v>
                </c:pt>
                <c:pt idx="292">
                  <c:v>41750</c:v>
                </c:pt>
                <c:pt idx="293">
                  <c:v>41751</c:v>
                </c:pt>
                <c:pt idx="294">
                  <c:v>41752</c:v>
                </c:pt>
                <c:pt idx="295">
                  <c:v>41753</c:v>
                </c:pt>
                <c:pt idx="296">
                  <c:v>41754</c:v>
                </c:pt>
                <c:pt idx="297">
                  <c:v>41757</c:v>
                </c:pt>
                <c:pt idx="298">
                  <c:v>41758</c:v>
                </c:pt>
                <c:pt idx="299">
                  <c:v>41759</c:v>
                </c:pt>
                <c:pt idx="300">
                  <c:v>41760</c:v>
                </c:pt>
                <c:pt idx="301">
                  <c:v>41761</c:v>
                </c:pt>
                <c:pt idx="302">
                  <c:v>41764</c:v>
                </c:pt>
                <c:pt idx="303">
                  <c:v>41765</c:v>
                </c:pt>
                <c:pt idx="304">
                  <c:v>41766</c:v>
                </c:pt>
                <c:pt idx="305">
                  <c:v>41767</c:v>
                </c:pt>
                <c:pt idx="306">
                  <c:v>41768</c:v>
                </c:pt>
                <c:pt idx="307">
                  <c:v>41771</c:v>
                </c:pt>
                <c:pt idx="308">
                  <c:v>41772</c:v>
                </c:pt>
                <c:pt idx="309">
                  <c:v>41773</c:v>
                </c:pt>
                <c:pt idx="310">
                  <c:v>41774</c:v>
                </c:pt>
                <c:pt idx="311">
                  <c:v>41775</c:v>
                </c:pt>
                <c:pt idx="312">
                  <c:v>41778</c:v>
                </c:pt>
                <c:pt idx="313">
                  <c:v>41779</c:v>
                </c:pt>
                <c:pt idx="314">
                  <c:v>41780</c:v>
                </c:pt>
                <c:pt idx="315">
                  <c:v>41781</c:v>
                </c:pt>
                <c:pt idx="316">
                  <c:v>41782</c:v>
                </c:pt>
                <c:pt idx="317">
                  <c:v>41786</c:v>
                </c:pt>
                <c:pt idx="318">
                  <c:v>41787</c:v>
                </c:pt>
                <c:pt idx="319">
                  <c:v>41788</c:v>
                </c:pt>
                <c:pt idx="320">
                  <c:v>41789</c:v>
                </c:pt>
                <c:pt idx="321">
                  <c:v>41792</c:v>
                </c:pt>
                <c:pt idx="322">
                  <c:v>41793</c:v>
                </c:pt>
                <c:pt idx="323">
                  <c:v>41794</c:v>
                </c:pt>
                <c:pt idx="324">
                  <c:v>41795</c:v>
                </c:pt>
                <c:pt idx="325">
                  <c:v>41796</c:v>
                </c:pt>
                <c:pt idx="326">
                  <c:v>41799</c:v>
                </c:pt>
                <c:pt idx="327">
                  <c:v>41800</c:v>
                </c:pt>
                <c:pt idx="328">
                  <c:v>41801</c:v>
                </c:pt>
                <c:pt idx="329">
                  <c:v>41802</c:v>
                </c:pt>
                <c:pt idx="330">
                  <c:v>41803</c:v>
                </c:pt>
                <c:pt idx="331">
                  <c:v>41806</c:v>
                </c:pt>
                <c:pt idx="332">
                  <c:v>41807</c:v>
                </c:pt>
                <c:pt idx="333">
                  <c:v>41808</c:v>
                </c:pt>
                <c:pt idx="334">
                  <c:v>41809</c:v>
                </c:pt>
                <c:pt idx="335">
                  <c:v>41810</c:v>
                </c:pt>
                <c:pt idx="336">
                  <c:v>41813</c:v>
                </c:pt>
                <c:pt idx="337">
                  <c:v>41814</c:v>
                </c:pt>
                <c:pt idx="338">
                  <c:v>41815</c:v>
                </c:pt>
                <c:pt idx="339">
                  <c:v>41816</c:v>
                </c:pt>
                <c:pt idx="340">
                  <c:v>41817</c:v>
                </c:pt>
                <c:pt idx="341">
                  <c:v>41820</c:v>
                </c:pt>
                <c:pt idx="342">
                  <c:v>41821</c:v>
                </c:pt>
                <c:pt idx="343">
                  <c:v>41822</c:v>
                </c:pt>
                <c:pt idx="344">
                  <c:v>41823</c:v>
                </c:pt>
                <c:pt idx="345">
                  <c:v>41827</c:v>
                </c:pt>
                <c:pt idx="346">
                  <c:v>41828</c:v>
                </c:pt>
                <c:pt idx="347">
                  <c:v>41829</c:v>
                </c:pt>
                <c:pt idx="348">
                  <c:v>41830</c:v>
                </c:pt>
                <c:pt idx="349">
                  <c:v>41831</c:v>
                </c:pt>
                <c:pt idx="350">
                  <c:v>41834</c:v>
                </c:pt>
                <c:pt idx="351">
                  <c:v>41835</c:v>
                </c:pt>
                <c:pt idx="352">
                  <c:v>41836</c:v>
                </c:pt>
                <c:pt idx="353">
                  <c:v>41837</c:v>
                </c:pt>
                <c:pt idx="354">
                  <c:v>41838</c:v>
                </c:pt>
                <c:pt idx="355">
                  <c:v>41841</c:v>
                </c:pt>
                <c:pt idx="356">
                  <c:v>41842</c:v>
                </c:pt>
                <c:pt idx="357">
                  <c:v>41843</c:v>
                </c:pt>
                <c:pt idx="358">
                  <c:v>41844</c:v>
                </c:pt>
                <c:pt idx="359">
                  <c:v>41845</c:v>
                </c:pt>
                <c:pt idx="360">
                  <c:v>41848</c:v>
                </c:pt>
                <c:pt idx="361">
                  <c:v>41849</c:v>
                </c:pt>
                <c:pt idx="362">
                  <c:v>41850</c:v>
                </c:pt>
                <c:pt idx="363">
                  <c:v>41851</c:v>
                </c:pt>
                <c:pt idx="364">
                  <c:v>41852</c:v>
                </c:pt>
                <c:pt idx="365">
                  <c:v>41855</c:v>
                </c:pt>
                <c:pt idx="366">
                  <c:v>41856</c:v>
                </c:pt>
                <c:pt idx="367">
                  <c:v>41857</c:v>
                </c:pt>
                <c:pt idx="368">
                  <c:v>41858</c:v>
                </c:pt>
                <c:pt idx="369">
                  <c:v>41859</c:v>
                </c:pt>
                <c:pt idx="370">
                  <c:v>41862</c:v>
                </c:pt>
                <c:pt idx="371">
                  <c:v>41863</c:v>
                </c:pt>
                <c:pt idx="372">
                  <c:v>41864</c:v>
                </c:pt>
                <c:pt idx="373">
                  <c:v>41865</c:v>
                </c:pt>
                <c:pt idx="374">
                  <c:v>41866</c:v>
                </c:pt>
                <c:pt idx="375">
                  <c:v>41869</c:v>
                </c:pt>
                <c:pt idx="376">
                  <c:v>41870</c:v>
                </c:pt>
                <c:pt idx="377">
                  <c:v>41871</c:v>
                </c:pt>
                <c:pt idx="378">
                  <c:v>41872</c:v>
                </c:pt>
                <c:pt idx="379">
                  <c:v>41873</c:v>
                </c:pt>
                <c:pt idx="380">
                  <c:v>41876</c:v>
                </c:pt>
                <c:pt idx="381">
                  <c:v>41877</c:v>
                </c:pt>
                <c:pt idx="382">
                  <c:v>41878</c:v>
                </c:pt>
                <c:pt idx="383">
                  <c:v>41879</c:v>
                </c:pt>
                <c:pt idx="384">
                  <c:v>41880</c:v>
                </c:pt>
                <c:pt idx="385">
                  <c:v>41884</c:v>
                </c:pt>
                <c:pt idx="386">
                  <c:v>41885</c:v>
                </c:pt>
                <c:pt idx="387">
                  <c:v>41886</c:v>
                </c:pt>
                <c:pt idx="388">
                  <c:v>41887</c:v>
                </c:pt>
                <c:pt idx="389">
                  <c:v>41890</c:v>
                </c:pt>
                <c:pt idx="390">
                  <c:v>41891</c:v>
                </c:pt>
                <c:pt idx="391">
                  <c:v>41892</c:v>
                </c:pt>
                <c:pt idx="392">
                  <c:v>41893</c:v>
                </c:pt>
                <c:pt idx="393">
                  <c:v>41894</c:v>
                </c:pt>
                <c:pt idx="394">
                  <c:v>41897</c:v>
                </c:pt>
                <c:pt idx="395">
                  <c:v>41898</c:v>
                </c:pt>
                <c:pt idx="396">
                  <c:v>41899</c:v>
                </c:pt>
                <c:pt idx="397">
                  <c:v>41900</c:v>
                </c:pt>
                <c:pt idx="398">
                  <c:v>41901</c:v>
                </c:pt>
                <c:pt idx="399">
                  <c:v>41904</c:v>
                </c:pt>
                <c:pt idx="400">
                  <c:v>41905</c:v>
                </c:pt>
                <c:pt idx="401">
                  <c:v>41906</c:v>
                </c:pt>
                <c:pt idx="402">
                  <c:v>41907</c:v>
                </c:pt>
                <c:pt idx="403">
                  <c:v>41908</c:v>
                </c:pt>
                <c:pt idx="404">
                  <c:v>41911</c:v>
                </c:pt>
                <c:pt idx="405">
                  <c:v>41912</c:v>
                </c:pt>
                <c:pt idx="406">
                  <c:v>41913</c:v>
                </c:pt>
                <c:pt idx="407">
                  <c:v>41914</c:v>
                </c:pt>
                <c:pt idx="408">
                  <c:v>41915</c:v>
                </c:pt>
                <c:pt idx="409">
                  <c:v>41918</c:v>
                </c:pt>
                <c:pt idx="410">
                  <c:v>41919</c:v>
                </c:pt>
                <c:pt idx="411">
                  <c:v>41920</c:v>
                </c:pt>
                <c:pt idx="412">
                  <c:v>41921</c:v>
                </c:pt>
                <c:pt idx="413">
                  <c:v>41922</c:v>
                </c:pt>
                <c:pt idx="414">
                  <c:v>41925</c:v>
                </c:pt>
                <c:pt idx="415">
                  <c:v>41926</c:v>
                </c:pt>
                <c:pt idx="416">
                  <c:v>41927</c:v>
                </c:pt>
                <c:pt idx="417">
                  <c:v>41928</c:v>
                </c:pt>
                <c:pt idx="418">
                  <c:v>41929</c:v>
                </c:pt>
                <c:pt idx="419">
                  <c:v>41932</c:v>
                </c:pt>
                <c:pt idx="420">
                  <c:v>41933</c:v>
                </c:pt>
                <c:pt idx="421">
                  <c:v>41934</c:v>
                </c:pt>
                <c:pt idx="422">
                  <c:v>41935</c:v>
                </c:pt>
                <c:pt idx="423">
                  <c:v>41936</c:v>
                </c:pt>
                <c:pt idx="424">
                  <c:v>41939</c:v>
                </c:pt>
                <c:pt idx="425">
                  <c:v>41940</c:v>
                </c:pt>
                <c:pt idx="426">
                  <c:v>41941</c:v>
                </c:pt>
                <c:pt idx="427">
                  <c:v>41942</c:v>
                </c:pt>
                <c:pt idx="428">
                  <c:v>41943</c:v>
                </c:pt>
                <c:pt idx="429">
                  <c:v>41946</c:v>
                </c:pt>
                <c:pt idx="430">
                  <c:v>41947</c:v>
                </c:pt>
                <c:pt idx="431">
                  <c:v>41948</c:v>
                </c:pt>
                <c:pt idx="432">
                  <c:v>41949</c:v>
                </c:pt>
                <c:pt idx="433">
                  <c:v>41950</c:v>
                </c:pt>
                <c:pt idx="434">
                  <c:v>41953</c:v>
                </c:pt>
                <c:pt idx="435">
                  <c:v>41954</c:v>
                </c:pt>
                <c:pt idx="436">
                  <c:v>41955</c:v>
                </c:pt>
                <c:pt idx="437">
                  <c:v>41956</c:v>
                </c:pt>
                <c:pt idx="438">
                  <c:v>41957</c:v>
                </c:pt>
                <c:pt idx="439">
                  <c:v>41960</c:v>
                </c:pt>
                <c:pt idx="440">
                  <c:v>41961</c:v>
                </c:pt>
                <c:pt idx="441">
                  <c:v>41962</c:v>
                </c:pt>
                <c:pt idx="442">
                  <c:v>41963</c:v>
                </c:pt>
                <c:pt idx="443">
                  <c:v>41964</c:v>
                </c:pt>
                <c:pt idx="444">
                  <c:v>41967</c:v>
                </c:pt>
                <c:pt idx="445">
                  <c:v>41968</c:v>
                </c:pt>
                <c:pt idx="446">
                  <c:v>41969</c:v>
                </c:pt>
                <c:pt idx="447">
                  <c:v>41971</c:v>
                </c:pt>
                <c:pt idx="448">
                  <c:v>41974</c:v>
                </c:pt>
                <c:pt idx="449">
                  <c:v>41975</c:v>
                </c:pt>
                <c:pt idx="450">
                  <c:v>41976</c:v>
                </c:pt>
                <c:pt idx="451">
                  <c:v>41977</c:v>
                </c:pt>
                <c:pt idx="452">
                  <c:v>41978</c:v>
                </c:pt>
                <c:pt idx="453">
                  <c:v>41981</c:v>
                </c:pt>
                <c:pt idx="454">
                  <c:v>41982</c:v>
                </c:pt>
                <c:pt idx="455">
                  <c:v>41983</c:v>
                </c:pt>
                <c:pt idx="456">
                  <c:v>41984</c:v>
                </c:pt>
                <c:pt idx="457">
                  <c:v>41985</c:v>
                </c:pt>
                <c:pt idx="458">
                  <c:v>41988</c:v>
                </c:pt>
                <c:pt idx="459">
                  <c:v>41989</c:v>
                </c:pt>
                <c:pt idx="460">
                  <c:v>41990</c:v>
                </c:pt>
                <c:pt idx="461">
                  <c:v>41991</c:v>
                </c:pt>
                <c:pt idx="462">
                  <c:v>41992</c:v>
                </c:pt>
                <c:pt idx="463">
                  <c:v>41995</c:v>
                </c:pt>
                <c:pt idx="464">
                  <c:v>41996</c:v>
                </c:pt>
                <c:pt idx="465">
                  <c:v>41997</c:v>
                </c:pt>
                <c:pt idx="466">
                  <c:v>41999</c:v>
                </c:pt>
                <c:pt idx="467">
                  <c:v>42002</c:v>
                </c:pt>
                <c:pt idx="468">
                  <c:v>42003</c:v>
                </c:pt>
                <c:pt idx="469">
                  <c:v>42004</c:v>
                </c:pt>
                <c:pt idx="470">
                  <c:v>42006</c:v>
                </c:pt>
                <c:pt idx="471">
                  <c:v>42009</c:v>
                </c:pt>
                <c:pt idx="472">
                  <c:v>42010</c:v>
                </c:pt>
                <c:pt idx="473">
                  <c:v>42011</c:v>
                </c:pt>
                <c:pt idx="474">
                  <c:v>42012</c:v>
                </c:pt>
                <c:pt idx="475">
                  <c:v>42013</c:v>
                </c:pt>
                <c:pt idx="476">
                  <c:v>42016</c:v>
                </c:pt>
                <c:pt idx="477">
                  <c:v>42017</c:v>
                </c:pt>
                <c:pt idx="478">
                  <c:v>42018</c:v>
                </c:pt>
                <c:pt idx="479">
                  <c:v>42019</c:v>
                </c:pt>
                <c:pt idx="480">
                  <c:v>42020</c:v>
                </c:pt>
                <c:pt idx="481">
                  <c:v>42024</c:v>
                </c:pt>
                <c:pt idx="482">
                  <c:v>42025</c:v>
                </c:pt>
                <c:pt idx="483">
                  <c:v>42026</c:v>
                </c:pt>
                <c:pt idx="484">
                  <c:v>42027</c:v>
                </c:pt>
                <c:pt idx="485">
                  <c:v>42030</c:v>
                </c:pt>
                <c:pt idx="486">
                  <c:v>42031</c:v>
                </c:pt>
                <c:pt idx="487">
                  <c:v>42032</c:v>
                </c:pt>
                <c:pt idx="488">
                  <c:v>42033</c:v>
                </c:pt>
                <c:pt idx="489">
                  <c:v>42034</c:v>
                </c:pt>
                <c:pt idx="490">
                  <c:v>42037</c:v>
                </c:pt>
                <c:pt idx="491">
                  <c:v>42038</c:v>
                </c:pt>
                <c:pt idx="492">
                  <c:v>42039</c:v>
                </c:pt>
                <c:pt idx="493">
                  <c:v>42040</c:v>
                </c:pt>
                <c:pt idx="494">
                  <c:v>42041</c:v>
                </c:pt>
                <c:pt idx="495">
                  <c:v>42044</c:v>
                </c:pt>
                <c:pt idx="496">
                  <c:v>42045</c:v>
                </c:pt>
                <c:pt idx="497">
                  <c:v>42046</c:v>
                </c:pt>
                <c:pt idx="498">
                  <c:v>42047</c:v>
                </c:pt>
                <c:pt idx="499">
                  <c:v>42048</c:v>
                </c:pt>
                <c:pt idx="500">
                  <c:v>42052</c:v>
                </c:pt>
                <c:pt idx="501">
                  <c:v>42053</c:v>
                </c:pt>
                <c:pt idx="502">
                  <c:v>42054</c:v>
                </c:pt>
                <c:pt idx="503">
                  <c:v>42055</c:v>
                </c:pt>
                <c:pt idx="504">
                  <c:v>42058</c:v>
                </c:pt>
                <c:pt idx="505">
                  <c:v>42059</c:v>
                </c:pt>
                <c:pt idx="506">
                  <c:v>42060</c:v>
                </c:pt>
                <c:pt idx="507">
                  <c:v>42061</c:v>
                </c:pt>
                <c:pt idx="508">
                  <c:v>42062</c:v>
                </c:pt>
                <c:pt idx="509">
                  <c:v>42065</c:v>
                </c:pt>
                <c:pt idx="510">
                  <c:v>42066</c:v>
                </c:pt>
                <c:pt idx="511">
                  <c:v>42067</c:v>
                </c:pt>
                <c:pt idx="512">
                  <c:v>42068</c:v>
                </c:pt>
                <c:pt idx="513">
                  <c:v>42069</c:v>
                </c:pt>
                <c:pt idx="514">
                  <c:v>42072</c:v>
                </c:pt>
                <c:pt idx="515">
                  <c:v>42073</c:v>
                </c:pt>
                <c:pt idx="516">
                  <c:v>42074</c:v>
                </c:pt>
                <c:pt idx="517">
                  <c:v>42075</c:v>
                </c:pt>
                <c:pt idx="518">
                  <c:v>42076</c:v>
                </c:pt>
                <c:pt idx="519">
                  <c:v>42079</c:v>
                </c:pt>
                <c:pt idx="520">
                  <c:v>42080</c:v>
                </c:pt>
                <c:pt idx="521">
                  <c:v>42081</c:v>
                </c:pt>
                <c:pt idx="522">
                  <c:v>42082</c:v>
                </c:pt>
                <c:pt idx="523">
                  <c:v>42083</c:v>
                </c:pt>
                <c:pt idx="524">
                  <c:v>42086</c:v>
                </c:pt>
                <c:pt idx="525">
                  <c:v>42087</c:v>
                </c:pt>
                <c:pt idx="526">
                  <c:v>42088</c:v>
                </c:pt>
                <c:pt idx="527">
                  <c:v>42089</c:v>
                </c:pt>
                <c:pt idx="528">
                  <c:v>42090</c:v>
                </c:pt>
                <c:pt idx="529">
                  <c:v>42093</c:v>
                </c:pt>
                <c:pt idx="530">
                  <c:v>42094</c:v>
                </c:pt>
                <c:pt idx="531">
                  <c:v>42095</c:v>
                </c:pt>
                <c:pt idx="532">
                  <c:v>42096</c:v>
                </c:pt>
                <c:pt idx="533">
                  <c:v>42100</c:v>
                </c:pt>
                <c:pt idx="534">
                  <c:v>42101</c:v>
                </c:pt>
                <c:pt idx="535">
                  <c:v>42102</c:v>
                </c:pt>
                <c:pt idx="536">
                  <c:v>42103</c:v>
                </c:pt>
                <c:pt idx="537">
                  <c:v>42104</c:v>
                </c:pt>
                <c:pt idx="538">
                  <c:v>42107</c:v>
                </c:pt>
                <c:pt idx="539">
                  <c:v>42108</c:v>
                </c:pt>
                <c:pt idx="540">
                  <c:v>42109</c:v>
                </c:pt>
                <c:pt idx="541">
                  <c:v>42110</c:v>
                </c:pt>
                <c:pt idx="542">
                  <c:v>42111</c:v>
                </c:pt>
                <c:pt idx="543">
                  <c:v>42114</c:v>
                </c:pt>
                <c:pt idx="544">
                  <c:v>42115</c:v>
                </c:pt>
                <c:pt idx="545">
                  <c:v>42116</c:v>
                </c:pt>
                <c:pt idx="546">
                  <c:v>42117</c:v>
                </c:pt>
                <c:pt idx="547">
                  <c:v>42118</c:v>
                </c:pt>
                <c:pt idx="548">
                  <c:v>42121</c:v>
                </c:pt>
                <c:pt idx="549">
                  <c:v>42122</c:v>
                </c:pt>
                <c:pt idx="550">
                  <c:v>42123</c:v>
                </c:pt>
                <c:pt idx="551">
                  <c:v>42124</c:v>
                </c:pt>
                <c:pt idx="552">
                  <c:v>42125</c:v>
                </c:pt>
                <c:pt idx="553">
                  <c:v>42128</c:v>
                </c:pt>
                <c:pt idx="554">
                  <c:v>42129</c:v>
                </c:pt>
                <c:pt idx="555">
                  <c:v>42130</c:v>
                </c:pt>
                <c:pt idx="556">
                  <c:v>42131</c:v>
                </c:pt>
                <c:pt idx="557">
                  <c:v>42132</c:v>
                </c:pt>
                <c:pt idx="558">
                  <c:v>42135</c:v>
                </c:pt>
                <c:pt idx="559">
                  <c:v>42136</c:v>
                </c:pt>
                <c:pt idx="560">
                  <c:v>42137</c:v>
                </c:pt>
                <c:pt idx="561">
                  <c:v>42138</c:v>
                </c:pt>
                <c:pt idx="562">
                  <c:v>42139</c:v>
                </c:pt>
                <c:pt idx="563">
                  <c:v>42142</c:v>
                </c:pt>
                <c:pt idx="564">
                  <c:v>42143</c:v>
                </c:pt>
                <c:pt idx="565">
                  <c:v>42144</c:v>
                </c:pt>
                <c:pt idx="566">
                  <c:v>42145</c:v>
                </c:pt>
                <c:pt idx="567">
                  <c:v>42146</c:v>
                </c:pt>
                <c:pt idx="568">
                  <c:v>42150</c:v>
                </c:pt>
                <c:pt idx="569">
                  <c:v>42151</c:v>
                </c:pt>
                <c:pt idx="570">
                  <c:v>42152</c:v>
                </c:pt>
                <c:pt idx="571">
                  <c:v>42153</c:v>
                </c:pt>
                <c:pt idx="572">
                  <c:v>42156</c:v>
                </c:pt>
                <c:pt idx="573">
                  <c:v>42157</c:v>
                </c:pt>
                <c:pt idx="574">
                  <c:v>42158</c:v>
                </c:pt>
                <c:pt idx="575">
                  <c:v>42159</c:v>
                </c:pt>
                <c:pt idx="576">
                  <c:v>42160</c:v>
                </c:pt>
                <c:pt idx="577">
                  <c:v>42163</c:v>
                </c:pt>
                <c:pt idx="578">
                  <c:v>42164</c:v>
                </c:pt>
                <c:pt idx="579">
                  <c:v>42165</c:v>
                </c:pt>
                <c:pt idx="580">
                  <c:v>42166</c:v>
                </c:pt>
                <c:pt idx="581">
                  <c:v>42167</c:v>
                </c:pt>
                <c:pt idx="582">
                  <c:v>42170</c:v>
                </c:pt>
                <c:pt idx="583">
                  <c:v>42171</c:v>
                </c:pt>
                <c:pt idx="584">
                  <c:v>42172</c:v>
                </c:pt>
                <c:pt idx="585">
                  <c:v>42173</c:v>
                </c:pt>
                <c:pt idx="586">
                  <c:v>42174</c:v>
                </c:pt>
                <c:pt idx="587">
                  <c:v>42177</c:v>
                </c:pt>
                <c:pt idx="588">
                  <c:v>42178</c:v>
                </c:pt>
                <c:pt idx="589">
                  <c:v>42179</c:v>
                </c:pt>
                <c:pt idx="590">
                  <c:v>42180</c:v>
                </c:pt>
                <c:pt idx="591">
                  <c:v>42181</c:v>
                </c:pt>
                <c:pt idx="592">
                  <c:v>42184</c:v>
                </c:pt>
                <c:pt idx="593">
                  <c:v>42185</c:v>
                </c:pt>
                <c:pt idx="594">
                  <c:v>42186</c:v>
                </c:pt>
                <c:pt idx="595">
                  <c:v>42187</c:v>
                </c:pt>
                <c:pt idx="596">
                  <c:v>42191</c:v>
                </c:pt>
                <c:pt idx="597">
                  <c:v>42192</c:v>
                </c:pt>
                <c:pt idx="598">
                  <c:v>42193</c:v>
                </c:pt>
                <c:pt idx="599">
                  <c:v>42194</c:v>
                </c:pt>
                <c:pt idx="600">
                  <c:v>42195</c:v>
                </c:pt>
                <c:pt idx="601">
                  <c:v>42198</c:v>
                </c:pt>
                <c:pt idx="602">
                  <c:v>42199</c:v>
                </c:pt>
                <c:pt idx="603">
                  <c:v>42200</c:v>
                </c:pt>
                <c:pt idx="604">
                  <c:v>42201</c:v>
                </c:pt>
                <c:pt idx="605">
                  <c:v>42202</c:v>
                </c:pt>
                <c:pt idx="606">
                  <c:v>42205</c:v>
                </c:pt>
                <c:pt idx="607">
                  <c:v>42206</c:v>
                </c:pt>
                <c:pt idx="608">
                  <c:v>42207</c:v>
                </c:pt>
                <c:pt idx="609">
                  <c:v>42208</c:v>
                </c:pt>
                <c:pt idx="610">
                  <c:v>42209</c:v>
                </c:pt>
                <c:pt idx="611">
                  <c:v>42212</c:v>
                </c:pt>
                <c:pt idx="612">
                  <c:v>42213</c:v>
                </c:pt>
                <c:pt idx="613">
                  <c:v>42214</c:v>
                </c:pt>
                <c:pt idx="614">
                  <c:v>42215</c:v>
                </c:pt>
                <c:pt idx="615">
                  <c:v>42216</c:v>
                </c:pt>
                <c:pt idx="616">
                  <c:v>42219</c:v>
                </c:pt>
                <c:pt idx="617">
                  <c:v>42220</c:v>
                </c:pt>
                <c:pt idx="618">
                  <c:v>42221</c:v>
                </c:pt>
                <c:pt idx="619">
                  <c:v>42222</c:v>
                </c:pt>
                <c:pt idx="620">
                  <c:v>42223</c:v>
                </c:pt>
                <c:pt idx="621">
                  <c:v>42226</c:v>
                </c:pt>
                <c:pt idx="622">
                  <c:v>42227</c:v>
                </c:pt>
                <c:pt idx="623">
                  <c:v>42228</c:v>
                </c:pt>
                <c:pt idx="624">
                  <c:v>42229</c:v>
                </c:pt>
                <c:pt idx="625">
                  <c:v>42230</c:v>
                </c:pt>
                <c:pt idx="626">
                  <c:v>42233</c:v>
                </c:pt>
                <c:pt idx="627">
                  <c:v>42234</c:v>
                </c:pt>
                <c:pt idx="628">
                  <c:v>42235</c:v>
                </c:pt>
                <c:pt idx="629">
                  <c:v>42236</c:v>
                </c:pt>
                <c:pt idx="630">
                  <c:v>42237</c:v>
                </c:pt>
                <c:pt idx="631">
                  <c:v>42240</c:v>
                </c:pt>
                <c:pt idx="632">
                  <c:v>42241</c:v>
                </c:pt>
                <c:pt idx="633">
                  <c:v>42242</c:v>
                </c:pt>
                <c:pt idx="634">
                  <c:v>42243</c:v>
                </c:pt>
                <c:pt idx="635">
                  <c:v>42244</c:v>
                </c:pt>
                <c:pt idx="636">
                  <c:v>42247</c:v>
                </c:pt>
                <c:pt idx="637">
                  <c:v>42248</c:v>
                </c:pt>
                <c:pt idx="638">
                  <c:v>42249</c:v>
                </c:pt>
                <c:pt idx="639">
                  <c:v>42250</c:v>
                </c:pt>
                <c:pt idx="640">
                  <c:v>42251</c:v>
                </c:pt>
                <c:pt idx="641">
                  <c:v>42255</c:v>
                </c:pt>
                <c:pt idx="642">
                  <c:v>42256</c:v>
                </c:pt>
                <c:pt idx="643">
                  <c:v>42257</c:v>
                </c:pt>
                <c:pt idx="644">
                  <c:v>42258</c:v>
                </c:pt>
                <c:pt idx="645">
                  <c:v>42261</c:v>
                </c:pt>
                <c:pt idx="646">
                  <c:v>42262</c:v>
                </c:pt>
                <c:pt idx="647">
                  <c:v>42263</c:v>
                </c:pt>
                <c:pt idx="648">
                  <c:v>42264</c:v>
                </c:pt>
                <c:pt idx="649">
                  <c:v>42265</c:v>
                </c:pt>
                <c:pt idx="650">
                  <c:v>42268</c:v>
                </c:pt>
                <c:pt idx="651">
                  <c:v>42269</c:v>
                </c:pt>
                <c:pt idx="652">
                  <c:v>42270</c:v>
                </c:pt>
                <c:pt idx="653">
                  <c:v>42271</c:v>
                </c:pt>
                <c:pt idx="654">
                  <c:v>42272</c:v>
                </c:pt>
                <c:pt idx="655">
                  <c:v>42275</c:v>
                </c:pt>
                <c:pt idx="656">
                  <c:v>42276</c:v>
                </c:pt>
                <c:pt idx="657">
                  <c:v>42277</c:v>
                </c:pt>
                <c:pt idx="658">
                  <c:v>42278</c:v>
                </c:pt>
                <c:pt idx="659">
                  <c:v>42279</c:v>
                </c:pt>
                <c:pt idx="660">
                  <c:v>42282</c:v>
                </c:pt>
                <c:pt idx="661">
                  <c:v>42283</c:v>
                </c:pt>
                <c:pt idx="662">
                  <c:v>42284</c:v>
                </c:pt>
                <c:pt idx="663">
                  <c:v>42285</c:v>
                </c:pt>
                <c:pt idx="664">
                  <c:v>42286</c:v>
                </c:pt>
                <c:pt idx="665">
                  <c:v>42289</c:v>
                </c:pt>
                <c:pt idx="666">
                  <c:v>42290</c:v>
                </c:pt>
                <c:pt idx="667">
                  <c:v>42291</c:v>
                </c:pt>
                <c:pt idx="668">
                  <c:v>42292</c:v>
                </c:pt>
                <c:pt idx="669">
                  <c:v>42293</c:v>
                </c:pt>
                <c:pt idx="670">
                  <c:v>42296</c:v>
                </c:pt>
                <c:pt idx="671">
                  <c:v>42297</c:v>
                </c:pt>
                <c:pt idx="672">
                  <c:v>42298</c:v>
                </c:pt>
                <c:pt idx="673">
                  <c:v>42299</c:v>
                </c:pt>
                <c:pt idx="674">
                  <c:v>42300</c:v>
                </c:pt>
                <c:pt idx="675">
                  <c:v>42303</c:v>
                </c:pt>
                <c:pt idx="676">
                  <c:v>42304</c:v>
                </c:pt>
                <c:pt idx="677">
                  <c:v>42305</c:v>
                </c:pt>
                <c:pt idx="678">
                  <c:v>42306</c:v>
                </c:pt>
                <c:pt idx="679">
                  <c:v>42307</c:v>
                </c:pt>
                <c:pt idx="680">
                  <c:v>42310</c:v>
                </c:pt>
                <c:pt idx="681">
                  <c:v>42311</c:v>
                </c:pt>
                <c:pt idx="682">
                  <c:v>42312</c:v>
                </c:pt>
                <c:pt idx="683">
                  <c:v>42313</c:v>
                </c:pt>
                <c:pt idx="684">
                  <c:v>42314</c:v>
                </c:pt>
                <c:pt idx="685">
                  <c:v>42317</c:v>
                </c:pt>
                <c:pt idx="686">
                  <c:v>42318</c:v>
                </c:pt>
                <c:pt idx="687">
                  <c:v>42319</c:v>
                </c:pt>
                <c:pt idx="688">
                  <c:v>42320</c:v>
                </c:pt>
                <c:pt idx="689">
                  <c:v>42321</c:v>
                </c:pt>
                <c:pt idx="690">
                  <c:v>42324</c:v>
                </c:pt>
                <c:pt idx="691">
                  <c:v>42325</c:v>
                </c:pt>
                <c:pt idx="692">
                  <c:v>42326</c:v>
                </c:pt>
                <c:pt idx="693">
                  <c:v>42327</c:v>
                </c:pt>
                <c:pt idx="694">
                  <c:v>42328</c:v>
                </c:pt>
                <c:pt idx="695">
                  <c:v>42331</c:v>
                </c:pt>
                <c:pt idx="696">
                  <c:v>42332</c:v>
                </c:pt>
                <c:pt idx="697">
                  <c:v>42333</c:v>
                </c:pt>
                <c:pt idx="698">
                  <c:v>42335</c:v>
                </c:pt>
                <c:pt idx="699">
                  <c:v>42338</c:v>
                </c:pt>
                <c:pt idx="700">
                  <c:v>42339</c:v>
                </c:pt>
                <c:pt idx="701">
                  <c:v>42340</c:v>
                </c:pt>
                <c:pt idx="702">
                  <c:v>42341</c:v>
                </c:pt>
                <c:pt idx="703">
                  <c:v>42342</c:v>
                </c:pt>
                <c:pt idx="704">
                  <c:v>42345</c:v>
                </c:pt>
                <c:pt idx="705">
                  <c:v>42346</c:v>
                </c:pt>
                <c:pt idx="706">
                  <c:v>42347</c:v>
                </c:pt>
                <c:pt idx="707">
                  <c:v>42348</c:v>
                </c:pt>
                <c:pt idx="708">
                  <c:v>42349</c:v>
                </c:pt>
                <c:pt idx="709">
                  <c:v>42352</c:v>
                </c:pt>
                <c:pt idx="710">
                  <c:v>42353</c:v>
                </c:pt>
                <c:pt idx="711">
                  <c:v>42354</c:v>
                </c:pt>
                <c:pt idx="712">
                  <c:v>42355</c:v>
                </c:pt>
                <c:pt idx="713">
                  <c:v>42356</c:v>
                </c:pt>
                <c:pt idx="714">
                  <c:v>42359</c:v>
                </c:pt>
                <c:pt idx="715">
                  <c:v>42360</c:v>
                </c:pt>
                <c:pt idx="716">
                  <c:v>42361</c:v>
                </c:pt>
                <c:pt idx="717">
                  <c:v>42362</c:v>
                </c:pt>
                <c:pt idx="718">
                  <c:v>42366</c:v>
                </c:pt>
                <c:pt idx="719">
                  <c:v>42367</c:v>
                </c:pt>
                <c:pt idx="720">
                  <c:v>42368</c:v>
                </c:pt>
                <c:pt idx="721">
                  <c:v>42369</c:v>
                </c:pt>
                <c:pt idx="722">
                  <c:v>42373</c:v>
                </c:pt>
                <c:pt idx="723">
                  <c:v>42374</c:v>
                </c:pt>
                <c:pt idx="724">
                  <c:v>42375</c:v>
                </c:pt>
                <c:pt idx="725">
                  <c:v>42376</c:v>
                </c:pt>
                <c:pt idx="726">
                  <c:v>42377</c:v>
                </c:pt>
                <c:pt idx="727">
                  <c:v>42380</c:v>
                </c:pt>
                <c:pt idx="728">
                  <c:v>42381</c:v>
                </c:pt>
                <c:pt idx="729">
                  <c:v>42382</c:v>
                </c:pt>
                <c:pt idx="730">
                  <c:v>42383</c:v>
                </c:pt>
                <c:pt idx="731">
                  <c:v>42384</c:v>
                </c:pt>
                <c:pt idx="732">
                  <c:v>42388</c:v>
                </c:pt>
                <c:pt idx="733">
                  <c:v>42389</c:v>
                </c:pt>
                <c:pt idx="734">
                  <c:v>42390</c:v>
                </c:pt>
                <c:pt idx="735">
                  <c:v>42391</c:v>
                </c:pt>
                <c:pt idx="736">
                  <c:v>42394</c:v>
                </c:pt>
                <c:pt idx="737">
                  <c:v>42395</c:v>
                </c:pt>
                <c:pt idx="738">
                  <c:v>42396</c:v>
                </c:pt>
                <c:pt idx="739">
                  <c:v>42397</c:v>
                </c:pt>
                <c:pt idx="740">
                  <c:v>42398</c:v>
                </c:pt>
                <c:pt idx="741">
                  <c:v>42401</c:v>
                </c:pt>
                <c:pt idx="742">
                  <c:v>42402</c:v>
                </c:pt>
                <c:pt idx="743">
                  <c:v>42403</c:v>
                </c:pt>
                <c:pt idx="744">
                  <c:v>42404</c:v>
                </c:pt>
                <c:pt idx="745">
                  <c:v>42405</c:v>
                </c:pt>
                <c:pt idx="746">
                  <c:v>42408</c:v>
                </c:pt>
                <c:pt idx="747">
                  <c:v>42409</c:v>
                </c:pt>
                <c:pt idx="748">
                  <c:v>42410</c:v>
                </c:pt>
                <c:pt idx="749">
                  <c:v>42411</c:v>
                </c:pt>
                <c:pt idx="750">
                  <c:v>42412</c:v>
                </c:pt>
                <c:pt idx="751">
                  <c:v>42416</c:v>
                </c:pt>
                <c:pt idx="752">
                  <c:v>42417</c:v>
                </c:pt>
                <c:pt idx="753">
                  <c:v>42418</c:v>
                </c:pt>
                <c:pt idx="754">
                  <c:v>42419</c:v>
                </c:pt>
                <c:pt idx="755">
                  <c:v>42422</c:v>
                </c:pt>
                <c:pt idx="756">
                  <c:v>42423</c:v>
                </c:pt>
                <c:pt idx="757">
                  <c:v>42424</c:v>
                </c:pt>
                <c:pt idx="758">
                  <c:v>42425</c:v>
                </c:pt>
                <c:pt idx="759">
                  <c:v>42426</c:v>
                </c:pt>
                <c:pt idx="760">
                  <c:v>42429</c:v>
                </c:pt>
                <c:pt idx="761">
                  <c:v>42430</c:v>
                </c:pt>
                <c:pt idx="762">
                  <c:v>42431</c:v>
                </c:pt>
                <c:pt idx="763">
                  <c:v>42432</c:v>
                </c:pt>
                <c:pt idx="764">
                  <c:v>42433</c:v>
                </c:pt>
                <c:pt idx="765">
                  <c:v>42436</c:v>
                </c:pt>
                <c:pt idx="766">
                  <c:v>42437</c:v>
                </c:pt>
                <c:pt idx="767">
                  <c:v>42438</c:v>
                </c:pt>
                <c:pt idx="768">
                  <c:v>42439</c:v>
                </c:pt>
                <c:pt idx="769">
                  <c:v>42440</c:v>
                </c:pt>
                <c:pt idx="770">
                  <c:v>42443</c:v>
                </c:pt>
                <c:pt idx="771">
                  <c:v>42444</c:v>
                </c:pt>
                <c:pt idx="772">
                  <c:v>42445</c:v>
                </c:pt>
                <c:pt idx="773">
                  <c:v>42446</c:v>
                </c:pt>
                <c:pt idx="774">
                  <c:v>42447</c:v>
                </c:pt>
                <c:pt idx="775">
                  <c:v>42450</c:v>
                </c:pt>
                <c:pt idx="776">
                  <c:v>42451</c:v>
                </c:pt>
                <c:pt idx="777">
                  <c:v>42452</c:v>
                </c:pt>
                <c:pt idx="778">
                  <c:v>42453</c:v>
                </c:pt>
                <c:pt idx="779">
                  <c:v>42457</c:v>
                </c:pt>
                <c:pt idx="780">
                  <c:v>42458</c:v>
                </c:pt>
                <c:pt idx="781">
                  <c:v>42459</c:v>
                </c:pt>
                <c:pt idx="782">
                  <c:v>42460</c:v>
                </c:pt>
                <c:pt idx="783">
                  <c:v>42461</c:v>
                </c:pt>
                <c:pt idx="784">
                  <c:v>42464</c:v>
                </c:pt>
                <c:pt idx="785">
                  <c:v>42465</c:v>
                </c:pt>
                <c:pt idx="786">
                  <c:v>42466</c:v>
                </c:pt>
                <c:pt idx="787">
                  <c:v>42467</c:v>
                </c:pt>
                <c:pt idx="788">
                  <c:v>42468</c:v>
                </c:pt>
                <c:pt idx="789">
                  <c:v>42471</c:v>
                </c:pt>
                <c:pt idx="790">
                  <c:v>42472</c:v>
                </c:pt>
                <c:pt idx="791">
                  <c:v>42473</c:v>
                </c:pt>
                <c:pt idx="792">
                  <c:v>42474</c:v>
                </c:pt>
                <c:pt idx="793">
                  <c:v>42475</c:v>
                </c:pt>
                <c:pt idx="794">
                  <c:v>42478</c:v>
                </c:pt>
                <c:pt idx="795">
                  <c:v>42479</c:v>
                </c:pt>
                <c:pt idx="796">
                  <c:v>42480</c:v>
                </c:pt>
                <c:pt idx="797">
                  <c:v>42481</c:v>
                </c:pt>
                <c:pt idx="798">
                  <c:v>42482</c:v>
                </c:pt>
                <c:pt idx="799">
                  <c:v>42485</c:v>
                </c:pt>
                <c:pt idx="800">
                  <c:v>42486</c:v>
                </c:pt>
                <c:pt idx="801">
                  <c:v>42487</c:v>
                </c:pt>
                <c:pt idx="802">
                  <c:v>42488</c:v>
                </c:pt>
                <c:pt idx="803">
                  <c:v>42489</c:v>
                </c:pt>
                <c:pt idx="804">
                  <c:v>42492</c:v>
                </c:pt>
                <c:pt idx="805">
                  <c:v>42493</c:v>
                </c:pt>
                <c:pt idx="806">
                  <c:v>42494</c:v>
                </c:pt>
                <c:pt idx="807">
                  <c:v>42495</c:v>
                </c:pt>
                <c:pt idx="808">
                  <c:v>42496</c:v>
                </c:pt>
                <c:pt idx="809">
                  <c:v>42499</c:v>
                </c:pt>
                <c:pt idx="810">
                  <c:v>42500</c:v>
                </c:pt>
                <c:pt idx="811">
                  <c:v>42501</c:v>
                </c:pt>
                <c:pt idx="812">
                  <c:v>42502</c:v>
                </c:pt>
                <c:pt idx="813">
                  <c:v>42503</c:v>
                </c:pt>
                <c:pt idx="814">
                  <c:v>42506</c:v>
                </c:pt>
                <c:pt idx="815">
                  <c:v>42507</c:v>
                </c:pt>
                <c:pt idx="816">
                  <c:v>42508</c:v>
                </c:pt>
                <c:pt idx="817">
                  <c:v>42509</c:v>
                </c:pt>
                <c:pt idx="818">
                  <c:v>42510</c:v>
                </c:pt>
                <c:pt idx="819">
                  <c:v>42513</c:v>
                </c:pt>
                <c:pt idx="820">
                  <c:v>42514</c:v>
                </c:pt>
                <c:pt idx="821">
                  <c:v>42515</c:v>
                </c:pt>
                <c:pt idx="822">
                  <c:v>42516</c:v>
                </c:pt>
                <c:pt idx="823">
                  <c:v>42517</c:v>
                </c:pt>
                <c:pt idx="824">
                  <c:v>42521</c:v>
                </c:pt>
                <c:pt idx="825">
                  <c:v>42522</c:v>
                </c:pt>
                <c:pt idx="826">
                  <c:v>42523</c:v>
                </c:pt>
                <c:pt idx="827">
                  <c:v>42524</c:v>
                </c:pt>
                <c:pt idx="828">
                  <c:v>42527</c:v>
                </c:pt>
                <c:pt idx="829">
                  <c:v>42528</c:v>
                </c:pt>
                <c:pt idx="830">
                  <c:v>42529</c:v>
                </c:pt>
                <c:pt idx="831">
                  <c:v>42530</c:v>
                </c:pt>
                <c:pt idx="832">
                  <c:v>42531</c:v>
                </c:pt>
                <c:pt idx="833">
                  <c:v>42534</c:v>
                </c:pt>
                <c:pt idx="834">
                  <c:v>42535</c:v>
                </c:pt>
                <c:pt idx="835">
                  <c:v>42536</c:v>
                </c:pt>
                <c:pt idx="836">
                  <c:v>42537</c:v>
                </c:pt>
                <c:pt idx="837">
                  <c:v>42538</c:v>
                </c:pt>
                <c:pt idx="838">
                  <c:v>42541</c:v>
                </c:pt>
                <c:pt idx="839">
                  <c:v>42542</c:v>
                </c:pt>
                <c:pt idx="840">
                  <c:v>42543</c:v>
                </c:pt>
                <c:pt idx="841">
                  <c:v>42544</c:v>
                </c:pt>
                <c:pt idx="842">
                  <c:v>42545</c:v>
                </c:pt>
                <c:pt idx="843">
                  <c:v>42548</c:v>
                </c:pt>
                <c:pt idx="844">
                  <c:v>42549</c:v>
                </c:pt>
                <c:pt idx="845">
                  <c:v>42550</c:v>
                </c:pt>
                <c:pt idx="846">
                  <c:v>42551</c:v>
                </c:pt>
                <c:pt idx="847">
                  <c:v>42552</c:v>
                </c:pt>
                <c:pt idx="848">
                  <c:v>42556</c:v>
                </c:pt>
                <c:pt idx="849">
                  <c:v>42557</c:v>
                </c:pt>
                <c:pt idx="850">
                  <c:v>42558</c:v>
                </c:pt>
                <c:pt idx="851">
                  <c:v>42559</c:v>
                </c:pt>
                <c:pt idx="852">
                  <c:v>42562</c:v>
                </c:pt>
                <c:pt idx="853">
                  <c:v>42563</c:v>
                </c:pt>
                <c:pt idx="854">
                  <c:v>42564</c:v>
                </c:pt>
                <c:pt idx="855">
                  <c:v>42565</c:v>
                </c:pt>
                <c:pt idx="856">
                  <c:v>42566</c:v>
                </c:pt>
                <c:pt idx="857">
                  <c:v>42569</c:v>
                </c:pt>
                <c:pt idx="858">
                  <c:v>42570</c:v>
                </c:pt>
                <c:pt idx="859">
                  <c:v>42571</c:v>
                </c:pt>
                <c:pt idx="860">
                  <c:v>42572</c:v>
                </c:pt>
                <c:pt idx="861">
                  <c:v>42573</c:v>
                </c:pt>
                <c:pt idx="862">
                  <c:v>42576</c:v>
                </c:pt>
                <c:pt idx="863">
                  <c:v>42577</c:v>
                </c:pt>
                <c:pt idx="864">
                  <c:v>42578</c:v>
                </c:pt>
                <c:pt idx="865">
                  <c:v>42579</c:v>
                </c:pt>
                <c:pt idx="866">
                  <c:v>42580</c:v>
                </c:pt>
                <c:pt idx="867">
                  <c:v>42583</c:v>
                </c:pt>
                <c:pt idx="868">
                  <c:v>42584</c:v>
                </c:pt>
                <c:pt idx="869">
                  <c:v>42585</c:v>
                </c:pt>
                <c:pt idx="870">
                  <c:v>42586</c:v>
                </c:pt>
                <c:pt idx="871">
                  <c:v>42587</c:v>
                </c:pt>
                <c:pt idx="872">
                  <c:v>42590</c:v>
                </c:pt>
                <c:pt idx="873">
                  <c:v>42591</c:v>
                </c:pt>
                <c:pt idx="874">
                  <c:v>42592</c:v>
                </c:pt>
                <c:pt idx="875">
                  <c:v>42593</c:v>
                </c:pt>
                <c:pt idx="876">
                  <c:v>42594</c:v>
                </c:pt>
                <c:pt idx="877">
                  <c:v>42597</c:v>
                </c:pt>
                <c:pt idx="878">
                  <c:v>42598</c:v>
                </c:pt>
                <c:pt idx="879">
                  <c:v>42599</c:v>
                </c:pt>
                <c:pt idx="880">
                  <c:v>42600</c:v>
                </c:pt>
                <c:pt idx="881">
                  <c:v>42601</c:v>
                </c:pt>
                <c:pt idx="882">
                  <c:v>42604</c:v>
                </c:pt>
                <c:pt idx="883">
                  <c:v>42605</c:v>
                </c:pt>
                <c:pt idx="884">
                  <c:v>42606</c:v>
                </c:pt>
                <c:pt idx="885">
                  <c:v>42607</c:v>
                </c:pt>
                <c:pt idx="886">
                  <c:v>42608</c:v>
                </c:pt>
                <c:pt idx="887">
                  <c:v>42611</c:v>
                </c:pt>
                <c:pt idx="888">
                  <c:v>42612</c:v>
                </c:pt>
                <c:pt idx="889">
                  <c:v>42613</c:v>
                </c:pt>
                <c:pt idx="890">
                  <c:v>42614</c:v>
                </c:pt>
                <c:pt idx="891">
                  <c:v>42615</c:v>
                </c:pt>
                <c:pt idx="892">
                  <c:v>42619</c:v>
                </c:pt>
                <c:pt idx="893">
                  <c:v>42620</c:v>
                </c:pt>
                <c:pt idx="894">
                  <c:v>42621</c:v>
                </c:pt>
                <c:pt idx="895">
                  <c:v>42622</c:v>
                </c:pt>
                <c:pt idx="896">
                  <c:v>42625</c:v>
                </c:pt>
                <c:pt idx="897">
                  <c:v>42626</c:v>
                </c:pt>
                <c:pt idx="898">
                  <c:v>42627</c:v>
                </c:pt>
                <c:pt idx="899">
                  <c:v>42628</c:v>
                </c:pt>
                <c:pt idx="900">
                  <c:v>42629</c:v>
                </c:pt>
                <c:pt idx="901">
                  <c:v>42632</c:v>
                </c:pt>
                <c:pt idx="902">
                  <c:v>42633</c:v>
                </c:pt>
                <c:pt idx="903">
                  <c:v>42634</c:v>
                </c:pt>
                <c:pt idx="904">
                  <c:v>42635</c:v>
                </c:pt>
                <c:pt idx="905">
                  <c:v>42636</c:v>
                </c:pt>
                <c:pt idx="906">
                  <c:v>42639</c:v>
                </c:pt>
                <c:pt idx="907">
                  <c:v>42640</c:v>
                </c:pt>
                <c:pt idx="908">
                  <c:v>42641</c:v>
                </c:pt>
                <c:pt idx="909">
                  <c:v>42642</c:v>
                </c:pt>
                <c:pt idx="910">
                  <c:v>42643</c:v>
                </c:pt>
                <c:pt idx="911">
                  <c:v>42646</c:v>
                </c:pt>
                <c:pt idx="912">
                  <c:v>42647</c:v>
                </c:pt>
                <c:pt idx="913">
                  <c:v>42648</c:v>
                </c:pt>
                <c:pt idx="914">
                  <c:v>42649</c:v>
                </c:pt>
                <c:pt idx="915">
                  <c:v>42650</c:v>
                </c:pt>
                <c:pt idx="916">
                  <c:v>42653</c:v>
                </c:pt>
                <c:pt idx="917">
                  <c:v>42654</c:v>
                </c:pt>
                <c:pt idx="918">
                  <c:v>42655</c:v>
                </c:pt>
                <c:pt idx="919">
                  <c:v>42656</c:v>
                </c:pt>
                <c:pt idx="920">
                  <c:v>42657</c:v>
                </c:pt>
                <c:pt idx="921">
                  <c:v>42660</c:v>
                </c:pt>
                <c:pt idx="922">
                  <c:v>42661</c:v>
                </c:pt>
                <c:pt idx="923">
                  <c:v>42662</c:v>
                </c:pt>
                <c:pt idx="924">
                  <c:v>42663</c:v>
                </c:pt>
                <c:pt idx="925">
                  <c:v>42664</c:v>
                </c:pt>
                <c:pt idx="926">
                  <c:v>42667</c:v>
                </c:pt>
                <c:pt idx="927">
                  <c:v>42668</c:v>
                </c:pt>
                <c:pt idx="928">
                  <c:v>42669</c:v>
                </c:pt>
                <c:pt idx="929">
                  <c:v>42670</c:v>
                </c:pt>
                <c:pt idx="930">
                  <c:v>42671</c:v>
                </c:pt>
                <c:pt idx="931">
                  <c:v>42674</c:v>
                </c:pt>
                <c:pt idx="932">
                  <c:v>42675</c:v>
                </c:pt>
                <c:pt idx="933">
                  <c:v>42676</c:v>
                </c:pt>
                <c:pt idx="934">
                  <c:v>42677</c:v>
                </c:pt>
                <c:pt idx="935">
                  <c:v>42678</c:v>
                </c:pt>
                <c:pt idx="936">
                  <c:v>42681</c:v>
                </c:pt>
                <c:pt idx="937">
                  <c:v>42682</c:v>
                </c:pt>
                <c:pt idx="938">
                  <c:v>42683</c:v>
                </c:pt>
                <c:pt idx="939">
                  <c:v>42684</c:v>
                </c:pt>
                <c:pt idx="940">
                  <c:v>42685</c:v>
                </c:pt>
                <c:pt idx="941">
                  <c:v>42688</c:v>
                </c:pt>
                <c:pt idx="942">
                  <c:v>42689</c:v>
                </c:pt>
                <c:pt idx="943">
                  <c:v>42690</c:v>
                </c:pt>
                <c:pt idx="944">
                  <c:v>42691</c:v>
                </c:pt>
                <c:pt idx="945">
                  <c:v>42692</c:v>
                </c:pt>
                <c:pt idx="946">
                  <c:v>42695</c:v>
                </c:pt>
                <c:pt idx="947">
                  <c:v>42696</c:v>
                </c:pt>
                <c:pt idx="948">
                  <c:v>42697</c:v>
                </c:pt>
                <c:pt idx="949">
                  <c:v>42699</c:v>
                </c:pt>
                <c:pt idx="950">
                  <c:v>42702</c:v>
                </c:pt>
                <c:pt idx="951">
                  <c:v>42703</c:v>
                </c:pt>
                <c:pt idx="952">
                  <c:v>42704</c:v>
                </c:pt>
                <c:pt idx="953">
                  <c:v>42705</c:v>
                </c:pt>
                <c:pt idx="954">
                  <c:v>42706</c:v>
                </c:pt>
                <c:pt idx="955">
                  <c:v>42709</c:v>
                </c:pt>
                <c:pt idx="956">
                  <c:v>42710</c:v>
                </c:pt>
                <c:pt idx="957">
                  <c:v>42711</c:v>
                </c:pt>
                <c:pt idx="958">
                  <c:v>42712</c:v>
                </c:pt>
                <c:pt idx="959">
                  <c:v>42713</c:v>
                </c:pt>
                <c:pt idx="960">
                  <c:v>42716</c:v>
                </c:pt>
                <c:pt idx="961">
                  <c:v>42717</c:v>
                </c:pt>
                <c:pt idx="962">
                  <c:v>42718</c:v>
                </c:pt>
                <c:pt idx="963">
                  <c:v>42719</c:v>
                </c:pt>
                <c:pt idx="964">
                  <c:v>42720</c:v>
                </c:pt>
                <c:pt idx="965">
                  <c:v>42723</c:v>
                </c:pt>
                <c:pt idx="966">
                  <c:v>42724</c:v>
                </c:pt>
                <c:pt idx="967">
                  <c:v>42725</c:v>
                </c:pt>
                <c:pt idx="968">
                  <c:v>42726</c:v>
                </c:pt>
                <c:pt idx="969">
                  <c:v>42727</c:v>
                </c:pt>
                <c:pt idx="970">
                  <c:v>42731</c:v>
                </c:pt>
                <c:pt idx="971">
                  <c:v>42732</c:v>
                </c:pt>
                <c:pt idx="972">
                  <c:v>42733</c:v>
                </c:pt>
                <c:pt idx="973">
                  <c:v>42734</c:v>
                </c:pt>
                <c:pt idx="974">
                  <c:v>42738</c:v>
                </c:pt>
                <c:pt idx="975">
                  <c:v>42739</c:v>
                </c:pt>
                <c:pt idx="976">
                  <c:v>42740</c:v>
                </c:pt>
                <c:pt idx="977">
                  <c:v>42741</c:v>
                </c:pt>
                <c:pt idx="978">
                  <c:v>42744</c:v>
                </c:pt>
                <c:pt idx="979">
                  <c:v>42745</c:v>
                </c:pt>
                <c:pt idx="980">
                  <c:v>42746</c:v>
                </c:pt>
                <c:pt idx="981">
                  <c:v>42747</c:v>
                </c:pt>
                <c:pt idx="982">
                  <c:v>42748</c:v>
                </c:pt>
                <c:pt idx="983">
                  <c:v>42752</c:v>
                </c:pt>
                <c:pt idx="984">
                  <c:v>42753</c:v>
                </c:pt>
                <c:pt idx="985">
                  <c:v>42754</c:v>
                </c:pt>
                <c:pt idx="986">
                  <c:v>42755</c:v>
                </c:pt>
                <c:pt idx="987">
                  <c:v>42758</c:v>
                </c:pt>
                <c:pt idx="988">
                  <c:v>42759</c:v>
                </c:pt>
                <c:pt idx="989">
                  <c:v>42760</c:v>
                </c:pt>
                <c:pt idx="990">
                  <c:v>42761</c:v>
                </c:pt>
                <c:pt idx="991">
                  <c:v>42762</c:v>
                </c:pt>
                <c:pt idx="992">
                  <c:v>42765</c:v>
                </c:pt>
                <c:pt idx="993">
                  <c:v>42766</c:v>
                </c:pt>
                <c:pt idx="994">
                  <c:v>42767</c:v>
                </c:pt>
                <c:pt idx="995">
                  <c:v>42768</c:v>
                </c:pt>
                <c:pt idx="996">
                  <c:v>42769</c:v>
                </c:pt>
                <c:pt idx="997">
                  <c:v>42772</c:v>
                </c:pt>
                <c:pt idx="998">
                  <c:v>42773</c:v>
                </c:pt>
                <c:pt idx="999">
                  <c:v>42774</c:v>
                </c:pt>
                <c:pt idx="1000">
                  <c:v>42775</c:v>
                </c:pt>
                <c:pt idx="1001">
                  <c:v>42776</c:v>
                </c:pt>
                <c:pt idx="1002">
                  <c:v>42779</c:v>
                </c:pt>
                <c:pt idx="1003">
                  <c:v>42780</c:v>
                </c:pt>
                <c:pt idx="1004">
                  <c:v>42781</c:v>
                </c:pt>
                <c:pt idx="1005">
                  <c:v>42782</c:v>
                </c:pt>
                <c:pt idx="1006">
                  <c:v>42783</c:v>
                </c:pt>
                <c:pt idx="1007">
                  <c:v>42787</c:v>
                </c:pt>
                <c:pt idx="1008">
                  <c:v>42788</c:v>
                </c:pt>
                <c:pt idx="1009">
                  <c:v>42789</c:v>
                </c:pt>
                <c:pt idx="1010">
                  <c:v>42790</c:v>
                </c:pt>
                <c:pt idx="1011">
                  <c:v>42793</c:v>
                </c:pt>
                <c:pt idx="1012">
                  <c:v>42794</c:v>
                </c:pt>
                <c:pt idx="1013">
                  <c:v>42795</c:v>
                </c:pt>
                <c:pt idx="1014">
                  <c:v>42796</c:v>
                </c:pt>
                <c:pt idx="1015">
                  <c:v>42797</c:v>
                </c:pt>
                <c:pt idx="1016">
                  <c:v>42800</c:v>
                </c:pt>
                <c:pt idx="1017">
                  <c:v>42801</c:v>
                </c:pt>
                <c:pt idx="1018">
                  <c:v>42802</c:v>
                </c:pt>
                <c:pt idx="1019">
                  <c:v>42803</c:v>
                </c:pt>
                <c:pt idx="1020">
                  <c:v>42804</c:v>
                </c:pt>
                <c:pt idx="1021">
                  <c:v>42807</c:v>
                </c:pt>
                <c:pt idx="1022">
                  <c:v>42808</c:v>
                </c:pt>
                <c:pt idx="1023">
                  <c:v>42809</c:v>
                </c:pt>
                <c:pt idx="1024">
                  <c:v>42810</c:v>
                </c:pt>
                <c:pt idx="1025">
                  <c:v>42811</c:v>
                </c:pt>
                <c:pt idx="1026">
                  <c:v>42814</c:v>
                </c:pt>
                <c:pt idx="1027">
                  <c:v>42815</c:v>
                </c:pt>
                <c:pt idx="1028">
                  <c:v>42816</c:v>
                </c:pt>
                <c:pt idx="1029">
                  <c:v>42817</c:v>
                </c:pt>
                <c:pt idx="1030">
                  <c:v>42818</c:v>
                </c:pt>
                <c:pt idx="1031">
                  <c:v>42821</c:v>
                </c:pt>
                <c:pt idx="1032">
                  <c:v>42822</c:v>
                </c:pt>
                <c:pt idx="1033">
                  <c:v>42823</c:v>
                </c:pt>
                <c:pt idx="1034">
                  <c:v>42824</c:v>
                </c:pt>
                <c:pt idx="1035">
                  <c:v>42825</c:v>
                </c:pt>
                <c:pt idx="1036">
                  <c:v>42828</c:v>
                </c:pt>
                <c:pt idx="1037">
                  <c:v>42829</c:v>
                </c:pt>
                <c:pt idx="1038">
                  <c:v>42830</c:v>
                </c:pt>
                <c:pt idx="1039">
                  <c:v>42831</c:v>
                </c:pt>
                <c:pt idx="1040">
                  <c:v>42832</c:v>
                </c:pt>
                <c:pt idx="1041">
                  <c:v>42835</c:v>
                </c:pt>
                <c:pt idx="1042">
                  <c:v>42836</c:v>
                </c:pt>
                <c:pt idx="1043">
                  <c:v>42837</c:v>
                </c:pt>
                <c:pt idx="1044">
                  <c:v>42838</c:v>
                </c:pt>
                <c:pt idx="1045">
                  <c:v>42842</c:v>
                </c:pt>
                <c:pt idx="1046">
                  <c:v>42843</c:v>
                </c:pt>
                <c:pt idx="1047">
                  <c:v>42844</c:v>
                </c:pt>
                <c:pt idx="1048">
                  <c:v>42845</c:v>
                </c:pt>
                <c:pt idx="1049">
                  <c:v>42846</c:v>
                </c:pt>
                <c:pt idx="1050">
                  <c:v>42849</c:v>
                </c:pt>
                <c:pt idx="1051">
                  <c:v>42850</c:v>
                </c:pt>
                <c:pt idx="1052">
                  <c:v>42851</c:v>
                </c:pt>
                <c:pt idx="1053">
                  <c:v>42852</c:v>
                </c:pt>
                <c:pt idx="1054">
                  <c:v>42853</c:v>
                </c:pt>
                <c:pt idx="1055">
                  <c:v>42856</c:v>
                </c:pt>
                <c:pt idx="1056">
                  <c:v>42857</c:v>
                </c:pt>
                <c:pt idx="1057">
                  <c:v>42858</c:v>
                </c:pt>
                <c:pt idx="1058">
                  <c:v>42859</c:v>
                </c:pt>
                <c:pt idx="1059">
                  <c:v>42860</c:v>
                </c:pt>
                <c:pt idx="1060">
                  <c:v>42863</c:v>
                </c:pt>
                <c:pt idx="1061">
                  <c:v>42864</c:v>
                </c:pt>
                <c:pt idx="1062">
                  <c:v>42865</c:v>
                </c:pt>
                <c:pt idx="1063">
                  <c:v>42866</c:v>
                </c:pt>
                <c:pt idx="1064">
                  <c:v>42867</c:v>
                </c:pt>
                <c:pt idx="1065">
                  <c:v>42870</c:v>
                </c:pt>
                <c:pt idx="1066">
                  <c:v>42871</c:v>
                </c:pt>
                <c:pt idx="1067">
                  <c:v>42872</c:v>
                </c:pt>
                <c:pt idx="1068">
                  <c:v>42873</c:v>
                </c:pt>
                <c:pt idx="1069">
                  <c:v>42874</c:v>
                </c:pt>
                <c:pt idx="1070">
                  <c:v>42877</c:v>
                </c:pt>
                <c:pt idx="1071">
                  <c:v>42878</c:v>
                </c:pt>
                <c:pt idx="1072">
                  <c:v>42879</c:v>
                </c:pt>
                <c:pt idx="1073">
                  <c:v>42880</c:v>
                </c:pt>
                <c:pt idx="1074">
                  <c:v>42881</c:v>
                </c:pt>
                <c:pt idx="1075">
                  <c:v>42885</c:v>
                </c:pt>
                <c:pt idx="1076">
                  <c:v>42886</c:v>
                </c:pt>
                <c:pt idx="1077">
                  <c:v>42887</c:v>
                </c:pt>
                <c:pt idx="1078">
                  <c:v>42888</c:v>
                </c:pt>
                <c:pt idx="1079">
                  <c:v>42891</c:v>
                </c:pt>
                <c:pt idx="1080">
                  <c:v>42892</c:v>
                </c:pt>
                <c:pt idx="1081">
                  <c:v>42893</c:v>
                </c:pt>
                <c:pt idx="1082">
                  <c:v>42894</c:v>
                </c:pt>
                <c:pt idx="1083">
                  <c:v>42895</c:v>
                </c:pt>
                <c:pt idx="1084">
                  <c:v>42898</c:v>
                </c:pt>
                <c:pt idx="1085">
                  <c:v>42899</c:v>
                </c:pt>
                <c:pt idx="1086">
                  <c:v>42900</c:v>
                </c:pt>
                <c:pt idx="1087">
                  <c:v>42901</c:v>
                </c:pt>
                <c:pt idx="1088">
                  <c:v>42902</c:v>
                </c:pt>
                <c:pt idx="1089">
                  <c:v>42905</c:v>
                </c:pt>
                <c:pt idx="1090">
                  <c:v>42906</c:v>
                </c:pt>
                <c:pt idx="1091">
                  <c:v>42907</c:v>
                </c:pt>
                <c:pt idx="1092">
                  <c:v>42908</c:v>
                </c:pt>
                <c:pt idx="1093">
                  <c:v>42909</c:v>
                </c:pt>
                <c:pt idx="1094">
                  <c:v>42912</c:v>
                </c:pt>
                <c:pt idx="1095">
                  <c:v>42913</c:v>
                </c:pt>
                <c:pt idx="1096">
                  <c:v>42914</c:v>
                </c:pt>
                <c:pt idx="1097">
                  <c:v>42915</c:v>
                </c:pt>
                <c:pt idx="1098">
                  <c:v>42916</c:v>
                </c:pt>
                <c:pt idx="1099">
                  <c:v>42919</c:v>
                </c:pt>
                <c:pt idx="1100">
                  <c:v>42921</c:v>
                </c:pt>
                <c:pt idx="1101">
                  <c:v>42922</c:v>
                </c:pt>
                <c:pt idx="1102">
                  <c:v>42923</c:v>
                </c:pt>
                <c:pt idx="1103">
                  <c:v>42926</c:v>
                </c:pt>
                <c:pt idx="1104">
                  <c:v>42927</c:v>
                </c:pt>
                <c:pt idx="1105">
                  <c:v>42928</c:v>
                </c:pt>
                <c:pt idx="1106">
                  <c:v>42929</c:v>
                </c:pt>
                <c:pt idx="1107">
                  <c:v>42930</c:v>
                </c:pt>
                <c:pt idx="1108">
                  <c:v>42933</c:v>
                </c:pt>
                <c:pt idx="1109">
                  <c:v>42934</c:v>
                </c:pt>
                <c:pt idx="1110">
                  <c:v>42935</c:v>
                </c:pt>
                <c:pt idx="1111">
                  <c:v>42936</c:v>
                </c:pt>
                <c:pt idx="1112">
                  <c:v>42937</c:v>
                </c:pt>
                <c:pt idx="1113">
                  <c:v>42940</c:v>
                </c:pt>
                <c:pt idx="1114">
                  <c:v>42941</c:v>
                </c:pt>
                <c:pt idx="1115">
                  <c:v>42942</c:v>
                </c:pt>
                <c:pt idx="1116">
                  <c:v>42943</c:v>
                </c:pt>
                <c:pt idx="1117">
                  <c:v>42944</c:v>
                </c:pt>
                <c:pt idx="1118">
                  <c:v>42947</c:v>
                </c:pt>
                <c:pt idx="1119">
                  <c:v>42948</c:v>
                </c:pt>
                <c:pt idx="1120">
                  <c:v>42949</c:v>
                </c:pt>
                <c:pt idx="1121">
                  <c:v>42950</c:v>
                </c:pt>
                <c:pt idx="1122">
                  <c:v>42951</c:v>
                </c:pt>
                <c:pt idx="1123">
                  <c:v>42954</c:v>
                </c:pt>
                <c:pt idx="1124">
                  <c:v>42955</c:v>
                </c:pt>
                <c:pt idx="1125">
                  <c:v>42956</c:v>
                </c:pt>
                <c:pt idx="1126">
                  <c:v>42957</c:v>
                </c:pt>
                <c:pt idx="1127">
                  <c:v>42958</c:v>
                </c:pt>
                <c:pt idx="1128">
                  <c:v>42961</c:v>
                </c:pt>
                <c:pt idx="1129">
                  <c:v>42962</c:v>
                </c:pt>
                <c:pt idx="1130">
                  <c:v>42963</c:v>
                </c:pt>
                <c:pt idx="1131">
                  <c:v>42964</c:v>
                </c:pt>
                <c:pt idx="1132">
                  <c:v>42965</c:v>
                </c:pt>
                <c:pt idx="1133">
                  <c:v>42968</c:v>
                </c:pt>
                <c:pt idx="1134">
                  <c:v>42969</c:v>
                </c:pt>
                <c:pt idx="1135">
                  <c:v>42970</c:v>
                </c:pt>
                <c:pt idx="1136">
                  <c:v>42971</c:v>
                </c:pt>
                <c:pt idx="1137">
                  <c:v>42972</c:v>
                </c:pt>
                <c:pt idx="1138">
                  <c:v>42975</c:v>
                </c:pt>
                <c:pt idx="1139">
                  <c:v>42976</c:v>
                </c:pt>
                <c:pt idx="1140">
                  <c:v>42977</c:v>
                </c:pt>
                <c:pt idx="1141">
                  <c:v>42978</c:v>
                </c:pt>
                <c:pt idx="1142">
                  <c:v>42979</c:v>
                </c:pt>
                <c:pt idx="1143">
                  <c:v>42983</c:v>
                </c:pt>
                <c:pt idx="1144">
                  <c:v>42984</c:v>
                </c:pt>
                <c:pt idx="1145">
                  <c:v>42985</c:v>
                </c:pt>
                <c:pt idx="1146">
                  <c:v>42986</c:v>
                </c:pt>
                <c:pt idx="1147">
                  <c:v>42989</c:v>
                </c:pt>
                <c:pt idx="1148">
                  <c:v>42990</c:v>
                </c:pt>
                <c:pt idx="1149">
                  <c:v>42991</c:v>
                </c:pt>
                <c:pt idx="1150">
                  <c:v>42992</c:v>
                </c:pt>
                <c:pt idx="1151">
                  <c:v>42993</c:v>
                </c:pt>
                <c:pt idx="1152">
                  <c:v>42996</c:v>
                </c:pt>
                <c:pt idx="1153">
                  <c:v>42997</c:v>
                </c:pt>
                <c:pt idx="1154">
                  <c:v>42998</c:v>
                </c:pt>
                <c:pt idx="1155">
                  <c:v>42999</c:v>
                </c:pt>
                <c:pt idx="1156">
                  <c:v>43000</c:v>
                </c:pt>
                <c:pt idx="1157">
                  <c:v>43003</c:v>
                </c:pt>
                <c:pt idx="1158">
                  <c:v>43004</c:v>
                </c:pt>
                <c:pt idx="1159">
                  <c:v>43005</c:v>
                </c:pt>
                <c:pt idx="1160">
                  <c:v>43006</c:v>
                </c:pt>
                <c:pt idx="1161">
                  <c:v>43007</c:v>
                </c:pt>
                <c:pt idx="1162">
                  <c:v>43010</c:v>
                </c:pt>
                <c:pt idx="1163">
                  <c:v>43011</c:v>
                </c:pt>
                <c:pt idx="1164">
                  <c:v>43012</c:v>
                </c:pt>
                <c:pt idx="1165">
                  <c:v>43013</c:v>
                </c:pt>
                <c:pt idx="1166">
                  <c:v>43014</c:v>
                </c:pt>
                <c:pt idx="1167">
                  <c:v>43017</c:v>
                </c:pt>
                <c:pt idx="1168">
                  <c:v>43018</c:v>
                </c:pt>
                <c:pt idx="1169">
                  <c:v>43019</c:v>
                </c:pt>
                <c:pt idx="1170">
                  <c:v>43020</c:v>
                </c:pt>
                <c:pt idx="1171">
                  <c:v>43021</c:v>
                </c:pt>
                <c:pt idx="1172">
                  <c:v>43024</c:v>
                </c:pt>
                <c:pt idx="1173">
                  <c:v>43025</c:v>
                </c:pt>
                <c:pt idx="1174">
                  <c:v>43026</c:v>
                </c:pt>
                <c:pt idx="1175">
                  <c:v>43027</c:v>
                </c:pt>
                <c:pt idx="1176">
                  <c:v>43028</c:v>
                </c:pt>
                <c:pt idx="1177">
                  <c:v>43031</c:v>
                </c:pt>
                <c:pt idx="1178">
                  <c:v>43032</c:v>
                </c:pt>
                <c:pt idx="1179">
                  <c:v>43033</c:v>
                </c:pt>
                <c:pt idx="1180">
                  <c:v>43034</c:v>
                </c:pt>
                <c:pt idx="1181">
                  <c:v>43035</c:v>
                </c:pt>
                <c:pt idx="1182">
                  <c:v>43038</c:v>
                </c:pt>
                <c:pt idx="1183">
                  <c:v>43039</c:v>
                </c:pt>
                <c:pt idx="1184">
                  <c:v>43040</c:v>
                </c:pt>
                <c:pt idx="1185">
                  <c:v>43041</c:v>
                </c:pt>
                <c:pt idx="1186">
                  <c:v>43042</c:v>
                </c:pt>
                <c:pt idx="1187">
                  <c:v>43045</c:v>
                </c:pt>
                <c:pt idx="1188">
                  <c:v>43046</c:v>
                </c:pt>
                <c:pt idx="1189">
                  <c:v>43047</c:v>
                </c:pt>
                <c:pt idx="1190">
                  <c:v>43048</c:v>
                </c:pt>
                <c:pt idx="1191">
                  <c:v>43049</c:v>
                </c:pt>
                <c:pt idx="1192">
                  <c:v>43052</c:v>
                </c:pt>
                <c:pt idx="1193">
                  <c:v>43053</c:v>
                </c:pt>
                <c:pt idx="1194">
                  <c:v>43054</c:v>
                </c:pt>
                <c:pt idx="1195">
                  <c:v>43055</c:v>
                </c:pt>
                <c:pt idx="1196">
                  <c:v>43056</c:v>
                </c:pt>
                <c:pt idx="1197">
                  <c:v>43059</c:v>
                </c:pt>
                <c:pt idx="1198">
                  <c:v>43060</c:v>
                </c:pt>
                <c:pt idx="1199">
                  <c:v>43061</c:v>
                </c:pt>
                <c:pt idx="1200">
                  <c:v>43063</c:v>
                </c:pt>
                <c:pt idx="1201">
                  <c:v>43066</c:v>
                </c:pt>
                <c:pt idx="1202">
                  <c:v>43067</c:v>
                </c:pt>
                <c:pt idx="1203">
                  <c:v>43068</c:v>
                </c:pt>
                <c:pt idx="1204">
                  <c:v>43069</c:v>
                </c:pt>
                <c:pt idx="1205">
                  <c:v>43070</c:v>
                </c:pt>
                <c:pt idx="1206">
                  <c:v>43073</c:v>
                </c:pt>
                <c:pt idx="1207">
                  <c:v>43074</c:v>
                </c:pt>
                <c:pt idx="1208">
                  <c:v>43075</c:v>
                </c:pt>
                <c:pt idx="1209">
                  <c:v>43076</c:v>
                </c:pt>
                <c:pt idx="1210">
                  <c:v>43077</c:v>
                </c:pt>
                <c:pt idx="1211">
                  <c:v>43080</c:v>
                </c:pt>
                <c:pt idx="1212">
                  <c:v>43081</c:v>
                </c:pt>
                <c:pt idx="1213">
                  <c:v>43082</c:v>
                </c:pt>
                <c:pt idx="1214">
                  <c:v>43083</c:v>
                </c:pt>
                <c:pt idx="1215">
                  <c:v>43084</c:v>
                </c:pt>
                <c:pt idx="1216">
                  <c:v>43087</c:v>
                </c:pt>
                <c:pt idx="1217">
                  <c:v>43088</c:v>
                </c:pt>
                <c:pt idx="1218">
                  <c:v>43089</c:v>
                </c:pt>
                <c:pt idx="1219">
                  <c:v>43090</c:v>
                </c:pt>
              </c:numCache>
            </c:numRef>
          </c:xVal>
          <c:yVal>
            <c:numRef>
              <c:f>[0]!var_graph</c:f>
              <c:numCache>
                <c:formatCode>0.00%</c:formatCode>
                <c:ptCount val="1220"/>
                <c:pt idx="0">
                  <c:v>-5.6310082153139124E-2</c:v>
                </c:pt>
                <c:pt idx="1">
                  <c:v>-5.3747831284190854E-2</c:v>
                </c:pt>
                <c:pt idx="2">
                  <c:v>-5.6885406862040501E-2</c:v>
                </c:pt>
                <c:pt idx="3">
                  <c:v>-8.6628453662665819E-2</c:v>
                </c:pt>
                <c:pt idx="4">
                  <c:v>-7.7236009010940673E-2</c:v>
                </c:pt>
                <c:pt idx="5">
                  <c:v>-8.1965296907281424E-2</c:v>
                </c:pt>
                <c:pt idx="6">
                  <c:v>-6.9631220547617639E-2</c:v>
                </c:pt>
                <c:pt idx="7">
                  <c:v>-5.9770959646201896E-2</c:v>
                </c:pt>
                <c:pt idx="8">
                  <c:v>-5.3785781094843235E-2</c:v>
                </c:pt>
                <c:pt idx="9">
                  <c:v>-5.8791195508724019E-2</c:v>
                </c:pt>
                <c:pt idx="10">
                  <c:v>-5.0064107740329038E-2</c:v>
                </c:pt>
                <c:pt idx="11">
                  <c:v>-4.3064237076607371E-2</c:v>
                </c:pt>
                <c:pt idx="12">
                  <c:v>-4.0474561420275529E-2</c:v>
                </c:pt>
                <c:pt idx="13">
                  <c:v>-3.6591603206179206E-2</c:v>
                </c:pt>
                <c:pt idx="14">
                  <c:v>-3.2431024320279868E-2</c:v>
                </c:pt>
                <c:pt idx="15">
                  <c:v>-2.7989404108503084E-2</c:v>
                </c:pt>
                <c:pt idx="16">
                  <c:v>-3.2204289297296324E-2</c:v>
                </c:pt>
                <c:pt idx="17">
                  <c:v>-2.8044267057646916E-2</c:v>
                </c:pt>
                <c:pt idx="18">
                  <c:v>-3.2076873094052424E-2</c:v>
                </c:pt>
                <c:pt idx="19">
                  <c:v>-2.8809234700522327E-2</c:v>
                </c:pt>
                <c:pt idx="20">
                  <c:v>-3.5676013174046395E-2</c:v>
                </c:pt>
                <c:pt idx="21">
                  <c:v>-4.4323499929748982E-2</c:v>
                </c:pt>
                <c:pt idx="22">
                  <c:v>-4.6785396066146775E-2</c:v>
                </c:pt>
                <c:pt idx="23">
                  <c:v>-4.1780417880846389E-2</c:v>
                </c:pt>
                <c:pt idx="24">
                  <c:v>-4.6563354440621992E-2</c:v>
                </c:pt>
                <c:pt idx="25">
                  <c:v>-3.9576679914580914E-2</c:v>
                </c:pt>
                <c:pt idx="26">
                  <c:v>-3.7095946255379396E-2</c:v>
                </c:pt>
                <c:pt idx="27">
                  <c:v>-3.5991981864032394E-2</c:v>
                </c:pt>
                <c:pt idx="28">
                  <c:v>-3.6551381650358213E-2</c:v>
                </c:pt>
                <c:pt idx="29">
                  <c:v>-5.162589711763256E-2</c:v>
                </c:pt>
                <c:pt idx="30">
                  <c:v>-4.6543831748926963E-2</c:v>
                </c:pt>
                <c:pt idx="31">
                  <c:v>-4.2900832085547048E-2</c:v>
                </c:pt>
                <c:pt idx="32">
                  <c:v>-4.3855808580666247E-2</c:v>
                </c:pt>
                <c:pt idx="33">
                  <c:v>-3.9679802073578324E-2</c:v>
                </c:pt>
                <c:pt idx="34">
                  <c:v>-5.7947325457311738E-2</c:v>
                </c:pt>
                <c:pt idx="35">
                  <c:v>-5.107070923632611E-2</c:v>
                </c:pt>
                <c:pt idx="36">
                  <c:v>-4.4723658962273045E-2</c:v>
                </c:pt>
                <c:pt idx="37">
                  <c:v>-9.8082995783773053E-2</c:v>
                </c:pt>
                <c:pt idx="38">
                  <c:v>-9.992308934095423E-2</c:v>
                </c:pt>
                <c:pt idx="39">
                  <c:v>-0.10170938405862377</c:v>
                </c:pt>
                <c:pt idx="40">
                  <c:v>-9.0184691610188633E-2</c:v>
                </c:pt>
                <c:pt idx="41">
                  <c:v>-8.3856014301529419E-2</c:v>
                </c:pt>
                <c:pt idx="42">
                  <c:v>-7.3421272395364542E-2</c:v>
                </c:pt>
                <c:pt idx="43">
                  <c:v>-7.4225053035694752E-2</c:v>
                </c:pt>
                <c:pt idx="44">
                  <c:v>-6.298205083852533E-2</c:v>
                </c:pt>
                <c:pt idx="45">
                  <c:v>-5.5693283867992507E-2</c:v>
                </c:pt>
                <c:pt idx="46">
                  <c:v>-4.7799267320632673E-2</c:v>
                </c:pt>
                <c:pt idx="47">
                  <c:v>-4.9213270877571845E-2</c:v>
                </c:pt>
                <c:pt idx="48">
                  <c:v>-4.2861832395346508E-2</c:v>
                </c:pt>
                <c:pt idx="49">
                  <c:v>-5.1457705679390411E-2</c:v>
                </c:pt>
                <c:pt idx="50">
                  <c:v>-5.6878781147785711E-2</c:v>
                </c:pt>
                <c:pt idx="51">
                  <c:v>-6.3194112880153461E-2</c:v>
                </c:pt>
                <c:pt idx="52">
                  <c:v>-5.4132839131122559E-2</c:v>
                </c:pt>
                <c:pt idx="53">
                  <c:v>-5.0221848498213671E-2</c:v>
                </c:pt>
                <c:pt idx="54">
                  <c:v>-4.5547166127679083E-2</c:v>
                </c:pt>
                <c:pt idx="55">
                  <c:v>-4.1236381923646058E-2</c:v>
                </c:pt>
                <c:pt idx="56">
                  <c:v>-3.880865534650995E-2</c:v>
                </c:pt>
                <c:pt idx="57">
                  <c:v>-3.2930659259198615E-2</c:v>
                </c:pt>
                <c:pt idx="58">
                  <c:v>-4.8206262616798654E-2</c:v>
                </c:pt>
                <c:pt idx="59">
                  <c:v>-4.5469500602674705E-2</c:v>
                </c:pt>
                <c:pt idx="60">
                  <c:v>-4.3252820668060646E-2</c:v>
                </c:pt>
                <c:pt idx="61">
                  <c:v>-5.4205358356244508E-2</c:v>
                </c:pt>
                <c:pt idx="62">
                  <c:v>-4.6077239683785624E-2</c:v>
                </c:pt>
                <c:pt idx="63">
                  <c:v>-3.9667585701627879E-2</c:v>
                </c:pt>
                <c:pt idx="64">
                  <c:v>-4.6678427290275756E-2</c:v>
                </c:pt>
                <c:pt idx="65">
                  <c:v>-4.1215442546462526E-2</c:v>
                </c:pt>
                <c:pt idx="66">
                  <c:v>-3.5038298323252788E-2</c:v>
                </c:pt>
                <c:pt idx="67">
                  <c:v>-3.8592420636279899E-2</c:v>
                </c:pt>
                <c:pt idx="68">
                  <c:v>-4.2783358054516413E-2</c:v>
                </c:pt>
                <c:pt idx="69">
                  <c:v>-3.900370807894158E-2</c:v>
                </c:pt>
                <c:pt idx="70">
                  <c:v>-6.5131675067595124E-2</c:v>
                </c:pt>
                <c:pt idx="71">
                  <c:v>-5.9875923319579735E-2</c:v>
                </c:pt>
                <c:pt idx="72">
                  <c:v>-5.5172732753838251E-2</c:v>
                </c:pt>
                <c:pt idx="73">
                  <c:v>-7.1478550043472991E-2</c:v>
                </c:pt>
                <c:pt idx="74">
                  <c:v>-6.9005338619198858E-2</c:v>
                </c:pt>
                <c:pt idx="75">
                  <c:v>-7.6757907844843626E-2</c:v>
                </c:pt>
                <c:pt idx="76">
                  <c:v>-6.514523991378933E-2</c:v>
                </c:pt>
                <c:pt idx="77">
                  <c:v>-6.8071926757671694E-2</c:v>
                </c:pt>
                <c:pt idx="78">
                  <c:v>-6.6383434122304588E-2</c:v>
                </c:pt>
                <c:pt idx="79">
                  <c:v>-8.0228997556782075E-2</c:v>
                </c:pt>
                <c:pt idx="80">
                  <c:v>-7.1849385757247697E-2</c:v>
                </c:pt>
                <c:pt idx="81">
                  <c:v>-6.7661757131656911E-2</c:v>
                </c:pt>
                <c:pt idx="82">
                  <c:v>-6.4876528229346087E-2</c:v>
                </c:pt>
                <c:pt idx="83">
                  <c:v>-7.7321451440208966E-2</c:v>
                </c:pt>
                <c:pt idx="84">
                  <c:v>-0.11843091967487078</c:v>
                </c:pt>
                <c:pt idx="85">
                  <c:v>-0.10102651267814176</c:v>
                </c:pt>
                <c:pt idx="86">
                  <c:v>-9.8036531655371323E-2</c:v>
                </c:pt>
                <c:pt idx="87">
                  <c:v>-9.0961353510096682E-2</c:v>
                </c:pt>
                <c:pt idx="88">
                  <c:v>-8.5660776176420483E-2</c:v>
                </c:pt>
                <c:pt idx="89">
                  <c:v>-7.6564116100294899E-2</c:v>
                </c:pt>
                <c:pt idx="90">
                  <c:v>-6.7087352028491351E-2</c:v>
                </c:pt>
                <c:pt idx="91">
                  <c:v>-6.0668095675174505E-2</c:v>
                </c:pt>
                <c:pt idx="92">
                  <c:v>-5.1522293111797977E-2</c:v>
                </c:pt>
                <c:pt idx="93">
                  <c:v>-4.38355455050842E-2</c:v>
                </c:pt>
                <c:pt idx="94">
                  <c:v>-5.4264768482437838E-2</c:v>
                </c:pt>
                <c:pt idx="95">
                  <c:v>-5.0357558918402129E-2</c:v>
                </c:pt>
                <c:pt idx="96">
                  <c:v>-5.1109517822645764E-2</c:v>
                </c:pt>
                <c:pt idx="97">
                  <c:v>-4.3373623633983338E-2</c:v>
                </c:pt>
                <c:pt idx="98">
                  <c:v>-6.4040413500786528E-2</c:v>
                </c:pt>
                <c:pt idx="99">
                  <c:v>-5.5648517447215481E-2</c:v>
                </c:pt>
                <c:pt idx="100">
                  <c:v>-4.7521261191203083E-2</c:v>
                </c:pt>
                <c:pt idx="101">
                  <c:v>-4.2838797114090776E-2</c:v>
                </c:pt>
                <c:pt idx="102">
                  <c:v>-3.7915750616315698E-2</c:v>
                </c:pt>
                <c:pt idx="103">
                  <c:v>-3.7643011461557838E-2</c:v>
                </c:pt>
                <c:pt idx="104">
                  <c:v>-3.2549278596373993E-2</c:v>
                </c:pt>
                <c:pt idx="105">
                  <c:v>-2.8728251835707718E-2</c:v>
                </c:pt>
                <c:pt idx="106">
                  <c:v>-2.542227751290746E-2</c:v>
                </c:pt>
                <c:pt idx="107">
                  <c:v>-2.6196950278957128E-2</c:v>
                </c:pt>
                <c:pt idx="108">
                  <c:v>-2.4349627453297721E-2</c:v>
                </c:pt>
                <c:pt idx="109">
                  <c:v>-2.0911211716538591E-2</c:v>
                </c:pt>
                <c:pt idx="110">
                  <c:v>-2.2959597302338625E-2</c:v>
                </c:pt>
                <c:pt idx="111">
                  <c:v>-1.9536114163898336E-2</c:v>
                </c:pt>
                <c:pt idx="112">
                  <c:v>-1.6585446308200486E-2</c:v>
                </c:pt>
                <c:pt idx="113">
                  <c:v>-5.0513441424949117E-2</c:v>
                </c:pt>
                <c:pt idx="114">
                  <c:v>-4.3334396298874006E-2</c:v>
                </c:pt>
                <c:pt idx="115">
                  <c:v>-3.7219616958511635E-2</c:v>
                </c:pt>
                <c:pt idx="116">
                  <c:v>-3.8685776149193898E-2</c:v>
                </c:pt>
                <c:pt idx="117">
                  <c:v>-3.602599378023541E-2</c:v>
                </c:pt>
                <c:pt idx="118">
                  <c:v>-3.4093217731478498E-2</c:v>
                </c:pt>
                <c:pt idx="119">
                  <c:v>-3.2104593859927949E-2</c:v>
                </c:pt>
                <c:pt idx="120">
                  <c:v>-2.7609291429720198E-2</c:v>
                </c:pt>
                <c:pt idx="121">
                  <c:v>-2.579325316897086E-2</c:v>
                </c:pt>
                <c:pt idx="122">
                  <c:v>-2.9785751511469328E-2</c:v>
                </c:pt>
                <c:pt idx="123">
                  <c:v>-6.1434797981055243E-2</c:v>
                </c:pt>
                <c:pt idx="124">
                  <c:v>-5.3698013539814668E-2</c:v>
                </c:pt>
                <c:pt idx="125">
                  <c:v>-5.1056569782497147E-2</c:v>
                </c:pt>
                <c:pt idx="126">
                  <c:v>-4.5796241568988899E-2</c:v>
                </c:pt>
                <c:pt idx="127">
                  <c:v>-4.4935199463020478E-2</c:v>
                </c:pt>
                <c:pt idx="128">
                  <c:v>-5.0694878126969239E-2</c:v>
                </c:pt>
                <c:pt idx="129">
                  <c:v>-4.5667517993257856E-2</c:v>
                </c:pt>
                <c:pt idx="130">
                  <c:v>-4.1831363058204764E-2</c:v>
                </c:pt>
                <c:pt idx="131">
                  <c:v>-7.1693052041971683E-2</c:v>
                </c:pt>
                <c:pt idx="132">
                  <c:v>-6.1764153416056976E-2</c:v>
                </c:pt>
                <c:pt idx="133">
                  <c:v>-5.2961914120554572E-2</c:v>
                </c:pt>
                <c:pt idx="134">
                  <c:v>-4.661276231352797E-2</c:v>
                </c:pt>
                <c:pt idx="135">
                  <c:v>-4.2732413910854528E-2</c:v>
                </c:pt>
                <c:pt idx="136">
                  <c:v>-4.8011384405596894E-2</c:v>
                </c:pt>
                <c:pt idx="137">
                  <c:v>-4.1010012198603542E-2</c:v>
                </c:pt>
                <c:pt idx="138">
                  <c:v>-3.4798794310810024E-2</c:v>
                </c:pt>
                <c:pt idx="139">
                  <c:v>-4.8683450064562775E-2</c:v>
                </c:pt>
                <c:pt idx="140">
                  <c:v>-5.0181388300334299E-2</c:v>
                </c:pt>
                <c:pt idx="141">
                  <c:v>-4.4202134793565585E-2</c:v>
                </c:pt>
                <c:pt idx="142">
                  <c:v>-3.975555069717774E-2</c:v>
                </c:pt>
                <c:pt idx="143">
                  <c:v>-3.5345896434976654E-2</c:v>
                </c:pt>
                <c:pt idx="144">
                  <c:v>-3.7254348702814674E-2</c:v>
                </c:pt>
                <c:pt idx="145">
                  <c:v>-3.5604953831672038E-2</c:v>
                </c:pt>
                <c:pt idx="146">
                  <c:v>-5.5971958982152098E-2</c:v>
                </c:pt>
                <c:pt idx="147">
                  <c:v>-4.8033553253214616E-2</c:v>
                </c:pt>
                <c:pt idx="148">
                  <c:v>-4.9559763396298882E-2</c:v>
                </c:pt>
                <c:pt idx="149">
                  <c:v>-4.5908328696454649E-2</c:v>
                </c:pt>
                <c:pt idx="150">
                  <c:v>-4.0248368708703415E-2</c:v>
                </c:pt>
                <c:pt idx="151">
                  <c:v>-3.5782444786262302E-2</c:v>
                </c:pt>
                <c:pt idx="152">
                  <c:v>-3.3246378620616107E-2</c:v>
                </c:pt>
                <c:pt idx="153">
                  <c:v>-3.2378109923252289E-2</c:v>
                </c:pt>
                <c:pt idx="154">
                  <c:v>-3.6180009475287371E-2</c:v>
                </c:pt>
                <c:pt idx="155">
                  <c:v>-4.3637547610311148E-2</c:v>
                </c:pt>
                <c:pt idx="156">
                  <c:v>-3.7118579693601508E-2</c:v>
                </c:pt>
                <c:pt idx="157">
                  <c:v>-4.7168627825362644E-2</c:v>
                </c:pt>
                <c:pt idx="158">
                  <c:v>-4.8481713334365045E-2</c:v>
                </c:pt>
                <c:pt idx="159">
                  <c:v>-5.2898100924438134E-2</c:v>
                </c:pt>
                <c:pt idx="160">
                  <c:v>-6.5939154061112656E-2</c:v>
                </c:pt>
                <c:pt idx="161">
                  <c:v>-5.599578576385926E-2</c:v>
                </c:pt>
                <c:pt idx="162">
                  <c:v>-9.6564181410290176E-2</c:v>
                </c:pt>
                <c:pt idx="163">
                  <c:v>-8.5491608694876223E-2</c:v>
                </c:pt>
                <c:pt idx="164">
                  <c:v>-7.4249048060089071E-2</c:v>
                </c:pt>
                <c:pt idx="165">
                  <c:v>-6.8780600281647328E-2</c:v>
                </c:pt>
                <c:pt idx="166">
                  <c:v>-7.914490106385319E-2</c:v>
                </c:pt>
                <c:pt idx="167">
                  <c:v>-7.2073474476093524E-2</c:v>
                </c:pt>
                <c:pt idx="168">
                  <c:v>-6.6224911803738212E-2</c:v>
                </c:pt>
                <c:pt idx="169">
                  <c:v>-5.6194835625445194E-2</c:v>
                </c:pt>
                <c:pt idx="170">
                  <c:v>-5.2627410140855091E-2</c:v>
                </c:pt>
                <c:pt idx="171">
                  <c:v>-4.8311411526564402E-2</c:v>
                </c:pt>
                <c:pt idx="172">
                  <c:v>-4.2904674009873904E-2</c:v>
                </c:pt>
                <c:pt idx="173">
                  <c:v>-4.0209248359473121E-2</c:v>
                </c:pt>
                <c:pt idx="174">
                  <c:v>-3.4508567193527476E-2</c:v>
                </c:pt>
                <c:pt idx="175">
                  <c:v>-3.6432258670829262E-2</c:v>
                </c:pt>
                <c:pt idx="176">
                  <c:v>-3.6300020631119381E-2</c:v>
                </c:pt>
                <c:pt idx="177">
                  <c:v>-3.4248665820445903E-2</c:v>
                </c:pt>
                <c:pt idx="178">
                  <c:v>-3.1175462706528961E-2</c:v>
                </c:pt>
                <c:pt idx="179">
                  <c:v>-2.987097389363793E-2</c:v>
                </c:pt>
                <c:pt idx="180">
                  <c:v>-2.7605255201308885E-2</c:v>
                </c:pt>
                <c:pt idx="181">
                  <c:v>-2.8691748445314295E-2</c:v>
                </c:pt>
                <c:pt idx="182">
                  <c:v>-5.7107622404708319E-2</c:v>
                </c:pt>
                <c:pt idx="183">
                  <c:v>-7.1021216975288293E-2</c:v>
                </c:pt>
                <c:pt idx="184">
                  <c:v>-6.0329125637967489E-2</c:v>
                </c:pt>
                <c:pt idx="185">
                  <c:v>-5.2017876414342107E-2</c:v>
                </c:pt>
                <c:pt idx="186">
                  <c:v>-5.4159990801978732E-2</c:v>
                </c:pt>
                <c:pt idx="187">
                  <c:v>-4.9647205163706201E-2</c:v>
                </c:pt>
                <c:pt idx="188">
                  <c:v>-4.5206953925334067E-2</c:v>
                </c:pt>
                <c:pt idx="189">
                  <c:v>-4.0981180601103957E-2</c:v>
                </c:pt>
                <c:pt idx="190">
                  <c:v>-3.5673296390057049E-2</c:v>
                </c:pt>
                <c:pt idx="191">
                  <c:v>-3.3425775957724349E-2</c:v>
                </c:pt>
                <c:pt idx="192">
                  <c:v>-4.2398087276214483E-2</c:v>
                </c:pt>
                <c:pt idx="193">
                  <c:v>-4.0809837246582693E-2</c:v>
                </c:pt>
                <c:pt idx="194">
                  <c:v>-3.4976200620967658E-2</c:v>
                </c:pt>
                <c:pt idx="195">
                  <c:v>-2.9684018096279699E-2</c:v>
                </c:pt>
                <c:pt idx="196">
                  <c:v>-2.6977224017110245E-2</c:v>
                </c:pt>
                <c:pt idx="197">
                  <c:v>-2.3094511162629887E-2</c:v>
                </c:pt>
                <c:pt idx="198">
                  <c:v>-2.2278947687508568E-2</c:v>
                </c:pt>
                <c:pt idx="199">
                  <c:v>-2.263503385243068E-2</c:v>
                </c:pt>
                <c:pt idx="200">
                  <c:v>-1.9866270516697981E-2</c:v>
                </c:pt>
                <c:pt idx="201">
                  <c:v>-2.3890797121692859E-2</c:v>
                </c:pt>
                <c:pt idx="202">
                  <c:v>-4.7993486544336023E-2</c:v>
                </c:pt>
                <c:pt idx="203">
                  <c:v>-4.1332469443669424E-2</c:v>
                </c:pt>
                <c:pt idx="204">
                  <c:v>-3.7198394555626388E-2</c:v>
                </c:pt>
                <c:pt idx="205">
                  <c:v>-5.4398349140950389E-2</c:v>
                </c:pt>
                <c:pt idx="206">
                  <c:v>-4.8444418027994762E-2</c:v>
                </c:pt>
                <c:pt idx="207">
                  <c:v>-4.1108347480308331E-2</c:v>
                </c:pt>
                <c:pt idx="208">
                  <c:v>-4.2640227607632732E-2</c:v>
                </c:pt>
                <c:pt idx="209">
                  <c:v>-3.8147939930233542E-2</c:v>
                </c:pt>
                <c:pt idx="210">
                  <c:v>-7.1963417736462351E-2</c:v>
                </c:pt>
                <c:pt idx="211">
                  <c:v>-6.1104724782526446E-2</c:v>
                </c:pt>
                <c:pt idx="212">
                  <c:v>-5.5122596895593796E-2</c:v>
                </c:pt>
                <c:pt idx="213">
                  <c:v>-5.1127528860561613E-2</c:v>
                </c:pt>
                <c:pt idx="214">
                  <c:v>-4.4839155054628502E-2</c:v>
                </c:pt>
                <c:pt idx="215">
                  <c:v>-4.2275721725065538E-2</c:v>
                </c:pt>
                <c:pt idx="216">
                  <c:v>-3.5896067641254185E-2</c:v>
                </c:pt>
                <c:pt idx="217">
                  <c:v>-3.0466816640248161E-2</c:v>
                </c:pt>
                <c:pt idx="218">
                  <c:v>-3.0082803817345759E-2</c:v>
                </c:pt>
                <c:pt idx="219">
                  <c:v>-4.3037849422577747E-2</c:v>
                </c:pt>
                <c:pt idx="220">
                  <c:v>-3.6541828192311693E-2</c:v>
                </c:pt>
                <c:pt idx="221">
                  <c:v>-3.2515569197093072E-2</c:v>
                </c:pt>
                <c:pt idx="222">
                  <c:v>-3.6308776376283998E-2</c:v>
                </c:pt>
                <c:pt idx="223">
                  <c:v>-3.0820093344518126E-2</c:v>
                </c:pt>
                <c:pt idx="224">
                  <c:v>-2.618682914666411E-2</c:v>
                </c:pt>
                <c:pt idx="225">
                  <c:v>-2.3962098795219374E-2</c:v>
                </c:pt>
                <c:pt idx="226">
                  <c:v>-5.3296986659768911E-2</c:v>
                </c:pt>
                <c:pt idx="227">
                  <c:v>-6.1640752733870013E-2</c:v>
                </c:pt>
                <c:pt idx="228">
                  <c:v>-5.6018335410769046E-2</c:v>
                </c:pt>
                <c:pt idx="229">
                  <c:v>-4.7821910231781888E-2</c:v>
                </c:pt>
                <c:pt idx="230">
                  <c:v>-4.3329018031156963E-2</c:v>
                </c:pt>
                <c:pt idx="231">
                  <c:v>-3.8314399076202516E-2</c:v>
                </c:pt>
                <c:pt idx="232">
                  <c:v>-3.2587726490171651E-2</c:v>
                </c:pt>
                <c:pt idx="233">
                  <c:v>-4.4416518178807277E-2</c:v>
                </c:pt>
                <c:pt idx="234">
                  <c:v>-9.0357899533504205E-2</c:v>
                </c:pt>
                <c:pt idx="235">
                  <c:v>-7.8997214033052723E-2</c:v>
                </c:pt>
                <c:pt idx="236">
                  <c:v>-7.1141470981083157E-2</c:v>
                </c:pt>
                <c:pt idx="237">
                  <c:v>-7.2385635919888239E-2</c:v>
                </c:pt>
                <c:pt idx="238">
                  <c:v>-7.5331091278531548E-2</c:v>
                </c:pt>
                <c:pt idx="239">
                  <c:v>-6.8726748426884504E-2</c:v>
                </c:pt>
                <c:pt idx="240">
                  <c:v>-0.10716529925567196</c:v>
                </c:pt>
                <c:pt idx="241">
                  <c:v>-9.5638904208095774E-2</c:v>
                </c:pt>
                <c:pt idx="242">
                  <c:v>-8.1536241071546639E-2</c:v>
                </c:pt>
                <c:pt idx="243">
                  <c:v>-8.4278008666072254E-2</c:v>
                </c:pt>
                <c:pt idx="244">
                  <c:v>-8.8090842317109008E-2</c:v>
                </c:pt>
                <c:pt idx="245">
                  <c:v>-7.4996359768968721E-2</c:v>
                </c:pt>
                <c:pt idx="246">
                  <c:v>-7.6704728638331041E-2</c:v>
                </c:pt>
                <c:pt idx="247">
                  <c:v>-6.5094562200116057E-2</c:v>
                </c:pt>
                <c:pt idx="248">
                  <c:v>-5.9660892582507216E-2</c:v>
                </c:pt>
                <c:pt idx="249">
                  <c:v>-5.3959058680463419E-2</c:v>
                </c:pt>
                <c:pt idx="250">
                  <c:v>-4.6007072808536852E-2</c:v>
                </c:pt>
                <c:pt idx="251">
                  <c:v>-4.661847266498078E-2</c:v>
                </c:pt>
                <c:pt idx="252">
                  <c:v>-4.5964233216473749E-2</c:v>
                </c:pt>
                <c:pt idx="253">
                  <c:v>-3.9712036464242977E-2</c:v>
                </c:pt>
                <c:pt idx="254">
                  <c:v>-4.1374713374077741E-2</c:v>
                </c:pt>
                <c:pt idx="255">
                  <c:v>-3.5497935632149591E-2</c:v>
                </c:pt>
                <c:pt idx="256">
                  <c:v>-3.0121115648851636E-2</c:v>
                </c:pt>
                <c:pt idx="257">
                  <c:v>-3.1975327835955511E-2</c:v>
                </c:pt>
                <c:pt idx="258">
                  <c:v>-2.9208822325607654E-2</c:v>
                </c:pt>
                <c:pt idx="259">
                  <c:v>-3.801819210037561E-2</c:v>
                </c:pt>
                <c:pt idx="260">
                  <c:v>-6.7229209578329674E-2</c:v>
                </c:pt>
                <c:pt idx="261">
                  <c:v>-5.7046254043501395E-2</c:v>
                </c:pt>
                <c:pt idx="262">
                  <c:v>-4.8864587200643218E-2</c:v>
                </c:pt>
                <c:pt idx="263">
                  <c:v>-4.1515823570102868E-2</c:v>
                </c:pt>
                <c:pt idx="264">
                  <c:v>-3.5273490879657747E-2</c:v>
                </c:pt>
                <c:pt idx="265">
                  <c:v>-3.5905678818277172E-2</c:v>
                </c:pt>
                <c:pt idx="266">
                  <c:v>-3.0490122655347646E-2</c:v>
                </c:pt>
                <c:pt idx="267">
                  <c:v>-5.2617583588255412E-2</c:v>
                </c:pt>
                <c:pt idx="268">
                  <c:v>-4.5982580869431175E-2</c:v>
                </c:pt>
                <c:pt idx="269">
                  <c:v>-5.3939951329087008E-2</c:v>
                </c:pt>
                <c:pt idx="270">
                  <c:v>-5.3656523753485133E-2</c:v>
                </c:pt>
                <c:pt idx="271">
                  <c:v>-5.1440547366728401E-2</c:v>
                </c:pt>
                <c:pt idx="272">
                  <c:v>-4.954595093978395E-2</c:v>
                </c:pt>
                <c:pt idx="273">
                  <c:v>-4.3567959055794095E-2</c:v>
                </c:pt>
                <c:pt idx="274">
                  <c:v>-4.1557691421488789E-2</c:v>
                </c:pt>
                <c:pt idx="275">
                  <c:v>-3.9192786965877788E-2</c:v>
                </c:pt>
                <c:pt idx="276">
                  <c:v>-4.3055606334751348E-2</c:v>
                </c:pt>
                <c:pt idx="277">
                  <c:v>-3.7276504351395158E-2</c:v>
                </c:pt>
                <c:pt idx="278">
                  <c:v>-3.6403782785872425E-2</c:v>
                </c:pt>
                <c:pt idx="279">
                  <c:v>-4.3568122247075056E-2</c:v>
                </c:pt>
                <c:pt idx="280">
                  <c:v>-4.5960001632206537E-2</c:v>
                </c:pt>
                <c:pt idx="281">
                  <c:v>-4.0544922706021704E-2</c:v>
                </c:pt>
                <c:pt idx="282">
                  <c:v>-3.4682140810998928E-2</c:v>
                </c:pt>
                <c:pt idx="283">
                  <c:v>-5.725480407743936E-2</c:v>
                </c:pt>
                <c:pt idx="284">
                  <c:v>-6.4268532746009549E-2</c:v>
                </c:pt>
                <c:pt idx="285">
                  <c:v>-5.6447138753571768E-2</c:v>
                </c:pt>
                <c:pt idx="286">
                  <c:v>-6.3882546551151526E-2</c:v>
                </c:pt>
                <c:pt idx="287">
                  <c:v>-9.8430304891489462E-2</c:v>
                </c:pt>
                <c:pt idx="288">
                  <c:v>-9.1392394135516239E-2</c:v>
                </c:pt>
                <c:pt idx="289">
                  <c:v>-8.3837423926747645E-2</c:v>
                </c:pt>
                <c:pt idx="290">
                  <c:v>-7.5815204867451011E-2</c:v>
                </c:pt>
                <c:pt idx="291">
                  <c:v>-7.6080183618610672E-2</c:v>
                </c:pt>
                <c:pt idx="292">
                  <c:v>-6.4773822739756015E-2</c:v>
                </c:pt>
                <c:pt idx="293">
                  <c:v>-5.6885959372660812E-2</c:v>
                </c:pt>
                <c:pt idx="294">
                  <c:v>-5.0819736266764476E-2</c:v>
                </c:pt>
                <c:pt idx="295">
                  <c:v>-4.3976150696019352E-2</c:v>
                </c:pt>
                <c:pt idx="296">
                  <c:v>-3.7907835048140756E-2</c:v>
                </c:pt>
                <c:pt idx="297">
                  <c:v>-4.5122808650961757E-2</c:v>
                </c:pt>
                <c:pt idx="298">
                  <c:v>-4.0300635491154153E-2</c:v>
                </c:pt>
                <c:pt idx="299">
                  <c:v>-3.8874161392262983E-2</c:v>
                </c:pt>
                <c:pt idx="300">
                  <c:v>-3.4975911973536222E-2</c:v>
                </c:pt>
                <c:pt idx="301">
                  <c:v>-2.9683285345631673E-2</c:v>
                </c:pt>
                <c:pt idx="302">
                  <c:v>-2.5728984876514302E-2</c:v>
                </c:pt>
                <c:pt idx="303">
                  <c:v>-2.3012724345185039E-2</c:v>
                </c:pt>
                <c:pt idx="304">
                  <c:v>-4.0207592719757074E-2</c:v>
                </c:pt>
                <c:pt idx="305">
                  <c:v>-4.0488567483031063E-2</c:v>
                </c:pt>
                <c:pt idx="306">
                  <c:v>-3.4769880884213289E-2</c:v>
                </c:pt>
                <c:pt idx="307">
                  <c:v>-3.0089418455587002E-2</c:v>
                </c:pt>
                <c:pt idx="308">
                  <c:v>-4.5343650990091133E-2</c:v>
                </c:pt>
                <c:pt idx="309">
                  <c:v>-3.851036148416765E-2</c:v>
                </c:pt>
                <c:pt idx="310">
                  <c:v>-3.7473394389729867E-2</c:v>
                </c:pt>
                <c:pt idx="311">
                  <c:v>-4.8494249152738922E-2</c:v>
                </c:pt>
                <c:pt idx="312">
                  <c:v>-4.3648281578233583E-2</c:v>
                </c:pt>
                <c:pt idx="313">
                  <c:v>-3.9935797780551757E-2</c:v>
                </c:pt>
                <c:pt idx="314">
                  <c:v>-4.2336743202821651E-2</c:v>
                </c:pt>
                <c:pt idx="315">
                  <c:v>-4.7756159071122961E-2</c:v>
                </c:pt>
                <c:pt idx="316">
                  <c:v>-4.1550290289526948E-2</c:v>
                </c:pt>
                <c:pt idx="317">
                  <c:v>-3.8927743388644701E-2</c:v>
                </c:pt>
                <c:pt idx="318">
                  <c:v>-4.0387302929532215E-2</c:v>
                </c:pt>
                <c:pt idx="319">
                  <c:v>-3.4543381987471075E-2</c:v>
                </c:pt>
                <c:pt idx="320">
                  <c:v>-3.5962611594645526E-2</c:v>
                </c:pt>
                <c:pt idx="321">
                  <c:v>-3.134639239804296E-2</c:v>
                </c:pt>
                <c:pt idx="322">
                  <c:v>-2.6748657696844275E-2</c:v>
                </c:pt>
                <c:pt idx="323">
                  <c:v>-2.2744960967916554E-2</c:v>
                </c:pt>
                <c:pt idx="324">
                  <c:v>-2.0654345814549786E-2</c:v>
                </c:pt>
                <c:pt idx="325">
                  <c:v>-3.0792611900172493E-2</c:v>
                </c:pt>
                <c:pt idx="326">
                  <c:v>-3.1713137602717441E-2</c:v>
                </c:pt>
                <c:pt idx="327">
                  <c:v>-2.7156262507809666E-2</c:v>
                </c:pt>
                <c:pt idx="328">
                  <c:v>-2.3062744635899583E-2</c:v>
                </c:pt>
                <c:pt idx="329">
                  <c:v>-2.3941835098787483E-2</c:v>
                </c:pt>
                <c:pt idx="330">
                  <c:v>-3.4345827189060048E-2</c:v>
                </c:pt>
                <c:pt idx="331">
                  <c:v>-3.158735345871759E-2</c:v>
                </c:pt>
                <c:pt idx="332">
                  <c:v>-2.6999767294073419E-2</c:v>
                </c:pt>
                <c:pt idx="333">
                  <c:v>-2.4418032719439216E-2</c:v>
                </c:pt>
                <c:pt idx="334">
                  <c:v>-3.6403625508640174E-2</c:v>
                </c:pt>
                <c:pt idx="335">
                  <c:v>-3.1286724785463592E-2</c:v>
                </c:pt>
                <c:pt idx="336">
                  <c:v>-2.7387143613499507E-2</c:v>
                </c:pt>
                <c:pt idx="337">
                  <c:v>-2.3244482874419634E-2</c:v>
                </c:pt>
                <c:pt idx="338">
                  <c:v>-3.1947299041421372E-2</c:v>
                </c:pt>
                <c:pt idx="339">
                  <c:v>-3.3114087563662457E-2</c:v>
                </c:pt>
                <c:pt idx="340">
                  <c:v>-2.8470954058464819E-2</c:v>
                </c:pt>
                <c:pt idx="341">
                  <c:v>-2.5275562737548694E-2</c:v>
                </c:pt>
                <c:pt idx="342">
                  <c:v>-2.1495943488912261E-2</c:v>
                </c:pt>
                <c:pt idx="343">
                  <c:v>-3.1684934455877896E-2</c:v>
                </c:pt>
                <c:pt idx="344">
                  <c:v>-2.7007517113825555E-2</c:v>
                </c:pt>
                <c:pt idx="345">
                  <c:v>-3.1267711623497944E-2</c:v>
                </c:pt>
                <c:pt idx="346">
                  <c:v>-3.0628599731619695E-2</c:v>
                </c:pt>
                <c:pt idx="347">
                  <c:v>-3.7864002559475932E-2</c:v>
                </c:pt>
                <c:pt idx="348">
                  <c:v>-3.6845420723384072E-2</c:v>
                </c:pt>
                <c:pt idx="349">
                  <c:v>-3.5172946178046088E-2</c:v>
                </c:pt>
                <c:pt idx="350">
                  <c:v>-3.0388743746992818E-2</c:v>
                </c:pt>
                <c:pt idx="351">
                  <c:v>-3.1916844146188027E-2</c:v>
                </c:pt>
                <c:pt idx="352">
                  <c:v>-2.8109248555832789E-2</c:v>
                </c:pt>
                <c:pt idx="353">
                  <c:v>-2.890011528639249E-2</c:v>
                </c:pt>
                <c:pt idx="354">
                  <c:v>-5.2429732469016485E-2</c:v>
                </c:pt>
                <c:pt idx="355">
                  <c:v>-5.9662729997735371E-2</c:v>
                </c:pt>
                <c:pt idx="356">
                  <c:v>-5.1426746184561181E-2</c:v>
                </c:pt>
                <c:pt idx="357">
                  <c:v>-4.7786727738030672E-2</c:v>
                </c:pt>
                <c:pt idx="358">
                  <c:v>-4.1118515953464739E-2</c:v>
                </c:pt>
                <c:pt idx="359">
                  <c:v>-3.4941901819905648E-2</c:v>
                </c:pt>
                <c:pt idx="360">
                  <c:v>-3.5172838660953769E-2</c:v>
                </c:pt>
                <c:pt idx="361">
                  <c:v>-2.9866209020245428E-2</c:v>
                </c:pt>
                <c:pt idx="362">
                  <c:v>-3.0891766735304239E-2</c:v>
                </c:pt>
                <c:pt idx="363">
                  <c:v>-2.6213605670206152E-2</c:v>
                </c:pt>
                <c:pt idx="364">
                  <c:v>-8.1725683726008219E-2</c:v>
                </c:pt>
                <c:pt idx="365">
                  <c:v>-7.02365277722867E-2</c:v>
                </c:pt>
                <c:pt idx="366">
                  <c:v>-6.5798517684735547E-2</c:v>
                </c:pt>
                <c:pt idx="367">
                  <c:v>-6.7472940769722753E-2</c:v>
                </c:pt>
                <c:pt idx="368">
                  <c:v>-5.7252721121594262E-2</c:v>
                </c:pt>
                <c:pt idx="369">
                  <c:v>-5.3202972334141216E-2</c:v>
                </c:pt>
                <c:pt idx="370">
                  <c:v>-6.3482218639191998E-2</c:v>
                </c:pt>
                <c:pt idx="371">
                  <c:v>-5.4924133549423271E-2</c:v>
                </c:pt>
                <c:pt idx="372">
                  <c:v>-4.7038831087952711E-2</c:v>
                </c:pt>
                <c:pt idx="373">
                  <c:v>-4.7647155744950084E-2</c:v>
                </c:pt>
                <c:pt idx="374">
                  <c:v>-4.3812430694419022E-2</c:v>
                </c:pt>
                <c:pt idx="375">
                  <c:v>-3.7176847908143358E-2</c:v>
                </c:pt>
                <c:pt idx="376">
                  <c:v>-4.5703259102775159E-2</c:v>
                </c:pt>
                <c:pt idx="377">
                  <c:v>-4.3370179591267169E-2</c:v>
                </c:pt>
                <c:pt idx="378">
                  <c:v>-3.8040830135620547E-2</c:v>
                </c:pt>
                <c:pt idx="379">
                  <c:v>-3.4254769717933765E-2</c:v>
                </c:pt>
                <c:pt idx="380">
                  <c:v>-3.0085297071614236E-2</c:v>
                </c:pt>
                <c:pt idx="381">
                  <c:v>-3.1581495661043367E-2</c:v>
                </c:pt>
                <c:pt idx="382">
                  <c:v>-2.7108020667433636E-2</c:v>
                </c:pt>
                <c:pt idx="383">
                  <c:v>-2.3002741282626513E-2</c:v>
                </c:pt>
                <c:pt idx="384">
                  <c:v>-2.0598988502440088E-2</c:v>
                </c:pt>
                <c:pt idx="385">
                  <c:v>-2.1726105639662357E-2</c:v>
                </c:pt>
                <c:pt idx="386">
                  <c:v>-1.8556534750425683E-2</c:v>
                </c:pt>
                <c:pt idx="387">
                  <c:v>-1.6035414852454109E-2</c:v>
                </c:pt>
                <c:pt idx="388">
                  <c:v>-1.4861673973391111E-2</c:v>
                </c:pt>
                <c:pt idx="389">
                  <c:v>-2.3267779568080422E-2</c:v>
                </c:pt>
                <c:pt idx="390">
                  <c:v>-2.3094367132704043E-2</c:v>
                </c:pt>
                <c:pt idx="391">
                  <c:v>-3.2208854765992646E-2</c:v>
                </c:pt>
                <c:pt idx="392">
                  <c:v>-3.0783912702463331E-2</c:v>
                </c:pt>
                <c:pt idx="393">
                  <c:v>-2.6345449157032314E-2</c:v>
                </c:pt>
                <c:pt idx="394">
                  <c:v>-3.2275396914446856E-2</c:v>
                </c:pt>
                <c:pt idx="395">
                  <c:v>-2.7525849053375843E-2</c:v>
                </c:pt>
                <c:pt idx="396">
                  <c:v>-3.7256411637179257E-2</c:v>
                </c:pt>
                <c:pt idx="397">
                  <c:v>-3.2012400318907362E-2</c:v>
                </c:pt>
                <c:pt idx="398">
                  <c:v>-3.3145263698862788E-2</c:v>
                </c:pt>
                <c:pt idx="399">
                  <c:v>-2.8186015807163924E-2</c:v>
                </c:pt>
                <c:pt idx="400">
                  <c:v>-3.9406909130138189E-2</c:v>
                </c:pt>
                <c:pt idx="401">
                  <c:v>-4.0331904798619478E-2</c:v>
                </c:pt>
                <c:pt idx="402">
                  <c:v>-4.5755779798644952E-2</c:v>
                </c:pt>
                <c:pt idx="403">
                  <c:v>-7.4390311936508441E-2</c:v>
                </c:pt>
                <c:pt idx="404">
                  <c:v>-7.1339925156455805E-2</c:v>
                </c:pt>
                <c:pt idx="405">
                  <c:v>-6.1342444074564878E-2</c:v>
                </c:pt>
                <c:pt idx="406">
                  <c:v>-5.3171647102798064E-2</c:v>
                </c:pt>
                <c:pt idx="407">
                  <c:v>-6.8782605933443819E-2</c:v>
                </c:pt>
                <c:pt idx="408">
                  <c:v>-5.836397993418839E-2</c:v>
                </c:pt>
                <c:pt idx="409">
                  <c:v>-6.5733071958911218E-2</c:v>
                </c:pt>
                <c:pt idx="410">
                  <c:v>-5.6108663103940505E-2</c:v>
                </c:pt>
                <c:pt idx="411">
                  <c:v>-7.607173375684724E-2</c:v>
                </c:pt>
                <c:pt idx="412">
                  <c:v>-9.3314245115115602E-2</c:v>
                </c:pt>
                <c:pt idx="413">
                  <c:v>-0.11346596962469536</c:v>
                </c:pt>
                <c:pt idx="414">
                  <c:v>-0.10620565267825081</c:v>
                </c:pt>
                <c:pt idx="415">
                  <c:v>-0.11090319413018528</c:v>
                </c:pt>
                <c:pt idx="416">
                  <c:v>-9.4304655842043839E-2</c:v>
                </c:pt>
                <c:pt idx="417">
                  <c:v>-8.6055940737534281E-2</c:v>
                </c:pt>
                <c:pt idx="418">
                  <c:v>-7.3023067651877507E-2</c:v>
                </c:pt>
                <c:pt idx="419">
                  <c:v>-7.9515571754994963E-2</c:v>
                </c:pt>
                <c:pt idx="420">
                  <c:v>-7.6207058733740826E-2</c:v>
                </c:pt>
                <c:pt idx="421">
                  <c:v>-9.9377617743603111E-2</c:v>
                </c:pt>
                <c:pt idx="422">
                  <c:v>-8.9016629008840192E-2</c:v>
                </c:pt>
                <c:pt idx="423">
                  <c:v>-8.9281280959675566E-2</c:v>
                </c:pt>
                <c:pt idx="424">
                  <c:v>-8.0547109579662463E-2</c:v>
                </c:pt>
                <c:pt idx="425">
                  <c:v>-6.8596356910531439E-2</c:v>
                </c:pt>
                <c:pt idx="426">
                  <c:v>-7.4312829758345217E-2</c:v>
                </c:pt>
                <c:pt idx="427">
                  <c:v>-6.3287031150573186E-2</c:v>
                </c:pt>
                <c:pt idx="428">
                  <c:v>-5.889229432212234E-2</c:v>
                </c:pt>
                <c:pt idx="429">
                  <c:v>-6.7516331456709155E-2</c:v>
                </c:pt>
                <c:pt idx="430">
                  <c:v>-5.7291377526356727E-2</c:v>
                </c:pt>
                <c:pt idx="431">
                  <c:v>-4.9849266844021398E-2</c:v>
                </c:pt>
                <c:pt idx="432">
                  <c:v>-4.7736651263182592E-2</c:v>
                </c:pt>
                <c:pt idx="433">
                  <c:v>-4.3080359036618276E-2</c:v>
                </c:pt>
                <c:pt idx="434">
                  <c:v>-3.6580209499652627E-2</c:v>
                </c:pt>
                <c:pt idx="435">
                  <c:v>-3.3324274153648276E-2</c:v>
                </c:pt>
                <c:pt idx="436">
                  <c:v>-2.8406253741833885E-2</c:v>
                </c:pt>
                <c:pt idx="437">
                  <c:v>-2.4257638757571542E-2</c:v>
                </c:pt>
                <c:pt idx="438">
                  <c:v>-2.0686314410945053E-2</c:v>
                </c:pt>
                <c:pt idx="439">
                  <c:v>-1.7577815013918113E-2</c:v>
                </c:pt>
                <c:pt idx="440">
                  <c:v>-1.5187279862661813E-2</c:v>
                </c:pt>
                <c:pt idx="441">
                  <c:v>-2.3736830478369966E-2</c:v>
                </c:pt>
                <c:pt idx="442">
                  <c:v>-2.0973166184015273E-2</c:v>
                </c:pt>
                <c:pt idx="443">
                  <c:v>-1.9370832218141079E-2</c:v>
                </c:pt>
                <c:pt idx="444">
                  <c:v>-2.6145299254379778E-2</c:v>
                </c:pt>
                <c:pt idx="445">
                  <c:v>-2.4821705931017152E-2</c:v>
                </c:pt>
                <c:pt idx="446">
                  <c:v>-2.1532966734656794E-2</c:v>
                </c:pt>
                <c:pt idx="447">
                  <c:v>-2.1279510796484918E-2</c:v>
                </c:pt>
                <c:pt idx="448">
                  <c:v>-2.0596801679749279E-2</c:v>
                </c:pt>
                <c:pt idx="449">
                  <c:v>-3.1891292337645316E-2</c:v>
                </c:pt>
                <c:pt idx="450">
                  <c:v>-3.6688251819152626E-2</c:v>
                </c:pt>
                <c:pt idx="451">
                  <c:v>-3.4396313469868108E-2</c:v>
                </c:pt>
                <c:pt idx="452">
                  <c:v>-2.9535019674192808E-2</c:v>
                </c:pt>
                <c:pt idx="453">
                  <c:v>-2.5884704808883691E-2</c:v>
                </c:pt>
                <c:pt idx="454">
                  <c:v>-3.586336104557182E-2</c:v>
                </c:pt>
                <c:pt idx="455">
                  <c:v>-3.0445153262211196E-2</c:v>
                </c:pt>
                <c:pt idx="456">
                  <c:v>-6.9180365270637381E-2</c:v>
                </c:pt>
                <c:pt idx="457">
                  <c:v>-6.1287824106631521E-2</c:v>
                </c:pt>
                <c:pt idx="458">
                  <c:v>-8.2179865397396926E-2</c:v>
                </c:pt>
                <c:pt idx="459">
                  <c:v>-7.4000162541491429E-2</c:v>
                </c:pt>
                <c:pt idx="460">
                  <c:v>-7.1021689474314323E-2</c:v>
                </c:pt>
                <c:pt idx="461">
                  <c:v>-9.8909777152376574E-2</c:v>
                </c:pt>
                <c:pt idx="462">
                  <c:v>-0.12481135126653271</c:v>
                </c:pt>
                <c:pt idx="463">
                  <c:v>-0.10738300880653145</c:v>
                </c:pt>
                <c:pt idx="464">
                  <c:v>-9.2312429411086999E-2</c:v>
                </c:pt>
                <c:pt idx="465">
                  <c:v>-7.8623626162605417E-2</c:v>
                </c:pt>
                <c:pt idx="466">
                  <c:v>-6.6716562964939885E-2</c:v>
                </c:pt>
                <c:pt idx="467">
                  <c:v>-5.8053618649802984E-2</c:v>
                </c:pt>
                <c:pt idx="468">
                  <c:v>-4.9374125628179742E-2</c:v>
                </c:pt>
                <c:pt idx="469">
                  <c:v>-4.6034095449127614E-2</c:v>
                </c:pt>
                <c:pt idx="470">
                  <c:v>-5.6156514767455437E-2</c:v>
                </c:pt>
                <c:pt idx="471">
                  <c:v>-4.7668762633371678E-2</c:v>
                </c:pt>
                <c:pt idx="472">
                  <c:v>-8.2418011303564714E-2</c:v>
                </c:pt>
                <c:pt idx="473">
                  <c:v>-7.8102780815839642E-2</c:v>
                </c:pt>
                <c:pt idx="474">
                  <c:v>-8.0112303413893235E-2</c:v>
                </c:pt>
                <c:pt idx="475">
                  <c:v>-9.6873743500778556E-2</c:v>
                </c:pt>
                <c:pt idx="476">
                  <c:v>-8.8521788370317239E-2</c:v>
                </c:pt>
                <c:pt idx="477">
                  <c:v>-8.1503068080392552E-2</c:v>
                </c:pt>
                <c:pt idx="478">
                  <c:v>-6.9884147206265665E-2</c:v>
                </c:pt>
                <c:pt idx="479">
                  <c:v>-6.3493156335782508E-2</c:v>
                </c:pt>
                <c:pt idx="480">
                  <c:v>-6.4889451050801142E-2</c:v>
                </c:pt>
                <c:pt idx="481">
                  <c:v>-7.5671742121761906E-2</c:v>
                </c:pt>
                <c:pt idx="482">
                  <c:v>-6.4492017145766314E-2</c:v>
                </c:pt>
                <c:pt idx="483">
                  <c:v>-5.7726046792328338E-2</c:v>
                </c:pt>
                <c:pt idx="484">
                  <c:v>-7.6676321849057191E-2</c:v>
                </c:pt>
                <c:pt idx="485">
                  <c:v>-6.8502289314045936E-2</c:v>
                </c:pt>
                <c:pt idx="486">
                  <c:v>-5.8977588105077784E-2</c:v>
                </c:pt>
                <c:pt idx="487">
                  <c:v>-7.2506756925430252E-2</c:v>
                </c:pt>
                <c:pt idx="488">
                  <c:v>-8.1134530950677769E-2</c:v>
                </c:pt>
                <c:pt idx="489">
                  <c:v>-7.812934123548762E-2</c:v>
                </c:pt>
                <c:pt idx="490">
                  <c:v>-8.358465254786418E-2</c:v>
                </c:pt>
                <c:pt idx="491">
                  <c:v>-8.6854638742593485E-2</c:v>
                </c:pt>
                <c:pt idx="492">
                  <c:v>-9.2444083419449791E-2</c:v>
                </c:pt>
                <c:pt idx="493">
                  <c:v>-8.0099218933514849E-2</c:v>
                </c:pt>
                <c:pt idx="494">
                  <c:v>-7.8790908193975287E-2</c:v>
                </c:pt>
                <c:pt idx="495">
                  <c:v>-6.8172003157580568E-2</c:v>
                </c:pt>
                <c:pt idx="496">
                  <c:v>-6.017187613047506E-2</c:v>
                </c:pt>
                <c:pt idx="497">
                  <c:v>-6.5693221460441778E-2</c:v>
                </c:pt>
                <c:pt idx="498">
                  <c:v>-5.5742661427519373E-2</c:v>
                </c:pt>
                <c:pt idx="499">
                  <c:v>-6.0276433317117607E-2</c:v>
                </c:pt>
                <c:pt idx="500">
                  <c:v>-5.3539847654777255E-2</c:v>
                </c:pt>
                <c:pt idx="501">
                  <c:v>-4.585307243226356E-2</c:v>
                </c:pt>
                <c:pt idx="502">
                  <c:v>-3.8926861289313483E-2</c:v>
                </c:pt>
                <c:pt idx="503">
                  <c:v>-3.3288541110293772E-2</c:v>
                </c:pt>
                <c:pt idx="504">
                  <c:v>-3.6920952363730421E-2</c:v>
                </c:pt>
                <c:pt idx="505">
                  <c:v>-3.135071915351878E-2</c:v>
                </c:pt>
                <c:pt idx="506">
                  <c:v>-2.8682334497960028E-2</c:v>
                </c:pt>
                <c:pt idx="507">
                  <c:v>-2.4519759998904642E-2</c:v>
                </c:pt>
                <c:pt idx="508">
                  <c:v>-2.1585645540028821E-2</c:v>
                </c:pt>
                <c:pt idx="509">
                  <c:v>-2.1640363464124821E-2</c:v>
                </c:pt>
                <c:pt idx="510">
                  <c:v>-3.0036447464139207E-2</c:v>
                </c:pt>
                <c:pt idx="511">
                  <c:v>-3.1034357978959384E-2</c:v>
                </c:pt>
                <c:pt idx="512">
                  <c:v>-3.1409829934122523E-2</c:v>
                </c:pt>
                <c:pt idx="513">
                  <c:v>-2.7055281767975774E-2</c:v>
                </c:pt>
                <c:pt idx="514">
                  <c:v>-6.0125366892197149E-2</c:v>
                </c:pt>
                <c:pt idx="515">
                  <c:v>-5.3269864713094917E-2</c:v>
                </c:pt>
                <c:pt idx="516">
                  <c:v>-8.0483799581890308E-2</c:v>
                </c:pt>
                <c:pt idx="517">
                  <c:v>-6.8700331088785788E-2</c:v>
                </c:pt>
                <c:pt idx="518">
                  <c:v>-7.5990272571391196E-2</c:v>
                </c:pt>
                <c:pt idx="519">
                  <c:v>-6.8704151276933259E-2</c:v>
                </c:pt>
                <c:pt idx="520">
                  <c:v>-7.8338805452692742E-2</c:v>
                </c:pt>
                <c:pt idx="521">
                  <c:v>-6.7721612779315335E-2</c:v>
                </c:pt>
                <c:pt idx="522">
                  <c:v>-7.426446935957054E-2</c:v>
                </c:pt>
                <c:pt idx="523">
                  <c:v>-6.5821601806262328E-2</c:v>
                </c:pt>
                <c:pt idx="524">
                  <c:v>-6.5873242899639889E-2</c:v>
                </c:pt>
                <c:pt idx="525">
                  <c:v>-5.6307603285947978E-2</c:v>
                </c:pt>
                <c:pt idx="526">
                  <c:v>-5.3455455256184344E-2</c:v>
                </c:pt>
                <c:pt idx="527">
                  <c:v>-7.2915737883546272E-2</c:v>
                </c:pt>
                <c:pt idx="528">
                  <c:v>-6.2561056030204856E-2</c:v>
                </c:pt>
                <c:pt idx="529">
                  <c:v>-5.3877714597527639E-2</c:v>
                </c:pt>
                <c:pt idx="530">
                  <c:v>-6.5814529822334683E-2</c:v>
                </c:pt>
                <c:pt idx="531">
                  <c:v>-6.55855050453895E-2</c:v>
                </c:pt>
                <c:pt idx="532">
                  <c:v>-5.7760467109196849E-2</c:v>
                </c:pt>
                <c:pt idx="533">
                  <c:v>-5.0894395769259672E-2</c:v>
                </c:pt>
                <c:pt idx="534">
                  <c:v>-5.0224168757046946E-2</c:v>
                </c:pt>
                <c:pt idx="535">
                  <c:v>-4.3367417577404151E-2</c:v>
                </c:pt>
                <c:pt idx="536">
                  <c:v>-3.8247598967606974E-2</c:v>
                </c:pt>
                <c:pt idx="537">
                  <c:v>-3.678341028100296E-2</c:v>
                </c:pt>
                <c:pt idx="538">
                  <c:v>-3.717857984862509E-2</c:v>
                </c:pt>
                <c:pt idx="539">
                  <c:v>-3.6259073661232169E-2</c:v>
                </c:pt>
                <c:pt idx="540">
                  <c:v>-3.141308810264274E-2</c:v>
                </c:pt>
                <c:pt idx="541">
                  <c:v>-3.3317370183512343E-2</c:v>
                </c:pt>
                <c:pt idx="542">
                  <c:v>-2.8432791379463338E-2</c:v>
                </c:pt>
                <c:pt idx="543">
                  <c:v>-5.0428198545809703E-2</c:v>
                </c:pt>
                <c:pt idx="544">
                  <c:v>-5.5780972144360806E-2</c:v>
                </c:pt>
                <c:pt idx="545">
                  <c:v>-4.7681865883023658E-2</c:v>
                </c:pt>
                <c:pt idx="546">
                  <c:v>-4.5024239232550972E-2</c:v>
                </c:pt>
                <c:pt idx="547">
                  <c:v>-3.9288770892694752E-2</c:v>
                </c:pt>
                <c:pt idx="548">
                  <c:v>-3.4469249888099726E-2</c:v>
                </c:pt>
                <c:pt idx="549">
                  <c:v>-3.3412869631450993E-2</c:v>
                </c:pt>
                <c:pt idx="550">
                  <c:v>-3.032666510645898E-2</c:v>
                </c:pt>
                <c:pt idx="551">
                  <c:v>-2.9580074762976669E-2</c:v>
                </c:pt>
                <c:pt idx="552">
                  <c:v>-4.6909808558511443E-2</c:v>
                </c:pt>
                <c:pt idx="553">
                  <c:v>-5.8075808296920765E-2</c:v>
                </c:pt>
                <c:pt idx="554">
                  <c:v>-5.0587321757763197E-2</c:v>
                </c:pt>
                <c:pt idx="555">
                  <c:v>-6.3176596027283788E-2</c:v>
                </c:pt>
                <c:pt idx="556">
                  <c:v>-5.635525828649892E-2</c:v>
                </c:pt>
                <c:pt idx="557">
                  <c:v>-5.0016553590094791E-2</c:v>
                </c:pt>
                <c:pt idx="558">
                  <c:v>-6.7150573041326364E-2</c:v>
                </c:pt>
                <c:pt idx="559">
                  <c:v>-6.0341994724447269E-2</c:v>
                </c:pt>
                <c:pt idx="560">
                  <c:v>-5.2477249657596786E-2</c:v>
                </c:pt>
                <c:pt idx="561">
                  <c:v>-4.4544248743045411E-2</c:v>
                </c:pt>
                <c:pt idx="562">
                  <c:v>-5.6307474940057951E-2</c:v>
                </c:pt>
                <c:pt idx="563">
                  <c:v>-4.7871947821918989E-2</c:v>
                </c:pt>
                <c:pt idx="564">
                  <c:v>-4.2312964700815948E-2</c:v>
                </c:pt>
                <c:pt idx="565">
                  <c:v>-3.599104171611385E-2</c:v>
                </c:pt>
                <c:pt idx="566">
                  <c:v>-3.0753674921468993E-2</c:v>
                </c:pt>
                <c:pt idx="567">
                  <c:v>-2.7633263699352054E-2</c:v>
                </c:pt>
                <c:pt idx="568">
                  <c:v>-2.5011557774382992E-2</c:v>
                </c:pt>
                <c:pt idx="569">
                  <c:v>-4.5486685995141676E-2</c:v>
                </c:pt>
                <c:pt idx="570">
                  <c:v>-5.2443576909210941E-2</c:v>
                </c:pt>
                <c:pt idx="571">
                  <c:v>-4.4772578554544175E-2</c:v>
                </c:pt>
                <c:pt idx="572">
                  <c:v>-4.5300233804005052E-2</c:v>
                </c:pt>
                <c:pt idx="573">
                  <c:v>-3.9263963695758838E-2</c:v>
                </c:pt>
                <c:pt idx="574">
                  <c:v>-3.3547352564143755E-2</c:v>
                </c:pt>
                <c:pt idx="575">
                  <c:v>-2.9634346755736372E-2</c:v>
                </c:pt>
                <c:pt idx="576">
                  <c:v>-4.205803971003895E-2</c:v>
                </c:pt>
                <c:pt idx="577">
                  <c:v>-3.6123304804507823E-2</c:v>
                </c:pt>
                <c:pt idx="578">
                  <c:v>-3.973507156324875E-2</c:v>
                </c:pt>
                <c:pt idx="579">
                  <c:v>-3.3755616823260157E-2</c:v>
                </c:pt>
                <c:pt idx="580">
                  <c:v>-5.4696942518176049E-2</c:v>
                </c:pt>
                <c:pt idx="581">
                  <c:v>-4.6901921022964574E-2</c:v>
                </c:pt>
                <c:pt idx="582">
                  <c:v>-4.8273910579152278E-2</c:v>
                </c:pt>
                <c:pt idx="583">
                  <c:v>-4.4756768201116022E-2</c:v>
                </c:pt>
                <c:pt idx="584">
                  <c:v>-4.3932726595894665E-2</c:v>
                </c:pt>
                <c:pt idx="585">
                  <c:v>-3.806479934229115E-2</c:v>
                </c:pt>
                <c:pt idx="586">
                  <c:v>-5.014613328876473E-2</c:v>
                </c:pt>
                <c:pt idx="587">
                  <c:v>-4.7318362644093448E-2</c:v>
                </c:pt>
                <c:pt idx="588">
                  <c:v>-4.6600363415756553E-2</c:v>
                </c:pt>
                <c:pt idx="589">
                  <c:v>-3.9619068705836237E-2</c:v>
                </c:pt>
                <c:pt idx="590">
                  <c:v>-4.4221969998209806E-2</c:v>
                </c:pt>
                <c:pt idx="591">
                  <c:v>-3.9273485763444277E-2</c:v>
                </c:pt>
                <c:pt idx="592">
                  <c:v>-3.3359248716044981E-2</c:v>
                </c:pt>
                <c:pt idx="593">
                  <c:v>-8.6829239582469894E-2</c:v>
                </c:pt>
                <c:pt idx="594">
                  <c:v>-7.4398394397013512E-2</c:v>
                </c:pt>
                <c:pt idx="595">
                  <c:v>-6.8624105332711877E-2</c:v>
                </c:pt>
                <c:pt idx="596">
                  <c:v>-5.8241832043429545E-2</c:v>
                </c:pt>
                <c:pt idx="597">
                  <c:v>-5.1664101940951904E-2</c:v>
                </c:pt>
                <c:pt idx="598">
                  <c:v>-4.9787181490134058E-2</c:v>
                </c:pt>
                <c:pt idx="599">
                  <c:v>-7.7833136232380265E-2</c:v>
                </c:pt>
                <c:pt idx="600">
                  <c:v>-6.6626802403185123E-2</c:v>
                </c:pt>
                <c:pt idx="601">
                  <c:v>-7.3992841806913914E-2</c:v>
                </c:pt>
                <c:pt idx="602">
                  <c:v>-7.6008315169583479E-2</c:v>
                </c:pt>
                <c:pt idx="603">
                  <c:v>-6.6774222751976753E-2</c:v>
                </c:pt>
                <c:pt idx="604">
                  <c:v>-5.6732051075665778E-2</c:v>
                </c:pt>
                <c:pt idx="605">
                  <c:v>-5.7297191484525202E-2</c:v>
                </c:pt>
                <c:pt idx="606">
                  <c:v>-4.880838850614052E-2</c:v>
                </c:pt>
                <c:pt idx="607">
                  <c:v>-4.1523879689774869E-2</c:v>
                </c:pt>
                <c:pt idx="608">
                  <c:v>-3.8959455510050679E-2</c:v>
                </c:pt>
                <c:pt idx="609">
                  <c:v>-3.4343010058373237E-2</c:v>
                </c:pt>
                <c:pt idx="610">
                  <c:v>-3.6608531747760853E-2</c:v>
                </c:pt>
                <c:pt idx="611">
                  <c:v>-5.2150541613558768E-2</c:v>
                </c:pt>
                <c:pt idx="612">
                  <c:v>-4.9663645837247895E-2</c:v>
                </c:pt>
                <c:pt idx="613">
                  <c:v>-6.3813510061318579E-2</c:v>
                </c:pt>
                <c:pt idx="614">
                  <c:v>-6.1137061856666876E-2</c:v>
                </c:pt>
                <c:pt idx="615">
                  <c:v>-5.1876634751863632E-2</c:v>
                </c:pt>
                <c:pt idx="616">
                  <c:v>-4.4900104821896686E-2</c:v>
                </c:pt>
                <c:pt idx="617">
                  <c:v>-3.9585652060367668E-2</c:v>
                </c:pt>
                <c:pt idx="618">
                  <c:v>-3.4714889442939302E-2</c:v>
                </c:pt>
                <c:pt idx="619">
                  <c:v>-3.1847103490801443E-2</c:v>
                </c:pt>
                <c:pt idx="620">
                  <c:v>-4.0598156411470507E-2</c:v>
                </c:pt>
                <c:pt idx="621">
                  <c:v>-3.6225871217563654E-2</c:v>
                </c:pt>
                <c:pt idx="622">
                  <c:v>-5.8303364240210806E-2</c:v>
                </c:pt>
                <c:pt idx="623">
                  <c:v>-6.2007287215398346E-2</c:v>
                </c:pt>
                <c:pt idx="624">
                  <c:v>-5.2744621488873662E-2</c:v>
                </c:pt>
                <c:pt idx="625">
                  <c:v>-4.5030097839191312E-2</c:v>
                </c:pt>
                <c:pt idx="626">
                  <c:v>-4.1121102437501215E-2</c:v>
                </c:pt>
                <c:pt idx="627">
                  <c:v>-4.0334768938888661E-2</c:v>
                </c:pt>
                <c:pt idx="628">
                  <c:v>-3.5722488739120921E-2</c:v>
                </c:pt>
                <c:pt idx="629">
                  <c:v>-4.4271543680703948E-2</c:v>
                </c:pt>
                <c:pt idx="630">
                  <c:v>-9.1119971883220366E-2</c:v>
                </c:pt>
                <c:pt idx="631">
                  <c:v>-0.14783503113290619</c:v>
                </c:pt>
                <c:pt idx="632">
                  <c:v>-0.20059419878570001</c:v>
                </c:pt>
                <c:pt idx="633">
                  <c:v>-0.17826950139701034</c:v>
                </c:pt>
                <c:pt idx="634">
                  <c:v>-0.21236700303518871</c:v>
                </c:pt>
                <c:pt idx="635">
                  <c:v>-0.20299112360408891</c:v>
                </c:pt>
                <c:pt idx="636">
                  <c:v>-0.1722599695252135</c:v>
                </c:pt>
                <c:pt idx="637">
                  <c:v>-0.14980333672883733</c:v>
                </c:pt>
                <c:pt idx="638">
                  <c:v>-0.1726734590333302</c:v>
                </c:pt>
                <c:pt idx="639">
                  <c:v>-0.16262586964483233</c:v>
                </c:pt>
                <c:pt idx="640">
                  <c:v>-0.1380670132424878</c:v>
                </c:pt>
                <c:pt idx="641">
                  <c:v>-0.13168652112201507</c:v>
                </c:pt>
                <c:pt idx="642">
                  <c:v>-0.14760030146484365</c:v>
                </c:pt>
                <c:pt idx="643">
                  <c:v>-0.1365787428580798</c:v>
                </c:pt>
                <c:pt idx="644">
                  <c:v>-0.11768860461045569</c:v>
                </c:pt>
                <c:pt idx="645">
                  <c:v>-0.10137141657660777</c:v>
                </c:pt>
                <c:pt idx="646">
                  <c:v>-8.7483266366474174E-2</c:v>
                </c:pt>
                <c:pt idx="647">
                  <c:v>-8.9295185786513173E-2</c:v>
                </c:pt>
                <c:pt idx="648">
                  <c:v>-8.294261529617078E-2</c:v>
                </c:pt>
                <c:pt idx="649">
                  <c:v>-7.1083541123709848E-2</c:v>
                </c:pt>
                <c:pt idx="650">
                  <c:v>-8.7534485003772949E-2</c:v>
                </c:pt>
                <c:pt idx="651">
                  <c:v>-7.6362957436140799E-2</c:v>
                </c:pt>
                <c:pt idx="652">
                  <c:v>-8.0787401132741785E-2</c:v>
                </c:pt>
                <c:pt idx="653">
                  <c:v>-6.9013643607183872E-2</c:v>
                </c:pt>
                <c:pt idx="654">
                  <c:v>-6.0010271530191638E-2</c:v>
                </c:pt>
                <c:pt idx="655">
                  <c:v>-5.0952691562013354E-2</c:v>
                </c:pt>
                <c:pt idx="656">
                  <c:v>-0.11006286985292242</c:v>
                </c:pt>
                <c:pt idx="657">
                  <c:v>-9.3514517485727033E-2</c:v>
                </c:pt>
                <c:pt idx="658">
                  <c:v>-0.10819860214430413</c:v>
                </c:pt>
                <c:pt idx="659">
                  <c:v>-9.212990430627134E-2</c:v>
                </c:pt>
                <c:pt idx="660">
                  <c:v>-9.5774489927347606E-2</c:v>
                </c:pt>
                <c:pt idx="661">
                  <c:v>-0.1076208912656072</c:v>
                </c:pt>
                <c:pt idx="662">
                  <c:v>-9.2385238738155989E-2</c:v>
                </c:pt>
                <c:pt idx="663">
                  <c:v>-8.435572498909058E-2</c:v>
                </c:pt>
                <c:pt idx="664">
                  <c:v>-7.9319134763075727E-2</c:v>
                </c:pt>
                <c:pt idx="665">
                  <c:v>-6.7363638037656659E-2</c:v>
                </c:pt>
                <c:pt idx="666">
                  <c:v>-5.7374904157597134E-2</c:v>
                </c:pt>
                <c:pt idx="667">
                  <c:v>-5.5506216992124068E-2</c:v>
                </c:pt>
                <c:pt idx="668">
                  <c:v>-5.0566115753235469E-2</c:v>
                </c:pt>
                <c:pt idx="669">
                  <c:v>-7.1658215084391852E-2</c:v>
                </c:pt>
                <c:pt idx="670">
                  <c:v>-6.3342150899314595E-2</c:v>
                </c:pt>
                <c:pt idx="671">
                  <c:v>-5.3757911632472059E-2</c:v>
                </c:pt>
                <c:pt idx="672">
                  <c:v>-4.594978782663009E-2</c:v>
                </c:pt>
                <c:pt idx="673">
                  <c:v>-4.5138031651181063E-2</c:v>
                </c:pt>
                <c:pt idx="674">
                  <c:v>-7.4752054732636769E-2</c:v>
                </c:pt>
                <c:pt idx="675">
                  <c:v>-7.6464456240465953E-2</c:v>
                </c:pt>
                <c:pt idx="676">
                  <c:v>-6.5309050504359242E-2</c:v>
                </c:pt>
                <c:pt idx="677">
                  <c:v>-5.6303657745241417E-2</c:v>
                </c:pt>
                <c:pt idx="678">
                  <c:v>-6.6195761132241557E-2</c:v>
                </c:pt>
                <c:pt idx="679">
                  <c:v>-5.6196259465639969E-2</c:v>
                </c:pt>
                <c:pt idx="680">
                  <c:v>-5.1244884842727031E-2</c:v>
                </c:pt>
                <c:pt idx="681">
                  <c:v>-6.3261996521009778E-2</c:v>
                </c:pt>
                <c:pt idx="682">
                  <c:v>-5.4717155088069819E-2</c:v>
                </c:pt>
                <c:pt idx="683">
                  <c:v>-4.8443835152150165E-2</c:v>
                </c:pt>
                <c:pt idx="684">
                  <c:v>-4.1341802460172418E-2</c:v>
                </c:pt>
                <c:pt idx="685">
                  <c:v>-3.5105781687338578E-2</c:v>
                </c:pt>
                <c:pt idx="686">
                  <c:v>-4.8620093394661619E-2</c:v>
                </c:pt>
                <c:pt idx="687">
                  <c:v>-4.1671859043943139E-2</c:v>
                </c:pt>
                <c:pt idx="688">
                  <c:v>-3.7533030868515262E-2</c:v>
                </c:pt>
                <c:pt idx="689">
                  <c:v>-6.3421477920657748E-2</c:v>
                </c:pt>
                <c:pt idx="690">
                  <c:v>-6.9432905218888868E-2</c:v>
                </c:pt>
                <c:pt idx="691">
                  <c:v>-8.2384736739474662E-2</c:v>
                </c:pt>
                <c:pt idx="692">
                  <c:v>-7.0100191260867903E-2</c:v>
                </c:pt>
                <c:pt idx="693">
                  <c:v>-8.6217646644017487E-2</c:v>
                </c:pt>
                <c:pt idx="694">
                  <c:v>-7.3288764112686422E-2</c:v>
                </c:pt>
                <c:pt idx="695">
                  <c:v>-6.3925340308427309E-2</c:v>
                </c:pt>
                <c:pt idx="696">
                  <c:v>-5.4455292953057045E-2</c:v>
                </c:pt>
                <c:pt idx="697">
                  <c:v>-4.6450761598342029E-2</c:v>
                </c:pt>
                <c:pt idx="698">
                  <c:v>-3.9417983960738479E-2</c:v>
                </c:pt>
                <c:pt idx="699">
                  <c:v>-3.3526949634109009E-2</c:v>
                </c:pt>
                <c:pt idx="700">
                  <c:v>-3.3722790689150975E-2</c:v>
                </c:pt>
                <c:pt idx="701">
                  <c:v>-5.0290432104110529E-2</c:v>
                </c:pt>
                <c:pt idx="702">
                  <c:v>-6.0608882535221613E-2</c:v>
                </c:pt>
                <c:pt idx="703">
                  <c:v>-7.6296265290527673E-2</c:v>
                </c:pt>
                <c:pt idx="704">
                  <c:v>-0.10220920759843247</c:v>
                </c:pt>
                <c:pt idx="705">
                  <c:v>-9.0923782360548627E-2</c:v>
                </c:pt>
                <c:pt idx="706">
                  <c:v>-8.1208021957375198E-2</c:v>
                </c:pt>
                <c:pt idx="707">
                  <c:v>-7.5251901392890591E-2</c:v>
                </c:pt>
                <c:pt idx="708">
                  <c:v>-6.4450653057086027E-2</c:v>
                </c:pt>
                <c:pt idx="709">
                  <c:v>-9.3916623780885222E-2</c:v>
                </c:pt>
                <c:pt idx="710">
                  <c:v>-8.1802896250692855E-2</c:v>
                </c:pt>
                <c:pt idx="711">
                  <c:v>-8.0676262654836309E-2</c:v>
                </c:pt>
                <c:pt idx="712">
                  <c:v>-8.8504616683026269E-2</c:v>
                </c:pt>
                <c:pt idx="713">
                  <c:v>-9.5498827386982177E-2</c:v>
                </c:pt>
                <c:pt idx="714">
                  <c:v>-0.10701836064802042</c:v>
                </c:pt>
                <c:pt idx="715">
                  <c:v>-9.5686241764448607E-2</c:v>
                </c:pt>
                <c:pt idx="716">
                  <c:v>-8.8090035379178547E-2</c:v>
                </c:pt>
                <c:pt idx="717">
                  <c:v>-8.8854773019090394E-2</c:v>
                </c:pt>
                <c:pt idx="718">
                  <c:v>-7.5652569400373418E-2</c:v>
                </c:pt>
                <c:pt idx="719">
                  <c:v>-6.4752301463073605E-2</c:v>
                </c:pt>
                <c:pt idx="720">
                  <c:v>-6.8651547211191058E-2</c:v>
                </c:pt>
                <c:pt idx="721">
                  <c:v>-6.4718088181783318E-2</c:v>
                </c:pt>
                <c:pt idx="722">
                  <c:v>-6.6111694707548865E-2</c:v>
                </c:pt>
                <c:pt idx="723">
                  <c:v>-8.2164449846661089E-2</c:v>
                </c:pt>
                <c:pt idx="724">
                  <c:v>-7.0156617776938893E-2</c:v>
                </c:pt>
                <c:pt idx="725">
                  <c:v>-7.8644655458306484E-2</c:v>
                </c:pt>
                <c:pt idx="726">
                  <c:v>-0.11476574771049429</c:v>
                </c:pt>
                <c:pt idx="727">
                  <c:v>-0.10622051645101037</c:v>
                </c:pt>
                <c:pt idx="728">
                  <c:v>-9.0192227812118539E-2</c:v>
                </c:pt>
                <c:pt idx="729">
                  <c:v>-8.2294473786235667E-2</c:v>
                </c:pt>
                <c:pt idx="730">
                  <c:v>-0.1206734578231565</c:v>
                </c:pt>
                <c:pt idx="731">
                  <c:v>-0.12099286050585159</c:v>
                </c:pt>
                <c:pt idx="732">
                  <c:v>-0.13328685742444599</c:v>
                </c:pt>
                <c:pt idx="733">
                  <c:v>-0.11311658487906344</c:v>
                </c:pt>
                <c:pt idx="734">
                  <c:v>-0.10634524931959384</c:v>
                </c:pt>
                <c:pt idx="735">
                  <c:v>-9.2464135969114417E-2</c:v>
                </c:pt>
                <c:pt idx="736">
                  <c:v>-0.11075231580614527</c:v>
                </c:pt>
                <c:pt idx="737">
                  <c:v>-0.11223214191973485</c:v>
                </c:pt>
                <c:pt idx="738">
                  <c:v>-0.10981088942240781</c:v>
                </c:pt>
                <c:pt idx="739">
                  <c:v>-0.10242077397859956</c:v>
                </c:pt>
                <c:pt idx="740">
                  <c:v>-8.9517742846665527E-2</c:v>
                </c:pt>
                <c:pt idx="741">
                  <c:v>-0.12179803661008176</c:v>
                </c:pt>
                <c:pt idx="742">
                  <c:v>-0.10336346915409828</c:v>
                </c:pt>
                <c:pt idx="743">
                  <c:v>-0.11453128084954288</c:v>
                </c:pt>
                <c:pt idx="744">
                  <c:v>-9.9097371079837918E-2</c:v>
                </c:pt>
                <c:pt idx="745">
                  <c:v>-8.4296353563727583E-2</c:v>
                </c:pt>
                <c:pt idx="746">
                  <c:v>-0.10192762568006723</c:v>
                </c:pt>
                <c:pt idx="747">
                  <c:v>-0.10275945791179869</c:v>
                </c:pt>
                <c:pt idx="748">
                  <c:v>-8.7232575778044136E-2</c:v>
                </c:pt>
                <c:pt idx="749">
                  <c:v>-7.4022950152538514E-2</c:v>
                </c:pt>
                <c:pt idx="750">
                  <c:v>-7.9162303799166708E-2</c:v>
                </c:pt>
                <c:pt idx="751">
                  <c:v>-0.10086638192570249</c:v>
                </c:pt>
                <c:pt idx="752">
                  <c:v>-0.10673265879309891</c:v>
                </c:pt>
                <c:pt idx="753">
                  <c:v>-0.11068437864916837</c:v>
                </c:pt>
                <c:pt idx="754">
                  <c:v>-9.5666917030087506E-2</c:v>
                </c:pt>
                <c:pt idx="755">
                  <c:v>-8.1176134178003997E-2</c:v>
                </c:pt>
                <c:pt idx="756">
                  <c:v>-8.8686024740637928E-2</c:v>
                </c:pt>
                <c:pt idx="757">
                  <c:v>-8.9682847624060841E-2</c:v>
                </c:pt>
                <c:pt idx="758">
                  <c:v>-7.8027855096316559E-2</c:v>
                </c:pt>
                <c:pt idx="759">
                  <c:v>-7.9455550360095578E-2</c:v>
                </c:pt>
                <c:pt idx="760">
                  <c:v>-6.7812890921818039E-2</c:v>
                </c:pt>
                <c:pt idx="761">
                  <c:v>-6.5715481915394572E-2</c:v>
                </c:pt>
                <c:pt idx="762">
                  <c:v>-0.10742819600469275</c:v>
                </c:pt>
                <c:pt idx="763">
                  <c:v>-9.2533089357596215E-2</c:v>
                </c:pt>
                <c:pt idx="764">
                  <c:v>-7.9685354854777068E-2</c:v>
                </c:pt>
                <c:pt idx="765">
                  <c:v>-6.8825051029157425E-2</c:v>
                </c:pt>
                <c:pt idx="766">
                  <c:v>-5.8501431142246228E-2</c:v>
                </c:pt>
                <c:pt idx="767">
                  <c:v>-6.6335153052238888E-2</c:v>
                </c:pt>
                <c:pt idx="768">
                  <c:v>-5.960807008953737E-2</c:v>
                </c:pt>
                <c:pt idx="769">
                  <c:v>-5.0582760352313572E-2</c:v>
                </c:pt>
                <c:pt idx="770">
                  <c:v>-7.6484008449354934E-2</c:v>
                </c:pt>
                <c:pt idx="771">
                  <c:v>-6.5084433707424436E-2</c:v>
                </c:pt>
                <c:pt idx="772">
                  <c:v>-5.5687833865629179E-2</c:v>
                </c:pt>
                <c:pt idx="773">
                  <c:v>-5.2013808821057786E-2</c:v>
                </c:pt>
                <c:pt idx="774">
                  <c:v>-5.1016846577825042E-2</c:v>
                </c:pt>
                <c:pt idx="775">
                  <c:v>-4.6548768550381731E-2</c:v>
                </c:pt>
                <c:pt idx="776">
                  <c:v>-3.9683650535303948E-2</c:v>
                </c:pt>
                <c:pt idx="777">
                  <c:v>-3.3845616055092793E-2</c:v>
                </c:pt>
                <c:pt idx="778">
                  <c:v>-3.8035787454455953E-2</c:v>
                </c:pt>
                <c:pt idx="779">
                  <c:v>-3.2307986683512535E-2</c:v>
                </c:pt>
                <c:pt idx="780">
                  <c:v>-2.7496236163089553E-2</c:v>
                </c:pt>
                <c:pt idx="781">
                  <c:v>-4.13759114095167E-2</c:v>
                </c:pt>
                <c:pt idx="782">
                  <c:v>-3.8963481168830479E-2</c:v>
                </c:pt>
                <c:pt idx="783">
                  <c:v>-3.4003617636451371E-2</c:v>
                </c:pt>
                <c:pt idx="784">
                  <c:v>-3.7894934062801512E-2</c:v>
                </c:pt>
                <c:pt idx="785">
                  <c:v>-3.4502443653839206E-2</c:v>
                </c:pt>
                <c:pt idx="786">
                  <c:v>-4.9320453774815143E-2</c:v>
                </c:pt>
                <c:pt idx="787">
                  <c:v>-5.8370112985352392E-2</c:v>
                </c:pt>
                <c:pt idx="788">
                  <c:v>-6.8210591854135014E-2</c:v>
                </c:pt>
                <c:pt idx="789">
                  <c:v>-5.888354370595851E-2</c:v>
                </c:pt>
                <c:pt idx="790">
                  <c:v>-5.1093005921107999E-2</c:v>
                </c:pt>
                <c:pt idx="791">
                  <c:v>-5.7277154623918955E-2</c:v>
                </c:pt>
                <c:pt idx="792">
                  <c:v>-6.2244731112279635E-2</c:v>
                </c:pt>
                <c:pt idx="793">
                  <c:v>-5.2820694619272746E-2</c:v>
                </c:pt>
                <c:pt idx="794">
                  <c:v>-4.4983483647580452E-2</c:v>
                </c:pt>
                <c:pt idx="795">
                  <c:v>-4.5837198932122125E-2</c:v>
                </c:pt>
                <c:pt idx="796">
                  <c:v>-4.0699889259307002E-2</c:v>
                </c:pt>
                <c:pt idx="797">
                  <c:v>-3.4661906816132258E-2</c:v>
                </c:pt>
                <c:pt idx="798">
                  <c:v>-3.5720869190495372E-2</c:v>
                </c:pt>
                <c:pt idx="799">
                  <c:v>-3.0310735143669113E-2</c:v>
                </c:pt>
                <c:pt idx="800">
                  <c:v>-2.6670950826412028E-2</c:v>
                </c:pt>
                <c:pt idx="801">
                  <c:v>-2.3774162667895553E-2</c:v>
                </c:pt>
                <c:pt idx="802">
                  <c:v>-2.1168523932350539E-2</c:v>
                </c:pt>
                <c:pt idx="803">
                  <c:v>-4.0321528081224793E-2</c:v>
                </c:pt>
                <c:pt idx="804">
                  <c:v>-3.9509787464206678E-2</c:v>
                </c:pt>
                <c:pt idx="805">
                  <c:v>-4.5177974044646005E-2</c:v>
                </c:pt>
                <c:pt idx="806">
                  <c:v>-5.1189211824737825E-2</c:v>
                </c:pt>
                <c:pt idx="807">
                  <c:v>-4.9233454521016497E-2</c:v>
                </c:pt>
                <c:pt idx="808">
                  <c:v>-4.1786333030137068E-2</c:v>
                </c:pt>
                <c:pt idx="809">
                  <c:v>-3.7542335186110228E-2</c:v>
                </c:pt>
                <c:pt idx="810">
                  <c:v>-3.199037839462756E-2</c:v>
                </c:pt>
                <c:pt idx="811">
                  <c:v>-5.5400375640005189E-2</c:v>
                </c:pt>
                <c:pt idx="812">
                  <c:v>-6.0071152319583633E-2</c:v>
                </c:pt>
                <c:pt idx="813">
                  <c:v>-5.0976332336269338E-2</c:v>
                </c:pt>
                <c:pt idx="814">
                  <c:v>-5.4493393832560459E-2</c:v>
                </c:pt>
                <c:pt idx="815">
                  <c:v>-5.9818643954246756E-2</c:v>
                </c:pt>
                <c:pt idx="816">
                  <c:v>-6.2699779016679044E-2</c:v>
                </c:pt>
                <c:pt idx="817">
                  <c:v>-5.3208520424235684E-2</c:v>
                </c:pt>
                <c:pt idx="818">
                  <c:v>-4.74067668905232E-2</c:v>
                </c:pt>
                <c:pt idx="819">
                  <c:v>-4.6517882830769068E-2</c:v>
                </c:pt>
                <c:pt idx="820">
                  <c:v>-4.0299617707616163E-2</c:v>
                </c:pt>
                <c:pt idx="821">
                  <c:v>-6.2987273169307717E-2</c:v>
                </c:pt>
                <c:pt idx="822">
                  <c:v>-5.9904753921504746E-2</c:v>
                </c:pt>
                <c:pt idx="823">
                  <c:v>-5.0837471410600202E-2</c:v>
                </c:pt>
                <c:pt idx="824">
                  <c:v>-4.6239466915639786E-2</c:v>
                </c:pt>
                <c:pt idx="825">
                  <c:v>-3.9430346445995253E-2</c:v>
                </c:pt>
                <c:pt idx="826">
                  <c:v>-3.3747915279765041E-2</c:v>
                </c:pt>
                <c:pt idx="827">
                  <c:v>-3.0669012753939993E-2</c:v>
                </c:pt>
                <c:pt idx="828">
                  <c:v>-2.8391521714199831E-2</c:v>
                </c:pt>
                <c:pt idx="829">
                  <c:v>-3.0692537425772964E-2</c:v>
                </c:pt>
                <c:pt idx="830">
                  <c:v>-2.6522169223275716E-2</c:v>
                </c:pt>
                <c:pt idx="831">
                  <c:v>-2.5920962545249379E-2</c:v>
                </c:pt>
                <c:pt idx="832">
                  <c:v>-2.2990324937973598E-2</c:v>
                </c:pt>
                <c:pt idx="833">
                  <c:v>-4.0841502897121941E-2</c:v>
                </c:pt>
                <c:pt idx="834">
                  <c:v>-4.6979575739167716E-2</c:v>
                </c:pt>
                <c:pt idx="835">
                  <c:v>-4.0474958545556883E-2</c:v>
                </c:pt>
                <c:pt idx="836">
                  <c:v>-3.5085003619287472E-2</c:v>
                </c:pt>
                <c:pt idx="837">
                  <c:v>-3.2164638196645556E-2</c:v>
                </c:pt>
                <c:pt idx="838">
                  <c:v>-3.0104051425780275E-2</c:v>
                </c:pt>
                <c:pt idx="839">
                  <c:v>-3.4069727857929777E-2</c:v>
                </c:pt>
                <c:pt idx="840">
                  <c:v>-3.0771620107529016E-2</c:v>
                </c:pt>
                <c:pt idx="841">
                  <c:v>-2.6891711346936936E-2</c:v>
                </c:pt>
                <c:pt idx="842">
                  <c:v>-5.6491652783971669E-2</c:v>
                </c:pt>
                <c:pt idx="843">
                  <c:v>-0.15025046366399653</c:v>
                </c:pt>
                <c:pt idx="844">
                  <c:v>-0.14597232100824981</c:v>
                </c:pt>
                <c:pt idx="845">
                  <c:v>-0.14157374188288857</c:v>
                </c:pt>
                <c:pt idx="846">
                  <c:v>-0.13694333537627029</c:v>
                </c:pt>
                <c:pt idx="847">
                  <c:v>-0.12748925370263439</c:v>
                </c:pt>
                <c:pt idx="848">
                  <c:v>-0.10844331709821245</c:v>
                </c:pt>
                <c:pt idx="849">
                  <c:v>-9.5825724066099821E-2</c:v>
                </c:pt>
                <c:pt idx="850">
                  <c:v>-8.392462703945619E-2</c:v>
                </c:pt>
                <c:pt idx="851">
                  <c:v>-7.1293254889965352E-2</c:v>
                </c:pt>
                <c:pt idx="852">
                  <c:v>-8.4452155951346392E-2</c:v>
                </c:pt>
                <c:pt idx="853">
                  <c:v>-7.2874020226050593E-2</c:v>
                </c:pt>
                <c:pt idx="854">
                  <c:v>-6.7549598334911906E-2</c:v>
                </c:pt>
                <c:pt idx="855">
                  <c:v>-5.7320135308031442E-2</c:v>
                </c:pt>
                <c:pt idx="856">
                  <c:v>-5.2750028089678748E-2</c:v>
                </c:pt>
                <c:pt idx="857">
                  <c:v>-4.4905854120395244E-2</c:v>
                </c:pt>
                <c:pt idx="858">
                  <c:v>-3.92135348288132E-2</c:v>
                </c:pt>
                <c:pt idx="859">
                  <c:v>-3.3740204938863129E-2</c:v>
                </c:pt>
                <c:pt idx="860">
                  <c:v>-3.3087780295219693E-2</c:v>
                </c:pt>
                <c:pt idx="861">
                  <c:v>-3.1412255796757868E-2</c:v>
                </c:pt>
                <c:pt idx="862">
                  <c:v>-3.1988724656980917E-2</c:v>
                </c:pt>
                <c:pt idx="863">
                  <c:v>-2.9573646715739223E-2</c:v>
                </c:pt>
                <c:pt idx="864">
                  <c:v>-2.5125499590610327E-2</c:v>
                </c:pt>
                <c:pt idx="865">
                  <c:v>-2.1824830406534053E-2</c:v>
                </c:pt>
                <c:pt idx="866">
                  <c:v>-1.9544414891665918E-2</c:v>
                </c:pt>
                <c:pt idx="867">
                  <c:v>-1.7756362841404673E-2</c:v>
                </c:pt>
                <c:pt idx="868">
                  <c:v>-1.585784682513464E-2</c:v>
                </c:pt>
                <c:pt idx="869">
                  <c:v>-2.8253156738814306E-2</c:v>
                </c:pt>
                <c:pt idx="870">
                  <c:v>-2.6890482476159196E-2</c:v>
                </c:pt>
                <c:pt idx="871">
                  <c:v>-2.2832327488405288E-2</c:v>
                </c:pt>
                <c:pt idx="872">
                  <c:v>-3.8567112844344303E-2</c:v>
                </c:pt>
                <c:pt idx="873">
                  <c:v>-3.291543248682776E-2</c:v>
                </c:pt>
                <c:pt idx="874">
                  <c:v>-2.7970841655990869E-2</c:v>
                </c:pt>
                <c:pt idx="875">
                  <c:v>-2.6230070365246726E-2</c:v>
                </c:pt>
                <c:pt idx="876">
                  <c:v>-2.8869569299948935E-2</c:v>
                </c:pt>
                <c:pt idx="877">
                  <c:v>-2.4692014997385024E-2</c:v>
                </c:pt>
                <c:pt idx="878">
                  <c:v>-2.3597722120271333E-2</c:v>
                </c:pt>
                <c:pt idx="879">
                  <c:v>-2.9297531604980526E-2</c:v>
                </c:pt>
                <c:pt idx="880">
                  <c:v>-2.5900186640008586E-2</c:v>
                </c:pt>
                <c:pt idx="881">
                  <c:v>-2.3582741624904698E-2</c:v>
                </c:pt>
                <c:pt idx="882">
                  <c:v>-2.0782299885226296E-2</c:v>
                </c:pt>
                <c:pt idx="883">
                  <c:v>-1.7770262249689955E-2</c:v>
                </c:pt>
                <c:pt idx="884">
                  <c:v>-1.6881225334382029E-2</c:v>
                </c:pt>
                <c:pt idx="885">
                  <c:v>-2.496980158681553E-2</c:v>
                </c:pt>
                <c:pt idx="886">
                  <c:v>-2.1844805795343005E-2</c:v>
                </c:pt>
                <c:pt idx="887">
                  <c:v>-1.952978704729642E-2</c:v>
                </c:pt>
                <c:pt idx="888">
                  <c:v>-2.6203805488969421E-2</c:v>
                </c:pt>
                <c:pt idx="889">
                  <c:v>-2.3501739259534592E-2</c:v>
                </c:pt>
                <c:pt idx="890">
                  <c:v>-2.1986788111478108E-2</c:v>
                </c:pt>
                <c:pt idx="891">
                  <c:v>-1.8657103929173899E-2</c:v>
                </c:pt>
                <c:pt idx="892">
                  <c:v>-2.273632928222977E-2</c:v>
                </c:pt>
                <c:pt idx="893">
                  <c:v>-2.2505904777195909E-2</c:v>
                </c:pt>
                <c:pt idx="894">
                  <c:v>-1.9105394560225284E-2</c:v>
                </c:pt>
                <c:pt idx="895">
                  <c:v>-1.8381045546545807E-2</c:v>
                </c:pt>
                <c:pt idx="896">
                  <c:v>-9.7897969674084429E-2</c:v>
                </c:pt>
                <c:pt idx="897">
                  <c:v>-0.1005856728428106</c:v>
                </c:pt>
                <c:pt idx="898">
                  <c:v>-0.10328430410342061</c:v>
                </c:pt>
                <c:pt idx="899">
                  <c:v>-8.7669508165917731E-2</c:v>
                </c:pt>
                <c:pt idx="900">
                  <c:v>-8.4065423108524995E-2</c:v>
                </c:pt>
                <c:pt idx="901">
                  <c:v>-7.2833286399772143E-2</c:v>
                </c:pt>
                <c:pt idx="902">
                  <c:v>-6.1801135279948925E-2</c:v>
                </c:pt>
                <c:pt idx="903">
                  <c:v>-5.245292557495862E-2</c:v>
                </c:pt>
                <c:pt idx="904">
                  <c:v>-6.1379632417548353E-2</c:v>
                </c:pt>
                <c:pt idx="905">
                  <c:v>-5.7867252898213588E-2</c:v>
                </c:pt>
                <c:pt idx="906">
                  <c:v>-5.3968378181730996E-2</c:v>
                </c:pt>
                <c:pt idx="907">
                  <c:v>-5.6782799544236595E-2</c:v>
                </c:pt>
                <c:pt idx="908">
                  <c:v>-5.4283800937673314E-2</c:v>
                </c:pt>
                <c:pt idx="909">
                  <c:v>-5.044312241364439E-2</c:v>
                </c:pt>
                <c:pt idx="910">
                  <c:v>-5.622344760496812E-2</c:v>
                </c:pt>
                <c:pt idx="911">
                  <c:v>-5.6836834763040439E-2</c:v>
                </c:pt>
                <c:pt idx="912">
                  <c:v>-4.9875299401159839E-2</c:v>
                </c:pt>
                <c:pt idx="913">
                  <c:v>-4.6529711248005312E-2</c:v>
                </c:pt>
                <c:pt idx="914">
                  <c:v>-4.2864510770180227E-2</c:v>
                </c:pt>
                <c:pt idx="915">
                  <c:v>-3.641999570838006E-2</c:v>
                </c:pt>
                <c:pt idx="916">
                  <c:v>-3.3405734463987147E-2</c:v>
                </c:pt>
                <c:pt idx="917">
                  <c:v>-3.3518238108866713E-2</c:v>
                </c:pt>
                <c:pt idx="918">
                  <c:v>-5.6443989143930361E-2</c:v>
                </c:pt>
                <c:pt idx="919">
                  <c:v>-4.8101600302216614E-2</c:v>
                </c:pt>
                <c:pt idx="920">
                  <c:v>-4.2566612990347398E-2</c:v>
                </c:pt>
                <c:pt idx="921">
                  <c:v>-3.6127492029283996E-2</c:v>
                </c:pt>
                <c:pt idx="922">
                  <c:v>-3.2863702827945901E-2</c:v>
                </c:pt>
                <c:pt idx="923">
                  <c:v>-3.6731053344952927E-2</c:v>
                </c:pt>
                <c:pt idx="924">
                  <c:v>-3.2311777392188948E-2</c:v>
                </c:pt>
                <c:pt idx="925">
                  <c:v>-2.7936277199136928E-2</c:v>
                </c:pt>
                <c:pt idx="926">
                  <c:v>-2.3706980239684275E-2</c:v>
                </c:pt>
                <c:pt idx="927">
                  <c:v>-2.7293068426679227E-2</c:v>
                </c:pt>
                <c:pt idx="928">
                  <c:v>-2.7490386588851966E-2</c:v>
                </c:pt>
                <c:pt idx="929">
                  <c:v>-2.4291958148188967E-2</c:v>
                </c:pt>
                <c:pt idx="930">
                  <c:v>-2.3673865579951582E-2</c:v>
                </c:pt>
                <c:pt idx="931">
                  <c:v>-2.3460302058112507E-2</c:v>
                </c:pt>
                <c:pt idx="932">
                  <c:v>-1.9912416964332727E-2</c:v>
                </c:pt>
                <c:pt idx="933">
                  <c:v>-3.1436255716662802E-2</c:v>
                </c:pt>
                <c:pt idx="934">
                  <c:v>-3.6892111335892E-2</c:v>
                </c:pt>
                <c:pt idx="935">
                  <c:v>-3.5745680420716082E-2</c:v>
                </c:pt>
                <c:pt idx="936">
                  <c:v>-3.1018031366857674E-2</c:v>
                </c:pt>
                <c:pt idx="937">
                  <c:v>-8.9519432084032957E-2</c:v>
                </c:pt>
                <c:pt idx="938">
                  <c:v>-7.7360663774995397E-2</c:v>
                </c:pt>
                <c:pt idx="939">
                  <c:v>-7.8408492697921592E-2</c:v>
                </c:pt>
                <c:pt idx="940">
                  <c:v>-6.6962932050801047E-2</c:v>
                </c:pt>
                <c:pt idx="941">
                  <c:v>-5.7080291628557531E-2</c:v>
                </c:pt>
                <c:pt idx="942">
                  <c:v>-4.8436320674710626E-2</c:v>
                </c:pt>
                <c:pt idx="943">
                  <c:v>-5.0307943952977711E-2</c:v>
                </c:pt>
                <c:pt idx="944">
                  <c:v>-4.3130471169439369E-2</c:v>
                </c:pt>
                <c:pt idx="945">
                  <c:v>-4.0855930135245841E-2</c:v>
                </c:pt>
                <c:pt idx="946">
                  <c:v>-3.5893746031498551E-2</c:v>
                </c:pt>
                <c:pt idx="947">
                  <c:v>-4.2011789806739704E-2</c:v>
                </c:pt>
                <c:pt idx="948">
                  <c:v>-3.6629153379346135E-2</c:v>
                </c:pt>
                <c:pt idx="949">
                  <c:v>-3.1239493854914827E-2</c:v>
                </c:pt>
                <c:pt idx="950">
                  <c:v>-3.0560301993710719E-2</c:v>
                </c:pt>
                <c:pt idx="951">
                  <c:v>-3.3060929671664629E-2</c:v>
                </c:pt>
                <c:pt idx="952">
                  <c:v>-2.8529992402048881E-2</c:v>
                </c:pt>
                <c:pt idx="953">
                  <c:v>-2.6325328779214972E-2</c:v>
                </c:pt>
                <c:pt idx="954">
                  <c:v>-2.6209080334526846E-2</c:v>
                </c:pt>
                <c:pt idx="955">
                  <c:v>-2.2292753745360994E-2</c:v>
                </c:pt>
                <c:pt idx="956">
                  <c:v>-2.9467809213986472E-2</c:v>
                </c:pt>
                <c:pt idx="957">
                  <c:v>-2.8300349178625978E-2</c:v>
                </c:pt>
                <c:pt idx="958">
                  <c:v>-5.6286166668243376E-2</c:v>
                </c:pt>
                <c:pt idx="959">
                  <c:v>-4.8492879975631273E-2</c:v>
                </c:pt>
                <c:pt idx="960">
                  <c:v>-4.7164033830935495E-2</c:v>
                </c:pt>
                <c:pt idx="961">
                  <c:v>-4.0264478283843927E-2</c:v>
                </c:pt>
                <c:pt idx="962">
                  <c:v>-4.2557698258650127E-2</c:v>
                </c:pt>
                <c:pt idx="963">
                  <c:v>-4.8068981029697519E-2</c:v>
                </c:pt>
                <c:pt idx="964">
                  <c:v>-4.348874392794954E-2</c:v>
                </c:pt>
                <c:pt idx="965">
                  <c:v>-3.7526476843019227E-2</c:v>
                </c:pt>
                <c:pt idx="966">
                  <c:v>-3.2755584125287687E-2</c:v>
                </c:pt>
                <c:pt idx="967">
                  <c:v>-3.1181442574553107E-2</c:v>
                </c:pt>
                <c:pt idx="968">
                  <c:v>-2.813847530390761E-2</c:v>
                </c:pt>
                <c:pt idx="969">
                  <c:v>-2.4955308437275281E-2</c:v>
                </c:pt>
                <c:pt idx="970">
                  <c:v>-2.1727975481215588E-2</c:v>
                </c:pt>
                <c:pt idx="971">
                  <c:v>-2.0404566911604135E-2</c:v>
                </c:pt>
                <c:pt idx="972">
                  <c:v>-3.6971063370236548E-2</c:v>
                </c:pt>
                <c:pt idx="973">
                  <c:v>-3.1391763959273254E-2</c:v>
                </c:pt>
                <c:pt idx="974">
                  <c:v>-3.22004055754226E-2</c:v>
                </c:pt>
                <c:pt idx="975">
                  <c:v>-4.276358019681948E-2</c:v>
                </c:pt>
                <c:pt idx="976">
                  <c:v>-4.2544597375867826E-2</c:v>
                </c:pt>
                <c:pt idx="977">
                  <c:v>-3.6224822702912468E-2</c:v>
                </c:pt>
                <c:pt idx="978">
                  <c:v>-3.363904524037041E-2</c:v>
                </c:pt>
                <c:pt idx="979">
                  <c:v>-3.1721272236230877E-2</c:v>
                </c:pt>
                <c:pt idx="980">
                  <c:v>-2.6916392047324097E-2</c:v>
                </c:pt>
                <c:pt idx="981">
                  <c:v>-2.5349994090483718E-2</c:v>
                </c:pt>
                <c:pt idx="982">
                  <c:v>-2.3076960533781846E-2</c:v>
                </c:pt>
                <c:pt idx="983">
                  <c:v>-2.0861224497768789E-2</c:v>
                </c:pt>
                <c:pt idx="984">
                  <c:v>-2.1146523467765636E-2</c:v>
                </c:pt>
                <c:pt idx="985">
                  <c:v>-1.9209962227240231E-2</c:v>
                </c:pt>
                <c:pt idx="986">
                  <c:v>-2.1536362692410993E-2</c:v>
                </c:pt>
                <c:pt idx="987">
                  <c:v>-2.2474007278468003E-2</c:v>
                </c:pt>
                <c:pt idx="988">
                  <c:v>-2.1762699078949576E-2</c:v>
                </c:pt>
                <c:pt idx="989">
                  <c:v>-3.1460396191448768E-2</c:v>
                </c:pt>
                <c:pt idx="990">
                  <c:v>-4.0999936832572928E-2</c:v>
                </c:pt>
                <c:pt idx="991">
                  <c:v>-3.4907263636393966E-2</c:v>
                </c:pt>
                <c:pt idx="992">
                  <c:v>-2.9811384455378731E-2</c:v>
                </c:pt>
                <c:pt idx="993">
                  <c:v>-3.4502755260550702E-2</c:v>
                </c:pt>
                <c:pt idx="994">
                  <c:v>-2.9480976137174479E-2</c:v>
                </c:pt>
                <c:pt idx="995">
                  <c:v>-2.5042377778318109E-2</c:v>
                </c:pt>
                <c:pt idx="996">
                  <c:v>-2.136475461792868E-2</c:v>
                </c:pt>
                <c:pt idx="997">
                  <c:v>-3.3505462464579375E-2</c:v>
                </c:pt>
                <c:pt idx="998">
                  <c:v>-2.9601254397662837E-2</c:v>
                </c:pt>
                <c:pt idx="999">
                  <c:v>-2.5133009173278976E-2</c:v>
                </c:pt>
                <c:pt idx="1000">
                  <c:v>-2.1496049755225548E-2</c:v>
                </c:pt>
                <c:pt idx="1001">
                  <c:v>-2.8831895235922375E-2</c:v>
                </c:pt>
                <c:pt idx="1002">
                  <c:v>-2.8116465017392116E-2</c:v>
                </c:pt>
                <c:pt idx="1003">
                  <c:v>-3.1368944545245844E-2</c:v>
                </c:pt>
                <c:pt idx="1004">
                  <c:v>-3.0836001689170014E-2</c:v>
                </c:pt>
                <c:pt idx="1005">
                  <c:v>-3.2563932435461754E-2</c:v>
                </c:pt>
                <c:pt idx="1006">
                  <c:v>-2.7835583968967858E-2</c:v>
                </c:pt>
                <c:pt idx="1007">
                  <c:v>-2.4504976383016613E-2</c:v>
                </c:pt>
                <c:pt idx="1008">
                  <c:v>-3.135786959443649E-2</c:v>
                </c:pt>
                <c:pt idx="1009">
                  <c:v>-2.6939815196049027E-2</c:v>
                </c:pt>
                <c:pt idx="1010">
                  <c:v>-2.2917278927615661E-2</c:v>
                </c:pt>
                <c:pt idx="1011">
                  <c:v>-2.0295042262221022E-2</c:v>
                </c:pt>
                <c:pt idx="1012">
                  <c:v>-1.7670515878788762E-2</c:v>
                </c:pt>
                <c:pt idx="1013">
                  <c:v>-1.8050424459327755E-2</c:v>
                </c:pt>
                <c:pt idx="1014">
                  <c:v>-5.5041848417048171E-2</c:v>
                </c:pt>
                <c:pt idx="1015">
                  <c:v>-5.2006907434319113E-2</c:v>
                </c:pt>
                <c:pt idx="1016">
                  <c:v>-4.4172872113386039E-2</c:v>
                </c:pt>
                <c:pt idx="1017">
                  <c:v>-3.9600262641196642E-2</c:v>
                </c:pt>
                <c:pt idx="1018">
                  <c:v>-3.5469469968931418E-2</c:v>
                </c:pt>
                <c:pt idx="1019">
                  <c:v>-3.1385752373514396E-2</c:v>
                </c:pt>
                <c:pt idx="1020">
                  <c:v>-2.681296247195028E-2</c:v>
                </c:pt>
                <c:pt idx="1021">
                  <c:v>-2.6057754684825178E-2</c:v>
                </c:pt>
                <c:pt idx="1022">
                  <c:v>-2.2156734679982217E-2</c:v>
                </c:pt>
                <c:pt idx="1023">
                  <c:v>-2.2957945969108266E-2</c:v>
                </c:pt>
                <c:pt idx="1024">
                  <c:v>-3.7860997281914575E-2</c:v>
                </c:pt>
                <c:pt idx="1025">
                  <c:v>-3.2745251204134102E-2</c:v>
                </c:pt>
                <c:pt idx="1026">
                  <c:v>-2.8252994243331352E-2</c:v>
                </c:pt>
                <c:pt idx="1027">
                  <c:v>-2.5220318116769506E-2</c:v>
                </c:pt>
                <c:pt idx="1028">
                  <c:v>-5.3105706772626007E-2</c:v>
                </c:pt>
                <c:pt idx="1029">
                  <c:v>-4.5657157990398101E-2</c:v>
                </c:pt>
                <c:pt idx="1030">
                  <c:v>-3.8960849160660171E-2</c:v>
                </c:pt>
                <c:pt idx="1031">
                  <c:v>-3.3222366766973342E-2</c:v>
                </c:pt>
                <c:pt idx="1032">
                  <c:v>-2.8468426138769438E-2</c:v>
                </c:pt>
                <c:pt idx="1033">
                  <c:v>-3.7075658701832923E-2</c:v>
                </c:pt>
                <c:pt idx="1034">
                  <c:v>-3.1741855651772941E-2</c:v>
                </c:pt>
                <c:pt idx="1035">
                  <c:v>-2.9250543874289089E-2</c:v>
                </c:pt>
                <c:pt idx="1036">
                  <c:v>-2.632983513849178E-2</c:v>
                </c:pt>
                <c:pt idx="1037">
                  <c:v>-2.3239548283801228E-2</c:v>
                </c:pt>
                <c:pt idx="1038">
                  <c:v>-1.9839266044435644E-2</c:v>
                </c:pt>
                <c:pt idx="1039">
                  <c:v>-2.0621251057265342E-2</c:v>
                </c:pt>
                <c:pt idx="1040">
                  <c:v>-1.9038831471100377E-2</c:v>
                </c:pt>
                <c:pt idx="1041">
                  <c:v>-1.647298218950138E-2</c:v>
                </c:pt>
                <c:pt idx="1042">
                  <c:v>-1.4231649486077472E-2</c:v>
                </c:pt>
                <c:pt idx="1043">
                  <c:v>-1.3305215833979004E-2</c:v>
                </c:pt>
                <c:pt idx="1044">
                  <c:v>-1.8506612930062942E-2</c:v>
                </c:pt>
                <c:pt idx="1045">
                  <c:v>-3.0905377471566627E-2</c:v>
                </c:pt>
                <c:pt idx="1046">
                  <c:v>-4.2453685598689055E-2</c:v>
                </c:pt>
                <c:pt idx="1047">
                  <c:v>-3.7759442539349805E-2</c:v>
                </c:pt>
                <c:pt idx="1048">
                  <c:v>-3.2730331496980743E-2</c:v>
                </c:pt>
                <c:pt idx="1049">
                  <c:v>-4.0376495278258595E-2</c:v>
                </c:pt>
                <c:pt idx="1050">
                  <c:v>-3.6246382597948212E-2</c:v>
                </c:pt>
                <c:pt idx="1051">
                  <c:v>-5.2033112997657616E-2</c:v>
                </c:pt>
                <c:pt idx="1052">
                  <c:v>-5.0080831398505894E-2</c:v>
                </c:pt>
                <c:pt idx="1053">
                  <c:v>-4.2537055425953409E-2</c:v>
                </c:pt>
                <c:pt idx="1054">
                  <c:v>-3.6157971429767052E-2</c:v>
                </c:pt>
                <c:pt idx="1055">
                  <c:v>-3.1573669527243449E-2</c:v>
                </c:pt>
                <c:pt idx="1056">
                  <c:v>-2.7625339970087433E-2</c:v>
                </c:pt>
                <c:pt idx="1057">
                  <c:v>-2.3892962885640211E-2</c:v>
                </c:pt>
                <c:pt idx="1058">
                  <c:v>-2.0869915669171513E-2</c:v>
                </c:pt>
                <c:pt idx="1059">
                  <c:v>-1.7853012265543994E-2</c:v>
                </c:pt>
                <c:pt idx="1060">
                  <c:v>-2.1949442267292136E-2</c:v>
                </c:pt>
                <c:pt idx="1061">
                  <c:v>-1.8625289761722712E-2</c:v>
                </c:pt>
                <c:pt idx="1062">
                  <c:v>-1.630072185076685E-2</c:v>
                </c:pt>
                <c:pt idx="1063">
                  <c:v>-1.4514190372491942E-2</c:v>
                </c:pt>
                <c:pt idx="1064">
                  <c:v>-1.4923583217499233E-2</c:v>
                </c:pt>
                <c:pt idx="1065">
                  <c:v>-1.3911310517607692E-2</c:v>
                </c:pt>
                <c:pt idx="1066">
                  <c:v>-2.1986755537538646E-2</c:v>
                </c:pt>
                <c:pt idx="1067">
                  <c:v>-1.8847153568644769E-2</c:v>
                </c:pt>
                <c:pt idx="1068">
                  <c:v>-7.3182604671857415E-2</c:v>
                </c:pt>
                <c:pt idx="1069">
                  <c:v>-6.3728454059521294E-2</c:v>
                </c:pt>
                <c:pt idx="1070">
                  <c:v>-6.0112283649679188E-2</c:v>
                </c:pt>
                <c:pt idx="1071">
                  <c:v>-5.4800771322585581E-2</c:v>
                </c:pt>
                <c:pt idx="1072">
                  <c:v>-4.7046149431242357E-2</c:v>
                </c:pt>
                <c:pt idx="1073">
                  <c:v>-4.1076244648775316E-2</c:v>
                </c:pt>
                <c:pt idx="1074">
                  <c:v>-3.8890761581803393E-2</c:v>
                </c:pt>
                <c:pt idx="1075">
                  <c:v>-3.3022033748451501E-2</c:v>
                </c:pt>
                <c:pt idx="1076">
                  <c:v>-2.84102653392759E-2</c:v>
                </c:pt>
                <c:pt idx="1077">
                  <c:v>-2.4173344103320345E-2</c:v>
                </c:pt>
                <c:pt idx="1078">
                  <c:v>-3.5816410394949968E-2</c:v>
                </c:pt>
                <c:pt idx="1079">
                  <c:v>-3.3632926887786213E-2</c:v>
                </c:pt>
                <c:pt idx="1080">
                  <c:v>-2.8929922687998492E-2</c:v>
                </c:pt>
                <c:pt idx="1081">
                  <c:v>-2.6831942000127899E-2</c:v>
                </c:pt>
                <c:pt idx="1082">
                  <c:v>-2.3570668017812612E-2</c:v>
                </c:pt>
                <c:pt idx="1083">
                  <c:v>-2.002739703338836E-2</c:v>
                </c:pt>
                <c:pt idx="1084">
                  <c:v>-1.7298470476371786E-2</c:v>
                </c:pt>
                <c:pt idx="1085">
                  <c:v>-1.5165139046289982E-2</c:v>
                </c:pt>
                <c:pt idx="1086">
                  <c:v>-2.1739972283423108E-2</c:v>
                </c:pt>
                <c:pt idx="1087">
                  <c:v>-1.8850283781399156E-2</c:v>
                </c:pt>
                <c:pt idx="1088">
                  <c:v>-1.8221317728578212E-2</c:v>
                </c:pt>
                <c:pt idx="1089">
                  <c:v>-1.5500663792402241E-2</c:v>
                </c:pt>
                <c:pt idx="1090">
                  <c:v>-3.4929552516862493E-2</c:v>
                </c:pt>
                <c:pt idx="1091">
                  <c:v>-3.9529496060317977E-2</c:v>
                </c:pt>
                <c:pt idx="1092">
                  <c:v>-3.3618529448250119E-2</c:v>
                </c:pt>
                <c:pt idx="1093">
                  <c:v>-2.8581415561491096E-2</c:v>
                </c:pt>
                <c:pt idx="1094">
                  <c:v>-2.5000578026957581E-2</c:v>
                </c:pt>
                <c:pt idx="1095">
                  <c:v>-2.1249272476448134E-2</c:v>
                </c:pt>
                <c:pt idx="1096">
                  <c:v>-3.6341200727609602E-2</c:v>
                </c:pt>
                <c:pt idx="1097">
                  <c:v>-4.6002649219788382E-2</c:v>
                </c:pt>
                <c:pt idx="1098">
                  <c:v>-5.1518491122819303E-2</c:v>
                </c:pt>
                <c:pt idx="1099">
                  <c:v>-4.4119829930362418E-2</c:v>
                </c:pt>
                <c:pt idx="1100">
                  <c:v>-3.8500053439295301E-2</c:v>
                </c:pt>
                <c:pt idx="1101">
                  <c:v>-3.315389251829761E-2</c:v>
                </c:pt>
                <c:pt idx="1102">
                  <c:v>-4.6195869963572805E-2</c:v>
                </c:pt>
                <c:pt idx="1103">
                  <c:v>-4.640962018094115E-2</c:v>
                </c:pt>
                <c:pt idx="1104">
                  <c:v>-3.9544976505784757E-2</c:v>
                </c:pt>
                <c:pt idx="1105">
                  <c:v>-3.3693170582030377E-2</c:v>
                </c:pt>
                <c:pt idx="1106">
                  <c:v>-4.0252415494360087E-2</c:v>
                </c:pt>
                <c:pt idx="1107">
                  <c:v>-3.4924705734147993E-2</c:v>
                </c:pt>
                <c:pt idx="1108">
                  <c:v>-3.4751143354307491E-2</c:v>
                </c:pt>
                <c:pt idx="1109">
                  <c:v>-2.9488042363092694E-2</c:v>
                </c:pt>
                <c:pt idx="1110">
                  <c:v>-2.5129369213862496E-2</c:v>
                </c:pt>
                <c:pt idx="1111">
                  <c:v>-2.9828423365214435E-2</c:v>
                </c:pt>
                <c:pt idx="1112">
                  <c:v>-2.5317324651729423E-2</c:v>
                </c:pt>
                <c:pt idx="1113">
                  <c:v>-2.1530156335308272E-2</c:v>
                </c:pt>
                <c:pt idx="1114">
                  <c:v>-1.8732832091595531E-2</c:v>
                </c:pt>
                <c:pt idx="1115">
                  <c:v>-1.9538888472126825E-2</c:v>
                </c:pt>
                <c:pt idx="1116">
                  <c:v>-1.6615759579633634E-2</c:v>
                </c:pt>
                <c:pt idx="1117">
                  <c:v>-1.4599004499533628E-2</c:v>
                </c:pt>
                <c:pt idx="1118">
                  <c:v>-1.3444160854576222E-2</c:v>
                </c:pt>
                <c:pt idx="1119">
                  <c:v>-1.1754863218435137E-2</c:v>
                </c:pt>
                <c:pt idx="1120">
                  <c:v>-1.3789750123537357E-2</c:v>
                </c:pt>
                <c:pt idx="1121">
                  <c:v>-1.185702844925926E-2</c:v>
                </c:pt>
                <c:pt idx="1122">
                  <c:v>-1.3177194457644323E-2</c:v>
                </c:pt>
                <c:pt idx="1123">
                  <c:v>-1.3378919459981339E-2</c:v>
                </c:pt>
                <c:pt idx="1124">
                  <c:v>-1.3035493498773748E-2</c:v>
                </c:pt>
                <c:pt idx="1125">
                  <c:v>-1.4522226546819273E-2</c:v>
                </c:pt>
                <c:pt idx="1126">
                  <c:v>-1.2403572498466653E-2</c:v>
                </c:pt>
                <c:pt idx="1127">
                  <c:v>-5.7724366402647727E-2</c:v>
                </c:pt>
                <c:pt idx="1128">
                  <c:v>-4.9231473500558884E-2</c:v>
                </c:pt>
                <c:pt idx="1129">
                  <c:v>-5.7083258187099035E-2</c:v>
                </c:pt>
                <c:pt idx="1130">
                  <c:v>-4.8475674217510888E-2</c:v>
                </c:pt>
                <c:pt idx="1131">
                  <c:v>-4.1502261677147746E-2</c:v>
                </c:pt>
                <c:pt idx="1132">
                  <c:v>-7.0055142700547857E-2</c:v>
                </c:pt>
                <c:pt idx="1133">
                  <c:v>-5.9872359514226127E-2</c:v>
                </c:pt>
                <c:pt idx="1134">
                  <c:v>-5.1004346777937144E-2</c:v>
                </c:pt>
                <c:pt idx="1135">
                  <c:v>-5.7928611124159854E-2</c:v>
                </c:pt>
                <c:pt idx="1136">
                  <c:v>-5.0965532556354838E-2</c:v>
                </c:pt>
                <c:pt idx="1137">
                  <c:v>-4.3994723706752087E-2</c:v>
                </c:pt>
                <c:pt idx="1138">
                  <c:v>-3.7893551946788416E-2</c:v>
                </c:pt>
                <c:pt idx="1139">
                  <c:v>-3.2209571961041794E-2</c:v>
                </c:pt>
                <c:pt idx="1140">
                  <c:v>-2.7526782674636024E-2</c:v>
                </c:pt>
                <c:pt idx="1141">
                  <c:v>-2.9442097711115479E-2</c:v>
                </c:pt>
                <c:pt idx="1142">
                  <c:v>-3.3425457887546972E-2</c:v>
                </c:pt>
                <c:pt idx="1143">
                  <c:v>-2.9391662219143154E-2</c:v>
                </c:pt>
                <c:pt idx="1144">
                  <c:v>-3.8633097024833044E-2</c:v>
                </c:pt>
                <c:pt idx="1145">
                  <c:v>-3.4964031824162155E-2</c:v>
                </c:pt>
                <c:pt idx="1146">
                  <c:v>-2.9676096331918152E-2</c:v>
                </c:pt>
                <c:pt idx="1147">
                  <c:v>-2.5840335724735663E-2</c:v>
                </c:pt>
                <c:pt idx="1148">
                  <c:v>-4.7349976741673065E-2</c:v>
                </c:pt>
                <c:pt idx="1149">
                  <c:v>-4.2251113053759594E-2</c:v>
                </c:pt>
                <c:pt idx="1150">
                  <c:v>-3.597210732392498E-2</c:v>
                </c:pt>
                <c:pt idx="1151">
                  <c:v>-3.0822950252983913E-2</c:v>
                </c:pt>
                <c:pt idx="1152">
                  <c:v>-2.7122831625493126E-2</c:v>
                </c:pt>
                <c:pt idx="1153">
                  <c:v>-2.370106322095419E-2</c:v>
                </c:pt>
                <c:pt idx="1154">
                  <c:v>-2.0569621569895401E-2</c:v>
                </c:pt>
                <c:pt idx="1155">
                  <c:v>-1.7627606198463579E-2</c:v>
                </c:pt>
                <c:pt idx="1156">
                  <c:v>-1.9098254144042131E-2</c:v>
                </c:pt>
                <c:pt idx="1157">
                  <c:v>-1.6400303343907421E-2</c:v>
                </c:pt>
                <c:pt idx="1158">
                  <c:v>-1.6390378899492183E-2</c:v>
                </c:pt>
                <c:pt idx="1159">
                  <c:v>-1.3910534432674454E-2</c:v>
                </c:pt>
                <c:pt idx="1160">
                  <c:v>-1.977820353421415E-2</c:v>
                </c:pt>
                <c:pt idx="1161">
                  <c:v>-1.7424413042876088E-2</c:v>
                </c:pt>
                <c:pt idx="1162">
                  <c:v>-2.0636213281407832E-2</c:v>
                </c:pt>
                <c:pt idx="1163">
                  <c:v>-2.3090166733664763E-2</c:v>
                </c:pt>
                <c:pt idx="1164">
                  <c:v>-2.1315328596224006E-2</c:v>
                </c:pt>
                <c:pt idx="1165">
                  <c:v>-1.872567078572826E-2</c:v>
                </c:pt>
                <c:pt idx="1166">
                  <c:v>-2.7072782778880533E-2</c:v>
                </c:pt>
                <c:pt idx="1167">
                  <c:v>-2.3349506471113397E-2</c:v>
                </c:pt>
                <c:pt idx="1168">
                  <c:v>-2.102312232110742E-2</c:v>
                </c:pt>
                <c:pt idx="1169">
                  <c:v>-1.9994025662355711E-2</c:v>
                </c:pt>
                <c:pt idx="1170">
                  <c:v>-1.8358306787929338E-2</c:v>
                </c:pt>
                <c:pt idx="1171">
                  <c:v>-1.690697414847828E-2</c:v>
                </c:pt>
                <c:pt idx="1172">
                  <c:v>-1.4747304815058721E-2</c:v>
                </c:pt>
                <c:pt idx="1173">
                  <c:v>-1.4246176165569162E-2</c:v>
                </c:pt>
                <c:pt idx="1174">
                  <c:v>-1.2368375710509121E-2</c:v>
                </c:pt>
                <c:pt idx="1175">
                  <c:v>-1.0885193830299044E-2</c:v>
                </c:pt>
                <c:pt idx="1176">
                  <c:v>-9.3241974584838926E-3</c:v>
                </c:pt>
                <c:pt idx="1177">
                  <c:v>-2.1385080672278282E-2</c:v>
                </c:pt>
                <c:pt idx="1178">
                  <c:v>-2.3861134078283702E-2</c:v>
                </c:pt>
                <c:pt idx="1179">
                  <c:v>-2.1202271384802979E-2</c:v>
                </c:pt>
                <c:pt idx="1180">
                  <c:v>-2.5587168020498142E-2</c:v>
                </c:pt>
                <c:pt idx="1181">
                  <c:v>-2.2267294517120204E-2</c:v>
                </c:pt>
                <c:pt idx="1182">
                  <c:v>-3.6560659308204367E-2</c:v>
                </c:pt>
                <c:pt idx="1183">
                  <c:v>-3.3426723904831521E-2</c:v>
                </c:pt>
                <c:pt idx="1184">
                  <c:v>-2.860057790168798E-2</c:v>
                </c:pt>
                <c:pt idx="1185">
                  <c:v>-2.5046052451327922E-2</c:v>
                </c:pt>
                <c:pt idx="1186">
                  <c:v>-2.1265139325374084E-2</c:v>
                </c:pt>
                <c:pt idx="1187">
                  <c:v>-2.16907389128644E-2</c:v>
                </c:pt>
                <c:pt idx="1188">
                  <c:v>-1.9058051447620798E-2</c:v>
                </c:pt>
                <c:pt idx="1189">
                  <c:v>-1.6188041785229004E-2</c:v>
                </c:pt>
                <c:pt idx="1190">
                  <c:v>-1.4839609471951763E-2</c:v>
                </c:pt>
                <c:pt idx="1191">
                  <c:v>-1.9334170040381581E-2</c:v>
                </c:pt>
                <c:pt idx="1192">
                  <c:v>-1.6773915894381767E-2</c:v>
                </c:pt>
                <c:pt idx="1193">
                  <c:v>-1.4738698383298761E-2</c:v>
                </c:pt>
                <c:pt idx="1194">
                  <c:v>-1.5408580019390895E-2</c:v>
                </c:pt>
                <c:pt idx="1195">
                  <c:v>-2.5222854391417724E-2</c:v>
                </c:pt>
                <c:pt idx="1196">
                  <c:v>-3.8310658902953855E-2</c:v>
                </c:pt>
                <c:pt idx="1197">
                  <c:v>-3.4081023604015027E-2</c:v>
                </c:pt>
                <c:pt idx="1198">
                  <c:v>-2.9341441794908364E-2</c:v>
                </c:pt>
                <c:pt idx="1199">
                  <c:v>-3.5552829546210439E-2</c:v>
                </c:pt>
                <c:pt idx="1200">
                  <c:v>-3.0308723632080977E-2</c:v>
                </c:pt>
                <c:pt idx="1201">
                  <c:v>-2.693204466870127E-2</c:v>
                </c:pt>
                <c:pt idx="1202">
                  <c:v>-2.2901518025392434E-2</c:v>
                </c:pt>
                <c:pt idx="1203">
                  <c:v>-4.2814101177926049E-2</c:v>
                </c:pt>
                <c:pt idx="1204">
                  <c:v>-3.6357400968062989E-2</c:v>
                </c:pt>
                <c:pt idx="1205">
                  <c:v>-4.4273409503970677E-2</c:v>
                </c:pt>
                <c:pt idx="1206">
                  <c:v>-3.8386615393609415E-2</c:v>
                </c:pt>
                <c:pt idx="1207">
                  <c:v>-3.2828891340745521E-2</c:v>
                </c:pt>
                <c:pt idx="1208">
                  <c:v>-3.1442858005295352E-2</c:v>
                </c:pt>
                <c:pt idx="1209">
                  <c:v>-2.6683847343648332E-2</c:v>
                </c:pt>
                <c:pt idx="1210">
                  <c:v>-2.5349120935660815E-2</c:v>
                </c:pt>
                <c:pt idx="1211">
                  <c:v>-3.0324548989892924E-2</c:v>
                </c:pt>
                <c:pt idx="1212">
                  <c:v>-2.858251354369374E-2</c:v>
                </c:pt>
                <c:pt idx="1213">
                  <c:v>-2.499020244599158E-2</c:v>
                </c:pt>
                <c:pt idx="1214">
                  <c:v>-2.1284702850908672E-2</c:v>
                </c:pt>
                <c:pt idx="1215">
                  <c:v>-2.4048551836673253E-2</c:v>
                </c:pt>
                <c:pt idx="1216">
                  <c:v>-4.0323269525177806E-2</c:v>
                </c:pt>
                <c:pt idx="1217">
                  <c:v>-4.0052145292859692E-2</c:v>
                </c:pt>
                <c:pt idx="1218">
                  <c:v>-3.6244131728527543E-2</c:v>
                </c:pt>
                <c:pt idx="1219">
                  <c:v>-3.0922701882202783E-2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7516-4ED0-9936-A21FC45C2193}"/>
            </c:ext>
          </c:extLst>
        </c:ser>
        <c:ser>
          <c:idx val="2"/>
          <c:order val="2"/>
          <c:tx>
            <c:v>Overshootings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diamond"/>
            <c:size val="8"/>
            <c:spPr>
              <a:solidFill>
                <a:srgbClr val="FF0066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[0]!dates_graph</c:f>
              <c:numCache>
                <c:formatCode>dd-mm-yy</c:formatCode>
                <c:ptCount val="1220"/>
                <c:pt idx="0">
                  <c:v>41326</c:v>
                </c:pt>
                <c:pt idx="1">
                  <c:v>41327</c:v>
                </c:pt>
                <c:pt idx="2">
                  <c:v>41330</c:v>
                </c:pt>
                <c:pt idx="3">
                  <c:v>41331</c:v>
                </c:pt>
                <c:pt idx="4">
                  <c:v>41332</c:v>
                </c:pt>
                <c:pt idx="5">
                  <c:v>41333</c:v>
                </c:pt>
                <c:pt idx="6">
                  <c:v>41334</c:v>
                </c:pt>
                <c:pt idx="7">
                  <c:v>41337</c:v>
                </c:pt>
                <c:pt idx="8">
                  <c:v>41338</c:v>
                </c:pt>
                <c:pt idx="9">
                  <c:v>41339</c:v>
                </c:pt>
                <c:pt idx="10">
                  <c:v>41340</c:v>
                </c:pt>
                <c:pt idx="11">
                  <c:v>41341</c:v>
                </c:pt>
                <c:pt idx="12">
                  <c:v>41344</c:v>
                </c:pt>
                <c:pt idx="13">
                  <c:v>41345</c:v>
                </c:pt>
                <c:pt idx="14">
                  <c:v>41346</c:v>
                </c:pt>
                <c:pt idx="15">
                  <c:v>41347</c:v>
                </c:pt>
                <c:pt idx="16">
                  <c:v>41348</c:v>
                </c:pt>
                <c:pt idx="17">
                  <c:v>41351</c:v>
                </c:pt>
                <c:pt idx="18">
                  <c:v>41352</c:v>
                </c:pt>
                <c:pt idx="19">
                  <c:v>41353</c:v>
                </c:pt>
                <c:pt idx="20">
                  <c:v>41354</c:v>
                </c:pt>
                <c:pt idx="21">
                  <c:v>41355</c:v>
                </c:pt>
                <c:pt idx="22">
                  <c:v>41358</c:v>
                </c:pt>
                <c:pt idx="23">
                  <c:v>41359</c:v>
                </c:pt>
                <c:pt idx="24">
                  <c:v>41360</c:v>
                </c:pt>
                <c:pt idx="25">
                  <c:v>41361</c:v>
                </c:pt>
                <c:pt idx="26">
                  <c:v>41365</c:v>
                </c:pt>
                <c:pt idx="27">
                  <c:v>41366</c:v>
                </c:pt>
                <c:pt idx="28">
                  <c:v>41367</c:v>
                </c:pt>
                <c:pt idx="29">
                  <c:v>41368</c:v>
                </c:pt>
                <c:pt idx="30">
                  <c:v>41369</c:v>
                </c:pt>
                <c:pt idx="31">
                  <c:v>41372</c:v>
                </c:pt>
                <c:pt idx="32">
                  <c:v>41373</c:v>
                </c:pt>
                <c:pt idx="33">
                  <c:v>41374</c:v>
                </c:pt>
                <c:pt idx="34">
                  <c:v>41375</c:v>
                </c:pt>
                <c:pt idx="35">
                  <c:v>41376</c:v>
                </c:pt>
                <c:pt idx="36">
                  <c:v>41379</c:v>
                </c:pt>
                <c:pt idx="37">
                  <c:v>41380</c:v>
                </c:pt>
                <c:pt idx="38">
                  <c:v>41381</c:v>
                </c:pt>
                <c:pt idx="39">
                  <c:v>41382</c:v>
                </c:pt>
                <c:pt idx="40">
                  <c:v>41383</c:v>
                </c:pt>
                <c:pt idx="41">
                  <c:v>41386</c:v>
                </c:pt>
                <c:pt idx="42">
                  <c:v>41387</c:v>
                </c:pt>
                <c:pt idx="43">
                  <c:v>41388</c:v>
                </c:pt>
                <c:pt idx="44">
                  <c:v>41389</c:v>
                </c:pt>
                <c:pt idx="45">
                  <c:v>41390</c:v>
                </c:pt>
                <c:pt idx="46">
                  <c:v>41393</c:v>
                </c:pt>
                <c:pt idx="47">
                  <c:v>41394</c:v>
                </c:pt>
                <c:pt idx="48">
                  <c:v>41395</c:v>
                </c:pt>
                <c:pt idx="49">
                  <c:v>41396</c:v>
                </c:pt>
                <c:pt idx="50">
                  <c:v>41397</c:v>
                </c:pt>
                <c:pt idx="51">
                  <c:v>41400</c:v>
                </c:pt>
                <c:pt idx="52">
                  <c:v>41401</c:v>
                </c:pt>
                <c:pt idx="53">
                  <c:v>41402</c:v>
                </c:pt>
                <c:pt idx="54">
                  <c:v>41403</c:v>
                </c:pt>
                <c:pt idx="55">
                  <c:v>41404</c:v>
                </c:pt>
                <c:pt idx="56">
                  <c:v>41407</c:v>
                </c:pt>
                <c:pt idx="57">
                  <c:v>41408</c:v>
                </c:pt>
                <c:pt idx="58">
                  <c:v>41409</c:v>
                </c:pt>
                <c:pt idx="59">
                  <c:v>41410</c:v>
                </c:pt>
                <c:pt idx="60">
                  <c:v>41411</c:v>
                </c:pt>
                <c:pt idx="61">
                  <c:v>41414</c:v>
                </c:pt>
                <c:pt idx="62">
                  <c:v>41415</c:v>
                </c:pt>
                <c:pt idx="63">
                  <c:v>41416</c:v>
                </c:pt>
                <c:pt idx="64">
                  <c:v>41417</c:v>
                </c:pt>
                <c:pt idx="65">
                  <c:v>41418</c:v>
                </c:pt>
                <c:pt idx="66">
                  <c:v>41422</c:v>
                </c:pt>
                <c:pt idx="67">
                  <c:v>41423</c:v>
                </c:pt>
                <c:pt idx="68">
                  <c:v>41424</c:v>
                </c:pt>
                <c:pt idx="69">
                  <c:v>41425</c:v>
                </c:pt>
                <c:pt idx="70">
                  <c:v>41428</c:v>
                </c:pt>
                <c:pt idx="71">
                  <c:v>41429</c:v>
                </c:pt>
                <c:pt idx="72">
                  <c:v>41430</c:v>
                </c:pt>
                <c:pt idx="73">
                  <c:v>41431</c:v>
                </c:pt>
                <c:pt idx="74">
                  <c:v>41432</c:v>
                </c:pt>
                <c:pt idx="75">
                  <c:v>41435</c:v>
                </c:pt>
                <c:pt idx="76">
                  <c:v>41436</c:v>
                </c:pt>
                <c:pt idx="77">
                  <c:v>41437</c:v>
                </c:pt>
                <c:pt idx="78">
                  <c:v>41438</c:v>
                </c:pt>
                <c:pt idx="79">
                  <c:v>41439</c:v>
                </c:pt>
                <c:pt idx="80">
                  <c:v>41442</c:v>
                </c:pt>
                <c:pt idx="81">
                  <c:v>41443</c:v>
                </c:pt>
                <c:pt idx="82">
                  <c:v>41444</c:v>
                </c:pt>
                <c:pt idx="83">
                  <c:v>41445</c:v>
                </c:pt>
                <c:pt idx="84">
                  <c:v>41446</c:v>
                </c:pt>
                <c:pt idx="85">
                  <c:v>41449</c:v>
                </c:pt>
                <c:pt idx="86">
                  <c:v>41450</c:v>
                </c:pt>
                <c:pt idx="87">
                  <c:v>41451</c:v>
                </c:pt>
                <c:pt idx="88">
                  <c:v>41452</c:v>
                </c:pt>
                <c:pt idx="89">
                  <c:v>41453</c:v>
                </c:pt>
                <c:pt idx="90">
                  <c:v>41456</c:v>
                </c:pt>
                <c:pt idx="91">
                  <c:v>41457</c:v>
                </c:pt>
                <c:pt idx="92">
                  <c:v>41458</c:v>
                </c:pt>
                <c:pt idx="93">
                  <c:v>41460</c:v>
                </c:pt>
                <c:pt idx="94">
                  <c:v>41463</c:v>
                </c:pt>
                <c:pt idx="95">
                  <c:v>41464</c:v>
                </c:pt>
                <c:pt idx="96">
                  <c:v>41465</c:v>
                </c:pt>
                <c:pt idx="97">
                  <c:v>41466</c:v>
                </c:pt>
                <c:pt idx="98">
                  <c:v>41467</c:v>
                </c:pt>
                <c:pt idx="99">
                  <c:v>41470</c:v>
                </c:pt>
                <c:pt idx="100">
                  <c:v>41471</c:v>
                </c:pt>
                <c:pt idx="101">
                  <c:v>41472</c:v>
                </c:pt>
                <c:pt idx="102">
                  <c:v>41473</c:v>
                </c:pt>
                <c:pt idx="103">
                  <c:v>41474</c:v>
                </c:pt>
                <c:pt idx="104">
                  <c:v>41477</c:v>
                </c:pt>
                <c:pt idx="105">
                  <c:v>41478</c:v>
                </c:pt>
                <c:pt idx="106">
                  <c:v>41479</c:v>
                </c:pt>
                <c:pt idx="107">
                  <c:v>41480</c:v>
                </c:pt>
                <c:pt idx="108">
                  <c:v>41481</c:v>
                </c:pt>
                <c:pt idx="109">
                  <c:v>41484</c:v>
                </c:pt>
                <c:pt idx="110">
                  <c:v>41485</c:v>
                </c:pt>
                <c:pt idx="111">
                  <c:v>41486</c:v>
                </c:pt>
                <c:pt idx="112">
                  <c:v>41487</c:v>
                </c:pt>
                <c:pt idx="113">
                  <c:v>41488</c:v>
                </c:pt>
                <c:pt idx="114">
                  <c:v>41491</c:v>
                </c:pt>
                <c:pt idx="115">
                  <c:v>41492</c:v>
                </c:pt>
                <c:pt idx="116">
                  <c:v>41493</c:v>
                </c:pt>
                <c:pt idx="117">
                  <c:v>41494</c:v>
                </c:pt>
                <c:pt idx="118">
                  <c:v>41495</c:v>
                </c:pt>
                <c:pt idx="119">
                  <c:v>41498</c:v>
                </c:pt>
                <c:pt idx="120">
                  <c:v>41499</c:v>
                </c:pt>
                <c:pt idx="121">
                  <c:v>41500</c:v>
                </c:pt>
                <c:pt idx="122">
                  <c:v>41501</c:v>
                </c:pt>
                <c:pt idx="123">
                  <c:v>41502</c:v>
                </c:pt>
                <c:pt idx="124">
                  <c:v>41505</c:v>
                </c:pt>
                <c:pt idx="125">
                  <c:v>41506</c:v>
                </c:pt>
                <c:pt idx="126">
                  <c:v>41507</c:v>
                </c:pt>
                <c:pt idx="127">
                  <c:v>41508</c:v>
                </c:pt>
                <c:pt idx="128">
                  <c:v>41509</c:v>
                </c:pt>
                <c:pt idx="129">
                  <c:v>41512</c:v>
                </c:pt>
                <c:pt idx="130">
                  <c:v>41513</c:v>
                </c:pt>
                <c:pt idx="131">
                  <c:v>41514</c:v>
                </c:pt>
                <c:pt idx="132">
                  <c:v>41515</c:v>
                </c:pt>
                <c:pt idx="133">
                  <c:v>41516</c:v>
                </c:pt>
                <c:pt idx="134">
                  <c:v>41520</c:v>
                </c:pt>
                <c:pt idx="135">
                  <c:v>41521</c:v>
                </c:pt>
                <c:pt idx="136">
                  <c:v>41522</c:v>
                </c:pt>
                <c:pt idx="137">
                  <c:v>41523</c:v>
                </c:pt>
                <c:pt idx="138">
                  <c:v>41526</c:v>
                </c:pt>
                <c:pt idx="139">
                  <c:v>41527</c:v>
                </c:pt>
                <c:pt idx="140">
                  <c:v>41528</c:v>
                </c:pt>
                <c:pt idx="141">
                  <c:v>41529</c:v>
                </c:pt>
                <c:pt idx="142">
                  <c:v>41530</c:v>
                </c:pt>
                <c:pt idx="143">
                  <c:v>41533</c:v>
                </c:pt>
                <c:pt idx="144">
                  <c:v>41534</c:v>
                </c:pt>
                <c:pt idx="145">
                  <c:v>41535</c:v>
                </c:pt>
                <c:pt idx="146">
                  <c:v>41536</c:v>
                </c:pt>
                <c:pt idx="147">
                  <c:v>41537</c:v>
                </c:pt>
                <c:pt idx="148">
                  <c:v>41540</c:v>
                </c:pt>
                <c:pt idx="149">
                  <c:v>41541</c:v>
                </c:pt>
                <c:pt idx="150">
                  <c:v>41542</c:v>
                </c:pt>
                <c:pt idx="151">
                  <c:v>41543</c:v>
                </c:pt>
                <c:pt idx="152">
                  <c:v>41544</c:v>
                </c:pt>
                <c:pt idx="153">
                  <c:v>41547</c:v>
                </c:pt>
                <c:pt idx="154">
                  <c:v>41548</c:v>
                </c:pt>
                <c:pt idx="155">
                  <c:v>41549</c:v>
                </c:pt>
                <c:pt idx="156">
                  <c:v>41550</c:v>
                </c:pt>
                <c:pt idx="157">
                  <c:v>41551</c:v>
                </c:pt>
                <c:pt idx="158">
                  <c:v>41554</c:v>
                </c:pt>
                <c:pt idx="159">
                  <c:v>41555</c:v>
                </c:pt>
                <c:pt idx="160">
                  <c:v>41556</c:v>
                </c:pt>
                <c:pt idx="161">
                  <c:v>41557</c:v>
                </c:pt>
                <c:pt idx="162">
                  <c:v>41558</c:v>
                </c:pt>
                <c:pt idx="163">
                  <c:v>41561</c:v>
                </c:pt>
                <c:pt idx="164">
                  <c:v>41562</c:v>
                </c:pt>
                <c:pt idx="165">
                  <c:v>41563</c:v>
                </c:pt>
                <c:pt idx="166">
                  <c:v>41564</c:v>
                </c:pt>
                <c:pt idx="167">
                  <c:v>41565</c:v>
                </c:pt>
                <c:pt idx="168">
                  <c:v>41568</c:v>
                </c:pt>
                <c:pt idx="169">
                  <c:v>41569</c:v>
                </c:pt>
                <c:pt idx="170">
                  <c:v>41570</c:v>
                </c:pt>
                <c:pt idx="171">
                  <c:v>41571</c:v>
                </c:pt>
                <c:pt idx="172">
                  <c:v>41572</c:v>
                </c:pt>
                <c:pt idx="173">
                  <c:v>41575</c:v>
                </c:pt>
                <c:pt idx="174">
                  <c:v>41576</c:v>
                </c:pt>
                <c:pt idx="175">
                  <c:v>41577</c:v>
                </c:pt>
                <c:pt idx="176">
                  <c:v>41578</c:v>
                </c:pt>
                <c:pt idx="177">
                  <c:v>41579</c:v>
                </c:pt>
                <c:pt idx="178">
                  <c:v>41582</c:v>
                </c:pt>
                <c:pt idx="179">
                  <c:v>41583</c:v>
                </c:pt>
                <c:pt idx="180">
                  <c:v>41584</c:v>
                </c:pt>
                <c:pt idx="181">
                  <c:v>41585</c:v>
                </c:pt>
                <c:pt idx="182">
                  <c:v>41586</c:v>
                </c:pt>
                <c:pt idx="183">
                  <c:v>41589</c:v>
                </c:pt>
                <c:pt idx="184">
                  <c:v>41590</c:v>
                </c:pt>
                <c:pt idx="185">
                  <c:v>41591</c:v>
                </c:pt>
                <c:pt idx="186">
                  <c:v>41592</c:v>
                </c:pt>
                <c:pt idx="187">
                  <c:v>41593</c:v>
                </c:pt>
                <c:pt idx="188">
                  <c:v>41596</c:v>
                </c:pt>
                <c:pt idx="189">
                  <c:v>41597</c:v>
                </c:pt>
                <c:pt idx="190">
                  <c:v>41598</c:v>
                </c:pt>
                <c:pt idx="191">
                  <c:v>41599</c:v>
                </c:pt>
                <c:pt idx="192">
                  <c:v>41600</c:v>
                </c:pt>
                <c:pt idx="193">
                  <c:v>41603</c:v>
                </c:pt>
                <c:pt idx="194">
                  <c:v>41604</c:v>
                </c:pt>
                <c:pt idx="195">
                  <c:v>41605</c:v>
                </c:pt>
                <c:pt idx="196">
                  <c:v>41607</c:v>
                </c:pt>
                <c:pt idx="197">
                  <c:v>41610</c:v>
                </c:pt>
                <c:pt idx="198">
                  <c:v>41611</c:v>
                </c:pt>
                <c:pt idx="199">
                  <c:v>41612</c:v>
                </c:pt>
                <c:pt idx="200">
                  <c:v>41613</c:v>
                </c:pt>
                <c:pt idx="201">
                  <c:v>41614</c:v>
                </c:pt>
                <c:pt idx="202">
                  <c:v>41617</c:v>
                </c:pt>
                <c:pt idx="203">
                  <c:v>41618</c:v>
                </c:pt>
                <c:pt idx="204">
                  <c:v>41619</c:v>
                </c:pt>
                <c:pt idx="205">
                  <c:v>41620</c:v>
                </c:pt>
                <c:pt idx="206">
                  <c:v>41621</c:v>
                </c:pt>
                <c:pt idx="207">
                  <c:v>41624</c:v>
                </c:pt>
                <c:pt idx="208">
                  <c:v>41625</c:v>
                </c:pt>
                <c:pt idx="209">
                  <c:v>41626</c:v>
                </c:pt>
                <c:pt idx="210">
                  <c:v>41627</c:v>
                </c:pt>
                <c:pt idx="211">
                  <c:v>41628</c:v>
                </c:pt>
                <c:pt idx="212">
                  <c:v>41631</c:v>
                </c:pt>
                <c:pt idx="213">
                  <c:v>41632</c:v>
                </c:pt>
                <c:pt idx="214">
                  <c:v>41634</c:v>
                </c:pt>
                <c:pt idx="215">
                  <c:v>41635</c:v>
                </c:pt>
                <c:pt idx="216">
                  <c:v>41638</c:v>
                </c:pt>
                <c:pt idx="217">
                  <c:v>41639</c:v>
                </c:pt>
                <c:pt idx="218">
                  <c:v>41641</c:v>
                </c:pt>
                <c:pt idx="219">
                  <c:v>41642</c:v>
                </c:pt>
                <c:pt idx="220">
                  <c:v>41645</c:v>
                </c:pt>
                <c:pt idx="221">
                  <c:v>41646</c:v>
                </c:pt>
                <c:pt idx="222">
                  <c:v>41647</c:v>
                </c:pt>
                <c:pt idx="223">
                  <c:v>41648</c:v>
                </c:pt>
                <c:pt idx="224">
                  <c:v>41649</c:v>
                </c:pt>
                <c:pt idx="225">
                  <c:v>41652</c:v>
                </c:pt>
                <c:pt idx="226">
                  <c:v>41653</c:v>
                </c:pt>
                <c:pt idx="227">
                  <c:v>41654</c:v>
                </c:pt>
                <c:pt idx="228">
                  <c:v>41655</c:v>
                </c:pt>
                <c:pt idx="229">
                  <c:v>41656</c:v>
                </c:pt>
                <c:pt idx="230">
                  <c:v>41660</c:v>
                </c:pt>
                <c:pt idx="231">
                  <c:v>41661</c:v>
                </c:pt>
                <c:pt idx="232">
                  <c:v>41662</c:v>
                </c:pt>
                <c:pt idx="233">
                  <c:v>41663</c:v>
                </c:pt>
                <c:pt idx="234">
                  <c:v>41666</c:v>
                </c:pt>
                <c:pt idx="235">
                  <c:v>41667</c:v>
                </c:pt>
                <c:pt idx="236">
                  <c:v>41668</c:v>
                </c:pt>
                <c:pt idx="237">
                  <c:v>41669</c:v>
                </c:pt>
                <c:pt idx="238">
                  <c:v>41670</c:v>
                </c:pt>
                <c:pt idx="239">
                  <c:v>41673</c:v>
                </c:pt>
                <c:pt idx="240">
                  <c:v>41674</c:v>
                </c:pt>
                <c:pt idx="241">
                  <c:v>41675</c:v>
                </c:pt>
                <c:pt idx="242">
                  <c:v>41676</c:v>
                </c:pt>
                <c:pt idx="243">
                  <c:v>41677</c:v>
                </c:pt>
                <c:pt idx="244">
                  <c:v>41680</c:v>
                </c:pt>
                <c:pt idx="245">
                  <c:v>41681</c:v>
                </c:pt>
                <c:pt idx="246">
                  <c:v>41682</c:v>
                </c:pt>
                <c:pt idx="247">
                  <c:v>41683</c:v>
                </c:pt>
                <c:pt idx="248">
                  <c:v>41684</c:v>
                </c:pt>
                <c:pt idx="249">
                  <c:v>41688</c:v>
                </c:pt>
                <c:pt idx="250">
                  <c:v>41689</c:v>
                </c:pt>
                <c:pt idx="251">
                  <c:v>41690</c:v>
                </c:pt>
                <c:pt idx="252">
                  <c:v>41691</c:v>
                </c:pt>
                <c:pt idx="253">
                  <c:v>41694</c:v>
                </c:pt>
                <c:pt idx="254">
                  <c:v>41695</c:v>
                </c:pt>
                <c:pt idx="255">
                  <c:v>41696</c:v>
                </c:pt>
                <c:pt idx="256">
                  <c:v>41697</c:v>
                </c:pt>
                <c:pt idx="257">
                  <c:v>41698</c:v>
                </c:pt>
                <c:pt idx="258">
                  <c:v>41701</c:v>
                </c:pt>
                <c:pt idx="259">
                  <c:v>41702</c:v>
                </c:pt>
                <c:pt idx="260">
                  <c:v>41703</c:v>
                </c:pt>
                <c:pt idx="261">
                  <c:v>41704</c:v>
                </c:pt>
                <c:pt idx="262">
                  <c:v>41705</c:v>
                </c:pt>
                <c:pt idx="263">
                  <c:v>41708</c:v>
                </c:pt>
                <c:pt idx="264">
                  <c:v>41709</c:v>
                </c:pt>
                <c:pt idx="265">
                  <c:v>41710</c:v>
                </c:pt>
                <c:pt idx="266">
                  <c:v>41711</c:v>
                </c:pt>
                <c:pt idx="267">
                  <c:v>41712</c:v>
                </c:pt>
                <c:pt idx="268">
                  <c:v>41715</c:v>
                </c:pt>
                <c:pt idx="269">
                  <c:v>41716</c:v>
                </c:pt>
                <c:pt idx="270">
                  <c:v>41717</c:v>
                </c:pt>
                <c:pt idx="271">
                  <c:v>41718</c:v>
                </c:pt>
                <c:pt idx="272">
                  <c:v>41719</c:v>
                </c:pt>
                <c:pt idx="273">
                  <c:v>41722</c:v>
                </c:pt>
                <c:pt idx="274">
                  <c:v>41723</c:v>
                </c:pt>
                <c:pt idx="275">
                  <c:v>41724</c:v>
                </c:pt>
                <c:pt idx="276">
                  <c:v>41725</c:v>
                </c:pt>
                <c:pt idx="277">
                  <c:v>41726</c:v>
                </c:pt>
                <c:pt idx="278">
                  <c:v>41729</c:v>
                </c:pt>
                <c:pt idx="279">
                  <c:v>41730</c:v>
                </c:pt>
                <c:pt idx="280">
                  <c:v>41731</c:v>
                </c:pt>
                <c:pt idx="281">
                  <c:v>41732</c:v>
                </c:pt>
                <c:pt idx="282">
                  <c:v>41733</c:v>
                </c:pt>
                <c:pt idx="283">
                  <c:v>41736</c:v>
                </c:pt>
                <c:pt idx="284">
                  <c:v>41737</c:v>
                </c:pt>
                <c:pt idx="285">
                  <c:v>41738</c:v>
                </c:pt>
                <c:pt idx="286">
                  <c:v>41739</c:v>
                </c:pt>
                <c:pt idx="287">
                  <c:v>41740</c:v>
                </c:pt>
                <c:pt idx="288">
                  <c:v>41743</c:v>
                </c:pt>
                <c:pt idx="289">
                  <c:v>41744</c:v>
                </c:pt>
                <c:pt idx="290">
                  <c:v>41745</c:v>
                </c:pt>
                <c:pt idx="291">
                  <c:v>41746</c:v>
                </c:pt>
                <c:pt idx="292">
                  <c:v>41750</c:v>
                </c:pt>
                <c:pt idx="293">
                  <c:v>41751</c:v>
                </c:pt>
                <c:pt idx="294">
                  <c:v>41752</c:v>
                </c:pt>
                <c:pt idx="295">
                  <c:v>41753</c:v>
                </c:pt>
                <c:pt idx="296">
                  <c:v>41754</c:v>
                </c:pt>
                <c:pt idx="297">
                  <c:v>41757</c:v>
                </c:pt>
                <c:pt idx="298">
                  <c:v>41758</c:v>
                </c:pt>
                <c:pt idx="299">
                  <c:v>41759</c:v>
                </c:pt>
                <c:pt idx="300">
                  <c:v>41760</c:v>
                </c:pt>
                <c:pt idx="301">
                  <c:v>41761</c:v>
                </c:pt>
                <c:pt idx="302">
                  <c:v>41764</c:v>
                </c:pt>
                <c:pt idx="303">
                  <c:v>41765</c:v>
                </c:pt>
                <c:pt idx="304">
                  <c:v>41766</c:v>
                </c:pt>
                <c:pt idx="305">
                  <c:v>41767</c:v>
                </c:pt>
                <c:pt idx="306">
                  <c:v>41768</c:v>
                </c:pt>
                <c:pt idx="307">
                  <c:v>41771</c:v>
                </c:pt>
                <c:pt idx="308">
                  <c:v>41772</c:v>
                </c:pt>
                <c:pt idx="309">
                  <c:v>41773</c:v>
                </c:pt>
                <c:pt idx="310">
                  <c:v>41774</c:v>
                </c:pt>
                <c:pt idx="311">
                  <c:v>41775</c:v>
                </c:pt>
                <c:pt idx="312">
                  <c:v>41778</c:v>
                </c:pt>
                <c:pt idx="313">
                  <c:v>41779</c:v>
                </c:pt>
                <c:pt idx="314">
                  <c:v>41780</c:v>
                </c:pt>
                <c:pt idx="315">
                  <c:v>41781</c:v>
                </c:pt>
                <c:pt idx="316">
                  <c:v>41782</c:v>
                </c:pt>
                <c:pt idx="317">
                  <c:v>41786</c:v>
                </c:pt>
                <c:pt idx="318">
                  <c:v>41787</c:v>
                </c:pt>
                <c:pt idx="319">
                  <c:v>41788</c:v>
                </c:pt>
                <c:pt idx="320">
                  <c:v>41789</c:v>
                </c:pt>
                <c:pt idx="321">
                  <c:v>41792</c:v>
                </c:pt>
                <c:pt idx="322">
                  <c:v>41793</c:v>
                </c:pt>
                <c:pt idx="323">
                  <c:v>41794</c:v>
                </c:pt>
                <c:pt idx="324">
                  <c:v>41795</c:v>
                </c:pt>
                <c:pt idx="325">
                  <c:v>41796</c:v>
                </c:pt>
                <c:pt idx="326">
                  <c:v>41799</c:v>
                </c:pt>
                <c:pt idx="327">
                  <c:v>41800</c:v>
                </c:pt>
                <c:pt idx="328">
                  <c:v>41801</c:v>
                </c:pt>
                <c:pt idx="329">
                  <c:v>41802</c:v>
                </c:pt>
                <c:pt idx="330">
                  <c:v>41803</c:v>
                </c:pt>
                <c:pt idx="331">
                  <c:v>41806</c:v>
                </c:pt>
                <c:pt idx="332">
                  <c:v>41807</c:v>
                </c:pt>
                <c:pt idx="333">
                  <c:v>41808</c:v>
                </c:pt>
                <c:pt idx="334">
                  <c:v>41809</c:v>
                </c:pt>
                <c:pt idx="335">
                  <c:v>41810</c:v>
                </c:pt>
                <c:pt idx="336">
                  <c:v>41813</c:v>
                </c:pt>
                <c:pt idx="337">
                  <c:v>41814</c:v>
                </c:pt>
                <c:pt idx="338">
                  <c:v>41815</c:v>
                </c:pt>
                <c:pt idx="339">
                  <c:v>41816</c:v>
                </c:pt>
                <c:pt idx="340">
                  <c:v>41817</c:v>
                </c:pt>
                <c:pt idx="341">
                  <c:v>41820</c:v>
                </c:pt>
                <c:pt idx="342">
                  <c:v>41821</c:v>
                </c:pt>
                <c:pt idx="343">
                  <c:v>41822</c:v>
                </c:pt>
                <c:pt idx="344">
                  <c:v>41823</c:v>
                </c:pt>
                <c:pt idx="345">
                  <c:v>41827</c:v>
                </c:pt>
                <c:pt idx="346">
                  <c:v>41828</c:v>
                </c:pt>
                <c:pt idx="347">
                  <c:v>41829</c:v>
                </c:pt>
                <c:pt idx="348">
                  <c:v>41830</c:v>
                </c:pt>
                <c:pt idx="349">
                  <c:v>41831</c:v>
                </c:pt>
                <c:pt idx="350">
                  <c:v>41834</c:v>
                </c:pt>
                <c:pt idx="351">
                  <c:v>41835</c:v>
                </c:pt>
                <c:pt idx="352">
                  <c:v>41836</c:v>
                </c:pt>
                <c:pt idx="353">
                  <c:v>41837</c:v>
                </c:pt>
                <c:pt idx="354">
                  <c:v>41838</c:v>
                </c:pt>
                <c:pt idx="355">
                  <c:v>41841</c:v>
                </c:pt>
                <c:pt idx="356">
                  <c:v>41842</c:v>
                </c:pt>
                <c:pt idx="357">
                  <c:v>41843</c:v>
                </c:pt>
                <c:pt idx="358">
                  <c:v>41844</c:v>
                </c:pt>
                <c:pt idx="359">
                  <c:v>41845</c:v>
                </c:pt>
                <c:pt idx="360">
                  <c:v>41848</c:v>
                </c:pt>
                <c:pt idx="361">
                  <c:v>41849</c:v>
                </c:pt>
                <c:pt idx="362">
                  <c:v>41850</c:v>
                </c:pt>
                <c:pt idx="363">
                  <c:v>41851</c:v>
                </c:pt>
                <c:pt idx="364">
                  <c:v>41852</c:v>
                </c:pt>
                <c:pt idx="365">
                  <c:v>41855</c:v>
                </c:pt>
                <c:pt idx="366">
                  <c:v>41856</c:v>
                </c:pt>
                <c:pt idx="367">
                  <c:v>41857</c:v>
                </c:pt>
                <c:pt idx="368">
                  <c:v>41858</c:v>
                </c:pt>
                <c:pt idx="369">
                  <c:v>41859</c:v>
                </c:pt>
                <c:pt idx="370">
                  <c:v>41862</c:v>
                </c:pt>
                <c:pt idx="371">
                  <c:v>41863</c:v>
                </c:pt>
                <c:pt idx="372">
                  <c:v>41864</c:v>
                </c:pt>
                <c:pt idx="373">
                  <c:v>41865</c:v>
                </c:pt>
                <c:pt idx="374">
                  <c:v>41866</c:v>
                </c:pt>
                <c:pt idx="375">
                  <c:v>41869</c:v>
                </c:pt>
                <c:pt idx="376">
                  <c:v>41870</c:v>
                </c:pt>
                <c:pt idx="377">
                  <c:v>41871</c:v>
                </c:pt>
                <c:pt idx="378">
                  <c:v>41872</c:v>
                </c:pt>
                <c:pt idx="379">
                  <c:v>41873</c:v>
                </c:pt>
                <c:pt idx="380">
                  <c:v>41876</c:v>
                </c:pt>
                <c:pt idx="381">
                  <c:v>41877</c:v>
                </c:pt>
                <c:pt idx="382">
                  <c:v>41878</c:v>
                </c:pt>
                <c:pt idx="383">
                  <c:v>41879</c:v>
                </c:pt>
                <c:pt idx="384">
                  <c:v>41880</c:v>
                </c:pt>
                <c:pt idx="385">
                  <c:v>41884</c:v>
                </c:pt>
                <c:pt idx="386">
                  <c:v>41885</c:v>
                </c:pt>
                <c:pt idx="387">
                  <c:v>41886</c:v>
                </c:pt>
                <c:pt idx="388">
                  <c:v>41887</c:v>
                </c:pt>
                <c:pt idx="389">
                  <c:v>41890</c:v>
                </c:pt>
                <c:pt idx="390">
                  <c:v>41891</c:v>
                </c:pt>
                <c:pt idx="391">
                  <c:v>41892</c:v>
                </c:pt>
                <c:pt idx="392">
                  <c:v>41893</c:v>
                </c:pt>
                <c:pt idx="393">
                  <c:v>41894</c:v>
                </c:pt>
                <c:pt idx="394">
                  <c:v>41897</c:v>
                </c:pt>
                <c:pt idx="395">
                  <c:v>41898</c:v>
                </c:pt>
                <c:pt idx="396">
                  <c:v>41899</c:v>
                </c:pt>
                <c:pt idx="397">
                  <c:v>41900</c:v>
                </c:pt>
                <c:pt idx="398">
                  <c:v>41901</c:v>
                </c:pt>
                <c:pt idx="399">
                  <c:v>41904</c:v>
                </c:pt>
                <c:pt idx="400">
                  <c:v>41905</c:v>
                </c:pt>
                <c:pt idx="401">
                  <c:v>41906</c:v>
                </c:pt>
                <c:pt idx="402">
                  <c:v>41907</c:v>
                </c:pt>
                <c:pt idx="403">
                  <c:v>41908</c:v>
                </c:pt>
                <c:pt idx="404">
                  <c:v>41911</c:v>
                </c:pt>
                <c:pt idx="405">
                  <c:v>41912</c:v>
                </c:pt>
                <c:pt idx="406">
                  <c:v>41913</c:v>
                </c:pt>
                <c:pt idx="407">
                  <c:v>41914</c:v>
                </c:pt>
                <c:pt idx="408">
                  <c:v>41915</c:v>
                </c:pt>
                <c:pt idx="409">
                  <c:v>41918</c:v>
                </c:pt>
                <c:pt idx="410">
                  <c:v>41919</c:v>
                </c:pt>
                <c:pt idx="411">
                  <c:v>41920</c:v>
                </c:pt>
                <c:pt idx="412">
                  <c:v>41921</c:v>
                </c:pt>
                <c:pt idx="413">
                  <c:v>41922</c:v>
                </c:pt>
                <c:pt idx="414">
                  <c:v>41925</c:v>
                </c:pt>
                <c:pt idx="415">
                  <c:v>41926</c:v>
                </c:pt>
                <c:pt idx="416">
                  <c:v>41927</c:v>
                </c:pt>
                <c:pt idx="417">
                  <c:v>41928</c:v>
                </c:pt>
                <c:pt idx="418">
                  <c:v>41929</c:v>
                </c:pt>
                <c:pt idx="419">
                  <c:v>41932</c:v>
                </c:pt>
                <c:pt idx="420">
                  <c:v>41933</c:v>
                </c:pt>
                <c:pt idx="421">
                  <c:v>41934</c:v>
                </c:pt>
                <c:pt idx="422">
                  <c:v>41935</c:v>
                </c:pt>
                <c:pt idx="423">
                  <c:v>41936</c:v>
                </c:pt>
                <c:pt idx="424">
                  <c:v>41939</c:v>
                </c:pt>
                <c:pt idx="425">
                  <c:v>41940</c:v>
                </c:pt>
                <c:pt idx="426">
                  <c:v>41941</c:v>
                </c:pt>
                <c:pt idx="427">
                  <c:v>41942</c:v>
                </c:pt>
                <c:pt idx="428">
                  <c:v>41943</c:v>
                </c:pt>
                <c:pt idx="429">
                  <c:v>41946</c:v>
                </c:pt>
                <c:pt idx="430">
                  <c:v>41947</c:v>
                </c:pt>
                <c:pt idx="431">
                  <c:v>41948</c:v>
                </c:pt>
                <c:pt idx="432">
                  <c:v>41949</c:v>
                </c:pt>
                <c:pt idx="433">
                  <c:v>41950</c:v>
                </c:pt>
                <c:pt idx="434">
                  <c:v>41953</c:v>
                </c:pt>
                <c:pt idx="435">
                  <c:v>41954</c:v>
                </c:pt>
                <c:pt idx="436">
                  <c:v>41955</c:v>
                </c:pt>
                <c:pt idx="437">
                  <c:v>41956</c:v>
                </c:pt>
                <c:pt idx="438">
                  <c:v>41957</c:v>
                </c:pt>
                <c:pt idx="439">
                  <c:v>41960</c:v>
                </c:pt>
                <c:pt idx="440">
                  <c:v>41961</c:v>
                </c:pt>
                <c:pt idx="441">
                  <c:v>41962</c:v>
                </c:pt>
                <c:pt idx="442">
                  <c:v>41963</c:v>
                </c:pt>
                <c:pt idx="443">
                  <c:v>41964</c:v>
                </c:pt>
                <c:pt idx="444">
                  <c:v>41967</c:v>
                </c:pt>
                <c:pt idx="445">
                  <c:v>41968</c:v>
                </c:pt>
                <c:pt idx="446">
                  <c:v>41969</c:v>
                </c:pt>
                <c:pt idx="447">
                  <c:v>41971</c:v>
                </c:pt>
                <c:pt idx="448">
                  <c:v>41974</c:v>
                </c:pt>
                <c:pt idx="449">
                  <c:v>41975</c:v>
                </c:pt>
                <c:pt idx="450">
                  <c:v>41976</c:v>
                </c:pt>
                <c:pt idx="451">
                  <c:v>41977</c:v>
                </c:pt>
                <c:pt idx="452">
                  <c:v>41978</c:v>
                </c:pt>
                <c:pt idx="453">
                  <c:v>41981</c:v>
                </c:pt>
                <c:pt idx="454">
                  <c:v>41982</c:v>
                </c:pt>
                <c:pt idx="455">
                  <c:v>41983</c:v>
                </c:pt>
                <c:pt idx="456">
                  <c:v>41984</c:v>
                </c:pt>
                <c:pt idx="457">
                  <c:v>41985</c:v>
                </c:pt>
                <c:pt idx="458">
                  <c:v>41988</c:v>
                </c:pt>
                <c:pt idx="459">
                  <c:v>41989</c:v>
                </c:pt>
                <c:pt idx="460">
                  <c:v>41990</c:v>
                </c:pt>
                <c:pt idx="461">
                  <c:v>41991</c:v>
                </c:pt>
                <c:pt idx="462">
                  <c:v>41992</c:v>
                </c:pt>
                <c:pt idx="463">
                  <c:v>41995</c:v>
                </c:pt>
                <c:pt idx="464">
                  <c:v>41996</c:v>
                </c:pt>
                <c:pt idx="465">
                  <c:v>41997</c:v>
                </c:pt>
                <c:pt idx="466">
                  <c:v>41999</c:v>
                </c:pt>
                <c:pt idx="467">
                  <c:v>42002</c:v>
                </c:pt>
                <c:pt idx="468">
                  <c:v>42003</c:v>
                </c:pt>
                <c:pt idx="469">
                  <c:v>42004</c:v>
                </c:pt>
                <c:pt idx="470">
                  <c:v>42006</c:v>
                </c:pt>
                <c:pt idx="471">
                  <c:v>42009</c:v>
                </c:pt>
                <c:pt idx="472">
                  <c:v>42010</c:v>
                </c:pt>
                <c:pt idx="473">
                  <c:v>42011</c:v>
                </c:pt>
                <c:pt idx="474">
                  <c:v>42012</c:v>
                </c:pt>
                <c:pt idx="475">
                  <c:v>42013</c:v>
                </c:pt>
                <c:pt idx="476">
                  <c:v>42016</c:v>
                </c:pt>
                <c:pt idx="477">
                  <c:v>42017</c:v>
                </c:pt>
                <c:pt idx="478">
                  <c:v>42018</c:v>
                </c:pt>
                <c:pt idx="479">
                  <c:v>42019</c:v>
                </c:pt>
                <c:pt idx="480">
                  <c:v>42020</c:v>
                </c:pt>
                <c:pt idx="481">
                  <c:v>42024</c:v>
                </c:pt>
                <c:pt idx="482">
                  <c:v>42025</c:v>
                </c:pt>
                <c:pt idx="483">
                  <c:v>42026</c:v>
                </c:pt>
                <c:pt idx="484">
                  <c:v>42027</c:v>
                </c:pt>
                <c:pt idx="485">
                  <c:v>42030</c:v>
                </c:pt>
                <c:pt idx="486">
                  <c:v>42031</c:v>
                </c:pt>
                <c:pt idx="487">
                  <c:v>42032</c:v>
                </c:pt>
                <c:pt idx="488">
                  <c:v>42033</c:v>
                </c:pt>
                <c:pt idx="489">
                  <c:v>42034</c:v>
                </c:pt>
                <c:pt idx="490">
                  <c:v>42037</c:v>
                </c:pt>
                <c:pt idx="491">
                  <c:v>42038</c:v>
                </c:pt>
                <c:pt idx="492">
                  <c:v>42039</c:v>
                </c:pt>
                <c:pt idx="493">
                  <c:v>42040</c:v>
                </c:pt>
                <c:pt idx="494">
                  <c:v>42041</c:v>
                </c:pt>
                <c:pt idx="495">
                  <c:v>42044</c:v>
                </c:pt>
                <c:pt idx="496">
                  <c:v>42045</c:v>
                </c:pt>
                <c:pt idx="497">
                  <c:v>42046</c:v>
                </c:pt>
                <c:pt idx="498">
                  <c:v>42047</c:v>
                </c:pt>
                <c:pt idx="499">
                  <c:v>42048</c:v>
                </c:pt>
                <c:pt idx="500">
                  <c:v>42052</c:v>
                </c:pt>
                <c:pt idx="501">
                  <c:v>42053</c:v>
                </c:pt>
                <c:pt idx="502">
                  <c:v>42054</c:v>
                </c:pt>
                <c:pt idx="503">
                  <c:v>42055</c:v>
                </c:pt>
                <c:pt idx="504">
                  <c:v>42058</c:v>
                </c:pt>
                <c:pt idx="505">
                  <c:v>42059</c:v>
                </c:pt>
                <c:pt idx="506">
                  <c:v>42060</c:v>
                </c:pt>
                <c:pt idx="507">
                  <c:v>42061</c:v>
                </c:pt>
                <c:pt idx="508">
                  <c:v>42062</c:v>
                </c:pt>
                <c:pt idx="509">
                  <c:v>42065</c:v>
                </c:pt>
                <c:pt idx="510">
                  <c:v>42066</c:v>
                </c:pt>
                <c:pt idx="511">
                  <c:v>42067</c:v>
                </c:pt>
                <c:pt idx="512">
                  <c:v>42068</c:v>
                </c:pt>
                <c:pt idx="513">
                  <c:v>42069</c:v>
                </c:pt>
                <c:pt idx="514">
                  <c:v>42072</c:v>
                </c:pt>
                <c:pt idx="515">
                  <c:v>42073</c:v>
                </c:pt>
                <c:pt idx="516">
                  <c:v>42074</c:v>
                </c:pt>
                <c:pt idx="517">
                  <c:v>42075</c:v>
                </c:pt>
                <c:pt idx="518">
                  <c:v>42076</c:v>
                </c:pt>
                <c:pt idx="519">
                  <c:v>42079</c:v>
                </c:pt>
                <c:pt idx="520">
                  <c:v>42080</c:v>
                </c:pt>
                <c:pt idx="521">
                  <c:v>42081</c:v>
                </c:pt>
                <c:pt idx="522">
                  <c:v>42082</c:v>
                </c:pt>
                <c:pt idx="523">
                  <c:v>42083</c:v>
                </c:pt>
                <c:pt idx="524">
                  <c:v>42086</c:v>
                </c:pt>
                <c:pt idx="525">
                  <c:v>42087</c:v>
                </c:pt>
                <c:pt idx="526">
                  <c:v>42088</c:v>
                </c:pt>
                <c:pt idx="527">
                  <c:v>42089</c:v>
                </c:pt>
                <c:pt idx="528">
                  <c:v>42090</c:v>
                </c:pt>
                <c:pt idx="529">
                  <c:v>42093</c:v>
                </c:pt>
                <c:pt idx="530">
                  <c:v>42094</c:v>
                </c:pt>
                <c:pt idx="531">
                  <c:v>42095</c:v>
                </c:pt>
                <c:pt idx="532">
                  <c:v>42096</c:v>
                </c:pt>
                <c:pt idx="533">
                  <c:v>42100</c:v>
                </c:pt>
                <c:pt idx="534">
                  <c:v>42101</c:v>
                </c:pt>
                <c:pt idx="535">
                  <c:v>42102</c:v>
                </c:pt>
                <c:pt idx="536">
                  <c:v>42103</c:v>
                </c:pt>
                <c:pt idx="537">
                  <c:v>42104</c:v>
                </c:pt>
                <c:pt idx="538">
                  <c:v>42107</c:v>
                </c:pt>
                <c:pt idx="539">
                  <c:v>42108</c:v>
                </c:pt>
                <c:pt idx="540">
                  <c:v>42109</c:v>
                </c:pt>
                <c:pt idx="541">
                  <c:v>42110</c:v>
                </c:pt>
                <c:pt idx="542">
                  <c:v>42111</c:v>
                </c:pt>
                <c:pt idx="543">
                  <c:v>42114</c:v>
                </c:pt>
                <c:pt idx="544">
                  <c:v>42115</c:v>
                </c:pt>
                <c:pt idx="545">
                  <c:v>42116</c:v>
                </c:pt>
                <c:pt idx="546">
                  <c:v>42117</c:v>
                </c:pt>
                <c:pt idx="547">
                  <c:v>42118</c:v>
                </c:pt>
                <c:pt idx="548">
                  <c:v>42121</c:v>
                </c:pt>
                <c:pt idx="549">
                  <c:v>42122</c:v>
                </c:pt>
                <c:pt idx="550">
                  <c:v>42123</c:v>
                </c:pt>
                <c:pt idx="551">
                  <c:v>42124</c:v>
                </c:pt>
                <c:pt idx="552">
                  <c:v>42125</c:v>
                </c:pt>
                <c:pt idx="553">
                  <c:v>42128</c:v>
                </c:pt>
                <c:pt idx="554">
                  <c:v>42129</c:v>
                </c:pt>
                <c:pt idx="555">
                  <c:v>42130</c:v>
                </c:pt>
                <c:pt idx="556">
                  <c:v>42131</c:v>
                </c:pt>
                <c:pt idx="557">
                  <c:v>42132</c:v>
                </c:pt>
                <c:pt idx="558">
                  <c:v>42135</c:v>
                </c:pt>
                <c:pt idx="559">
                  <c:v>42136</c:v>
                </c:pt>
                <c:pt idx="560">
                  <c:v>42137</c:v>
                </c:pt>
                <c:pt idx="561">
                  <c:v>42138</c:v>
                </c:pt>
                <c:pt idx="562">
                  <c:v>42139</c:v>
                </c:pt>
                <c:pt idx="563">
                  <c:v>42142</c:v>
                </c:pt>
                <c:pt idx="564">
                  <c:v>42143</c:v>
                </c:pt>
                <c:pt idx="565">
                  <c:v>42144</c:v>
                </c:pt>
                <c:pt idx="566">
                  <c:v>42145</c:v>
                </c:pt>
                <c:pt idx="567">
                  <c:v>42146</c:v>
                </c:pt>
                <c:pt idx="568">
                  <c:v>42150</c:v>
                </c:pt>
                <c:pt idx="569">
                  <c:v>42151</c:v>
                </c:pt>
                <c:pt idx="570">
                  <c:v>42152</c:v>
                </c:pt>
                <c:pt idx="571">
                  <c:v>42153</c:v>
                </c:pt>
                <c:pt idx="572">
                  <c:v>42156</c:v>
                </c:pt>
                <c:pt idx="573">
                  <c:v>42157</c:v>
                </c:pt>
                <c:pt idx="574">
                  <c:v>42158</c:v>
                </c:pt>
                <c:pt idx="575">
                  <c:v>42159</c:v>
                </c:pt>
                <c:pt idx="576">
                  <c:v>42160</c:v>
                </c:pt>
                <c:pt idx="577">
                  <c:v>42163</c:v>
                </c:pt>
                <c:pt idx="578">
                  <c:v>42164</c:v>
                </c:pt>
                <c:pt idx="579">
                  <c:v>42165</c:v>
                </c:pt>
                <c:pt idx="580">
                  <c:v>42166</c:v>
                </c:pt>
                <c:pt idx="581">
                  <c:v>42167</c:v>
                </c:pt>
                <c:pt idx="582">
                  <c:v>42170</c:v>
                </c:pt>
                <c:pt idx="583">
                  <c:v>42171</c:v>
                </c:pt>
                <c:pt idx="584">
                  <c:v>42172</c:v>
                </c:pt>
                <c:pt idx="585">
                  <c:v>42173</c:v>
                </c:pt>
                <c:pt idx="586">
                  <c:v>42174</c:v>
                </c:pt>
                <c:pt idx="587">
                  <c:v>42177</c:v>
                </c:pt>
                <c:pt idx="588">
                  <c:v>42178</c:v>
                </c:pt>
                <c:pt idx="589">
                  <c:v>42179</c:v>
                </c:pt>
                <c:pt idx="590">
                  <c:v>42180</c:v>
                </c:pt>
                <c:pt idx="591">
                  <c:v>42181</c:v>
                </c:pt>
                <c:pt idx="592">
                  <c:v>42184</c:v>
                </c:pt>
                <c:pt idx="593">
                  <c:v>42185</c:v>
                </c:pt>
                <c:pt idx="594">
                  <c:v>42186</c:v>
                </c:pt>
                <c:pt idx="595">
                  <c:v>42187</c:v>
                </c:pt>
                <c:pt idx="596">
                  <c:v>42191</c:v>
                </c:pt>
                <c:pt idx="597">
                  <c:v>42192</c:v>
                </c:pt>
                <c:pt idx="598">
                  <c:v>42193</c:v>
                </c:pt>
                <c:pt idx="599">
                  <c:v>42194</c:v>
                </c:pt>
                <c:pt idx="600">
                  <c:v>42195</c:v>
                </c:pt>
                <c:pt idx="601">
                  <c:v>42198</c:v>
                </c:pt>
                <c:pt idx="602">
                  <c:v>42199</c:v>
                </c:pt>
                <c:pt idx="603">
                  <c:v>42200</c:v>
                </c:pt>
                <c:pt idx="604">
                  <c:v>42201</c:v>
                </c:pt>
                <c:pt idx="605">
                  <c:v>42202</c:v>
                </c:pt>
                <c:pt idx="606">
                  <c:v>42205</c:v>
                </c:pt>
                <c:pt idx="607">
                  <c:v>42206</c:v>
                </c:pt>
                <c:pt idx="608">
                  <c:v>42207</c:v>
                </c:pt>
                <c:pt idx="609">
                  <c:v>42208</c:v>
                </c:pt>
                <c:pt idx="610">
                  <c:v>42209</c:v>
                </c:pt>
                <c:pt idx="611">
                  <c:v>42212</c:v>
                </c:pt>
                <c:pt idx="612">
                  <c:v>42213</c:v>
                </c:pt>
                <c:pt idx="613">
                  <c:v>42214</c:v>
                </c:pt>
                <c:pt idx="614">
                  <c:v>42215</c:v>
                </c:pt>
                <c:pt idx="615">
                  <c:v>42216</c:v>
                </c:pt>
                <c:pt idx="616">
                  <c:v>42219</c:v>
                </c:pt>
                <c:pt idx="617">
                  <c:v>42220</c:v>
                </c:pt>
                <c:pt idx="618">
                  <c:v>42221</c:v>
                </c:pt>
                <c:pt idx="619">
                  <c:v>42222</c:v>
                </c:pt>
                <c:pt idx="620">
                  <c:v>42223</c:v>
                </c:pt>
                <c:pt idx="621">
                  <c:v>42226</c:v>
                </c:pt>
                <c:pt idx="622">
                  <c:v>42227</c:v>
                </c:pt>
                <c:pt idx="623">
                  <c:v>42228</c:v>
                </c:pt>
                <c:pt idx="624">
                  <c:v>42229</c:v>
                </c:pt>
                <c:pt idx="625">
                  <c:v>42230</c:v>
                </c:pt>
                <c:pt idx="626">
                  <c:v>42233</c:v>
                </c:pt>
                <c:pt idx="627">
                  <c:v>42234</c:v>
                </c:pt>
                <c:pt idx="628">
                  <c:v>42235</c:v>
                </c:pt>
                <c:pt idx="629">
                  <c:v>42236</c:v>
                </c:pt>
                <c:pt idx="630">
                  <c:v>42237</c:v>
                </c:pt>
                <c:pt idx="631">
                  <c:v>42240</c:v>
                </c:pt>
                <c:pt idx="632">
                  <c:v>42241</c:v>
                </c:pt>
                <c:pt idx="633">
                  <c:v>42242</c:v>
                </c:pt>
                <c:pt idx="634">
                  <c:v>42243</c:v>
                </c:pt>
                <c:pt idx="635">
                  <c:v>42244</c:v>
                </c:pt>
                <c:pt idx="636">
                  <c:v>42247</c:v>
                </c:pt>
                <c:pt idx="637">
                  <c:v>42248</c:v>
                </c:pt>
                <c:pt idx="638">
                  <c:v>42249</c:v>
                </c:pt>
                <c:pt idx="639">
                  <c:v>42250</c:v>
                </c:pt>
                <c:pt idx="640">
                  <c:v>42251</c:v>
                </c:pt>
                <c:pt idx="641">
                  <c:v>42255</c:v>
                </c:pt>
                <c:pt idx="642">
                  <c:v>42256</c:v>
                </c:pt>
                <c:pt idx="643">
                  <c:v>42257</c:v>
                </c:pt>
                <c:pt idx="644">
                  <c:v>42258</c:v>
                </c:pt>
                <c:pt idx="645">
                  <c:v>42261</c:v>
                </c:pt>
                <c:pt idx="646">
                  <c:v>42262</c:v>
                </c:pt>
                <c:pt idx="647">
                  <c:v>42263</c:v>
                </c:pt>
                <c:pt idx="648">
                  <c:v>42264</c:v>
                </c:pt>
                <c:pt idx="649">
                  <c:v>42265</c:v>
                </c:pt>
                <c:pt idx="650">
                  <c:v>42268</c:v>
                </c:pt>
                <c:pt idx="651">
                  <c:v>42269</c:v>
                </c:pt>
                <c:pt idx="652">
                  <c:v>42270</c:v>
                </c:pt>
                <c:pt idx="653">
                  <c:v>42271</c:v>
                </c:pt>
                <c:pt idx="654">
                  <c:v>42272</c:v>
                </c:pt>
                <c:pt idx="655">
                  <c:v>42275</c:v>
                </c:pt>
                <c:pt idx="656">
                  <c:v>42276</c:v>
                </c:pt>
                <c:pt idx="657">
                  <c:v>42277</c:v>
                </c:pt>
                <c:pt idx="658">
                  <c:v>42278</c:v>
                </c:pt>
                <c:pt idx="659">
                  <c:v>42279</c:v>
                </c:pt>
                <c:pt idx="660">
                  <c:v>42282</c:v>
                </c:pt>
                <c:pt idx="661">
                  <c:v>42283</c:v>
                </c:pt>
                <c:pt idx="662">
                  <c:v>42284</c:v>
                </c:pt>
                <c:pt idx="663">
                  <c:v>42285</c:v>
                </c:pt>
                <c:pt idx="664">
                  <c:v>42286</c:v>
                </c:pt>
                <c:pt idx="665">
                  <c:v>42289</c:v>
                </c:pt>
                <c:pt idx="666">
                  <c:v>42290</c:v>
                </c:pt>
                <c:pt idx="667">
                  <c:v>42291</c:v>
                </c:pt>
                <c:pt idx="668">
                  <c:v>42292</c:v>
                </c:pt>
                <c:pt idx="669">
                  <c:v>42293</c:v>
                </c:pt>
                <c:pt idx="670">
                  <c:v>42296</c:v>
                </c:pt>
                <c:pt idx="671">
                  <c:v>42297</c:v>
                </c:pt>
                <c:pt idx="672">
                  <c:v>42298</c:v>
                </c:pt>
                <c:pt idx="673">
                  <c:v>42299</c:v>
                </c:pt>
                <c:pt idx="674">
                  <c:v>42300</c:v>
                </c:pt>
                <c:pt idx="675">
                  <c:v>42303</c:v>
                </c:pt>
                <c:pt idx="676">
                  <c:v>42304</c:v>
                </c:pt>
                <c:pt idx="677">
                  <c:v>42305</c:v>
                </c:pt>
                <c:pt idx="678">
                  <c:v>42306</c:v>
                </c:pt>
                <c:pt idx="679">
                  <c:v>42307</c:v>
                </c:pt>
                <c:pt idx="680">
                  <c:v>42310</c:v>
                </c:pt>
                <c:pt idx="681">
                  <c:v>42311</c:v>
                </c:pt>
                <c:pt idx="682">
                  <c:v>42312</c:v>
                </c:pt>
                <c:pt idx="683">
                  <c:v>42313</c:v>
                </c:pt>
                <c:pt idx="684">
                  <c:v>42314</c:v>
                </c:pt>
                <c:pt idx="685">
                  <c:v>42317</c:v>
                </c:pt>
                <c:pt idx="686">
                  <c:v>42318</c:v>
                </c:pt>
                <c:pt idx="687">
                  <c:v>42319</c:v>
                </c:pt>
                <c:pt idx="688">
                  <c:v>42320</c:v>
                </c:pt>
                <c:pt idx="689">
                  <c:v>42321</c:v>
                </c:pt>
                <c:pt idx="690">
                  <c:v>42324</c:v>
                </c:pt>
                <c:pt idx="691">
                  <c:v>42325</c:v>
                </c:pt>
                <c:pt idx="692">
                  <c:v>42326</c:v>
                </c:pt>
                <c:pt idx="693">
                  <c:v>42327</c:v>
                </c:pt>
                <c:pt idx="694">
                  <c:v>42328</c:v>
                </c:pt>
                <c:pt idx="695">
                  <c:v>42331</c:v>
                </c:pt>
                <c:pt idx="696">
                  <c:v>42332</c:v>
                </c:pt>
                <c:pt idx="697">
                  <c:v>42333</c:v>
                </c:pt>
                <c:pt idx="698">
                  <c:v>42335</c:v>
                </c:pt>
                <c:pt idx="699">
                  <c:v>42338</c:v>
                </c:pt>
                <c:pt idx="700">
                  <c:v>42339</c:v>
                </c:pt>
                <c:pt idx="701">
                  <c:v>42340</c:v>
                </c:pt>
                <c:pt idx="702">
                  <c:v>42341</c:v>
                </c:pt>
                <c:pt idx="703">
                  <c:v>42342</c:v>
                </c:pt>
                <c:pt idx="704">
                  <c:v>42345</c:v>
                </c:pt>
                <c:pt idx="705">
                  <c:v>42346</c:v>
                </c:pt>
                <c:pt idx="706">
                  <c:v>42347</c:v>
                </c:pt>
                <c:pt idx="707">
                  <c:v>42348</c:v>
                </c:pt>
                <c:pt idx="708">
                  <c:v>42349</c:v>
                </c:pt>
                <c:pt idx="709">
                  <c:v>42352</c:v>
                </c:pt>
                <c:pt idx="710">
                  <c:v>42353</c:v>
                </c:pt>
                <c:pt idx="711">
                  <c:v>42354</c:v>
                </c:pt>
                <c:pt idx="712">
                  <c:v>42355</c:v>
                </c:pt>
                <c:pt idx="713">
                  <c:v>42356</c:v>
                </c:pt>
                <c:pt idx="714">
                  <c:v>42359</c:v>
                </c:pt>
                <c:pt idx="715">
                  <c:v>42360</c:v>
                </c:pt>
                <c:pt idx="716">
                  <c:v>42361</c:v>
                </c:pt>
                <c:pt idx="717">
                  <c:v>42362</c:v>
                </c:pt>
                <c:pt idx="718">
                  <c:v>42366</c:v>
                </c:pt>
                <c:pt idx="719">
                  <c:v>42367</c:v>
                </c:pt>
                <c:pt idx="720">
                  <c:v>42368</c:v>
                </c:pt>
                <c:pt idx="721">
                  <c:v>42369</c:v>
                </c:pt>
                <c:pt idx="722">
                  <c:v>42373</c:v>
                </c:pt>
                <c:pt idx="723">
                  <c:v>42374</c:v>
                </c:pt>
                <c:pt idx="724">
                  <c:v>42375</c:v>
                </c:pt>
                <c:pt idx="725">
                  <c:v>42376</c:v>
                </c:pt>
                <c:pt idx="726">
                  <c:v>42377</c:v>
                </c:pt>
                <c:pt idx="727">
                  <c:v>42380</c:v>
                </c:pt>
                <c:pt idx="728">
                  <c:v>42381</c:v>
                </c:pt>
                <c:pt idx="729">
                  <c:v>42382</c:v>
                </c:pt>
                <c:pt idx="730">
                  <c:v>42383</c:v>
                </c:pt>
                <c:pt idx="731">
                  <c:v>42384</c:v>
                </c:pt>
                <c:pt idx="732">
                  <c:v>42388</c:v>
                </c:pt>
                <c:pt idx="733">
                  <c:v>42389</c:v>
                </c:pt>
                <c:pt idx="734">
                  <c:v>42390</c:v>
                </c:pt>
                <c:pt idx="735">
                  <c:v>42391</c:v>
                </c:pt>
                <c:pt idx="736">
                  <c:v>42394</c:v>
                </c:pt>
                <c:pt idx="737">
                  <c:v>42395</c:v>
                </c:pt>
                <c:pt idx="738">
                  <c:v>42396</c:v>
                </c:pt>
                <c:pt idx="739">
                  <c:v>42397</c:v>
                </c:pt>
                <c:pt idx="740">
                  <c:v>42398</c:v>
                </c:pt>
                <c:pt idx="741">
                  <c:v>42401</c:v>
                </c:pt>
                <c:pt idx="742">
                  <c:v>42402</c:v>
                </c:pt>
                <c:pt idx="743">
                  <c:v>42403</c:v>
                </c:pt>
                <c:pt idx="744">
                  <c:v>42404</c:v>
                </c:pt>
                <c:pt idx="745">
                  <c:v>42405</c:v>
                </c:pt>
                <c:pt idx="746">
                  <c:v>42408</c:v>
                </c:pt>
                <c:pt idx="747">
                  <c:v>42409</c:v>
                </c:pt>
                <c:pt idx="748">
                  <c:v>42410</c:v>
                </c:pt>
                <c:pt idx="749">
                  <c:v>42411</c:v>
                </c:pt>
                <c:pt idx="750">
                  <c:v>42412</c:v>
                </c:pt>
                <c:pt idx="751">
                  <c:v>42416</c:v>
                </c:pt>
                <c:pt idx="752">
                  <c:v>42417</c:v>
                </c:pt>
                <c:pt idx="753">
                  <c:v>42418</c:v>
                </c:pt>
                <c:pt idx="754">
                  <c:v>42419</c:v>
                </c:pt>
                <c:pt idx="755">
                  <c:v>42422</c:v>
                </c:pt>
                <c:pt idx="756">
                  <c:v>42423</c:v>
                </c:pt>
                <c:pt idx="757">
                  <c:v>42424</c:v>
                </c:pt>
                <c:pt idx="758">
                  <c:v>42425</c:v>
                </c:pt>
                <c:pt idx="759">
                  <c:v>42426</c:v>
                </c:pt>
                <c:pt idx="760">
                  <c:v>42429</c:v>
                </c:pt>
                <c:pt idx="761">
                  <c:v>42430</c:v>
                </c:pt>
                <c:pt idx="762">
                  <c:v>42431</c:v>
                </c:pt>
                <c:pt idx="763">
                  <c:v>42432</c:v>
                </c:pt>
                <c:pt idx="764">
                  <c:v>42433</c:v>
                </c:pt>
                <c:pt idx="765">
                  <c:v>42436</c:v>
                </c:pt>
                <c:pt idx="766">
                  <c:v>42437</c:v>
                </c:pt>
                <c:pt idx="767">
                  <c:v>42438</c:v>
                </c:pt>
                <c:pt idx="768">
                  <c:v>42439</c:v>
                </c:pt>
                <c:pt idx="769">
                  <c:v>42440</c:v>
                </c:pt>
                <c:pt idx="770">
                  <c:v>42443</c:v>
                </c:pt>
                <c:pt idx="771">
                  <c:v>42444</c:v>
                </c:pt>
                <c:pt idx="772">
                  <c:v>42445</c:v>
                </c:pt>
                <c:pt idx="773">
                  <c:v>42446</c:v>
                </c:pt>
                <c:pt idx="774">
                  <c:v>42447</c:v>
                </c:pt>
                <c:pt idx="775">
                  <c:v>42450</c:v>
                </c:pt>
                <c:pt idx="776">
                  <c:v>42451</c:v>
                </c:pt>
                <c:pt idx="777">
                  <c:v>42452</c:v>
                </c:pt>
                <c:pt idx="778">
                  <c:v>42453</c:v>
                </c:pt>
                <c:pt idx="779">
                  <c:v>42457</c:v>
                </c:pt>
                <c:pt idx="780">
                  <c:v>42458</c:v>
                </c:pt>
                <c:pt idx="781">
                  <c:v>42459</c:v>
                </c:pt>
                <c:pt idx="782">
                  <c:v>42460</c:v>
                </c:pt>
                <c:pt idx="783">
                  <c:v>42461</c:v>
                </c:pt>
                <c:pt idx="784">
                  <c:v>42464</c:v>
                </c:pt>
                <c:pt idx="785">
                  <c:v>42465</c:v>
                </c:pt>
                <c:pt idx="786">
                  <c:v>42466</c:v>
                </c:pt>
                <c:pt idx="787">
                  <c:v>42467</c:v>
                </c:pt>
                <c:pt idx="788">
                  <c:v>42468</c:v>
                </c:pt>
                <c:pt idx="789">
                  <c:v>42471</c:v>
                </c:pt>
                <c:pt idx="790">
                  <c:v>42472</c:v>
                </c:pt>
                <c:pt idx="791">
                  <c:v>42473</c:v>
                </c:pt>
                <c:pt idx="792">
                  <c:v>42474</c:v>
                </c:pt>
                <c:pt idx="793">
                  <c:v>42475</c:v>
                </c:pt>
                <c:pt idx="794">
                  <c:v>42478</c:v>
                </c:pt>
                <c:pt idx="795">
                  <c:v>42479</c:v>
                </c:pt>
                <c:pt idx="796">
                  <c:v>42480</c:v>
                </c:pt>
                <c:pt idx="797">
                  <c:v>42481</c:v>
                </c:pt>
                <c:pt idx="798">
                  <c:v>42482</c:v>
                </c:pt>
                <c:pt idx="799">
                  <c:v>42485</c:v>
                </c:pt>
                <c:pt idx="800">
                  <c:v>42486</c:v>
                </c:pt>
                <c:pt idx="801">
                  <c:v>42487</c:v>
                </c:pt>
                <c:pt idx="802">
                  <c:v>42488</c:v>
                </c:pt>
                <c:pt idx="803">
                  <c:v>42489</c:v>
                </c:pt>
                <c:pt idx="804">
                  <c:v>42492</c:v>
                </c:pt>
                <c:pt idx="805">
                  <c:v>42493</c:v>
                </c:pt>
                <c:pt idx="806">
                  <c:v>42494</c:v>
                </c:pt>
                <c:pt idx="807">
                  <c:v>42495</c:v>
                </c:pt>
                <c:pt idx="808">
                  <c:v>42496</c:v>
                </c:pt>
                <c:pt idx="809">
                  <c:v>42499</c:v>
                </c:pt>
                <c:pt idx="810">
                  <c:v>42500</c:v>
                </c:pt>
                <c:pt idx="811">
                  <c:v>42501</c:v>
                </c:pt>
                <c:pt idx="812">
                  <c:v>42502</c:v>
                </c:pt>
                <c:pt idx="813">
                  <c:v>42503</c:v>
                </c:pt>
                <c:pt idx="814">
                  <c:v>42506</c:v>
                </c:pt>
                <c:pt idx="815">
                  <c:v>42507</c:v>
                </c:pt>
                <c:pt idx="816">
                  <c:v>42508</c:v>
                </c:pt>
                <c:pt idx="817">
                  <c:v>42509</c:v>
                </c:pt>
                <c:pt idx="818">
                  <c:v>42510</c:v>
                </c:pt>
                <c:pt idx="819">
                  <c:v>42513</c:v>
                </c:pt>
                <c:pt idx="820">
                  <c:v>42514</c:v>
                </c:pt>
                <c:pt idx="821">
                  <c:v>42515</c:v>
                </c:pt>
                <c:pt idx="822">
                  <c:v>42516</c:v>
                </c:pt>
                <c:pt idx="823">
                  <c:v>42517</c:v>
                </c:pt>
                <c:pt idx="824">
                  <c:v>42521</c:v>
                </c:pt>
                <c:pt idx="825">
                  <c:v>42522</c:v>
                </c:pt>
                <c:pt idx="826">
                  <c:v>42523</c:v>
                </c:pt>
                <c:pt idx="827">
                  <c:v>42524</c:v>
                </c:pt>
                <c:pt idx="828">
                  <c:v>42527</c:v>
                </c:pt>
                <c:pt idx="829">
                  <c:v>42528</c:v>
                </c:pt>
                <c:pt idx="830">
                  <c:v>42529</c:v>
                </c:pt>
                <c:pt idx="831">
                  <c:v>42530</c:v>
                </c:pt>
                <c:pt idx="832">
                  <c:v>42531</c:v>
                </c:pt>
                <c:pt idx="833">
                  <c:v>42534</c:v>
                </c:pt>
                <c:pt idx="834">
                  <c:v>42535</c:v>
                </c:pt>
                <c:pt idx="835">
                  <c:v>42536</c:v>
                </c:pt>
                <c:pt idx="836">
                  <c:v>42537</c:v>
                </c:pt>
                <c:pt idx="837">
                  <c:v>42538</c:v>
                </c:pt>
                <c:pt idx="838">
                  <c:v>42541</c:v>
                </c:pt>
                <c:pt idx="839">
                  <c:v>42542</c:v>
                </c:pt>
                <c:pt idx="840">
                  <c:v>42543</c:v>
                </c:pt>
                <c:pt idx="841">
                  <c:v>42544</c:v>
                </c:pt>
                <c:pt idx="842">
                  <c:v>42545</c:v>
                </c:pt>
                <c:pt idx="843">
                  <c:v>42548</c:v>
                </c:pt>
                <c:pt idx="844">
                  <c:v>42549</c:v>
                </c:pt>
                <c:pt idx="845">
                  <c:v>42550</c:v>
                </c:pt>
                <c:pt idx="846">
                  <c:v>42551</c:v>
                </c:pt>
                <c:pt idx="847">
                  <c:v>42552</c:v>
                </c:pt>
                <c:pt idx="848">
                  <c:v>42556</c:v>
                </c:pt>
                <c:pt idx="849">
                  <c:v>42557</c:v>
                </c:pt>
                <c:pt idx="850">
                  <c:v>42558</c:v>
                </c:pt>
                <c:pt idx="851">
                  <c:v>42559</c:v>
                </c:pt>
                <c:pt idx="852">
                  <c:v>42562</c:v>
                </c:pt>
                <c:pt idx="853">
                  <c:v>42563</c:v>
                </c:pt>
                <c:pt idx="854">
                  <c:v>42564</c:v>
                </c:pt>
                <c:pt idx="855">
                  <c:v>42565</c:v>
                </c:pt>
                <c:pt idx="856">
                  <c:v>42566</c:v>
                </c:pt>
                <c:pt idx="857">
                  <c:v>42569</c:v>
                </c:pt>
                <c:pt idx="858">
                  <c:v>42570</c:v>
                </c:pt>
                <c:pt idx="859">
                  <c:v>42571</c:v>
                </c:pt>
                <c:pt idx="860">
                  <c:v>42572</c:v>
                </c:pt>
                <c:pt idx="861">
                  <c:v>42573</c:v>
                </c:pt>
                <c:pt idx="862">
                  <c:v>42576</c:v>
                </c:pt>
                <c:pt idx="863">
                  <c:v>42577</c:v>
                </c:pt>
                <c:pt idx="864">
                  <c:v>42578</c:v>
                </c:pt>
                <c:pt idx="865">
                  <c:v>42579</c:v>
                </c:pt>
                <c:pt idx="866">
                  <c:v>42580</c:v>
                </c:pt>
                <c:pt idx="867">
                  <c:v>42583</c:v>
                </c:pt>
                <c:pt idx="868">
                  <c:v>42584</c:v>
                </c:pt>
                <c:pt idx="869">
                  <c:v>42585</c:v>
                </c:pt>
                <c:pt idx="870">
                  <c:v>42586</c:v>
                </c:pt>
                <c:pt idx="871">
                  <c:v>42587</c:v>
                </c:pt>
                <c:pt idx="872">
                  <c:v>42590</c:v>
                </c:pt>
                <c:pt idx="873">
                  <c:v>42591</c:v>
                </c:pt>
                <c:pt idx="874">
                  <c:v>42592</c:v>
                </c:pt>
                <c:pt idx="875">
                  <c:v>42593</c:v>
                </c:pt>
                <c:pt idx="876">
                  <c:v>42594</c:v>
                </c:pt>
                <c:pt idx="877">
                  <c:v>42597</c:v>
                </c:pt>
                <c:pt idx="878">
                  <c:v>42598</c:v>
                </c:pt>
                <c:pt idx="879">
                  <c:v>42599</c:v>
                </c:pt>
                <c:pt idx="880">
                  <c:v>42600</c:v>
                </c:pt>
                <c:pt idx="881">
                  <c:v>42601</c:v>
                </c:pt>
                <c:pt idx="882">
                  <c:v>42604</c:v>
                </c:pt>
                <c:pt idx="883">
                  <c:v>42605</c:v>
                </c:pt>
                <c:pt idx="884">
                  <c:v>42606</c:v>
                </c:pt>
                <c:pt idx="885">
                  <c:v>42607</c:v>
                </c:pt>
                <c:pt idx="886">
                  <c:v>42608</c:v>
                </c:pt>
                <c:pt idx="887">
                  <c:v>42611</c:v>
                </c:pt>
                <c:pt idx="888">
                  <c:v>42612</c:v>
                </c:pt>
                <c:pt idx="889">
                  <c:v>42613</c:v>
                </c:pt>
                <c:pt idx="890">
                  <c:v>42614</c:v>
                </c:pt>
                <c:pt idx="891">
                  <c:v>42615</c:v>
                </c:pt>
                <c:pt idx="892">
                  <c:v>42619</c:v>
                </c:pt>
                <c:pt idx="893">
                  <c:v>42620</c:v>
                </c:pt>
                <c:pt idx="894">
                  <c:v>42621</c:v>
                </c:pt>
                <c:pt idx="895">
                  <c:v>42622</c:v>
                </c:pt>
                <c:pt idx="896">
                  <c:v>42625</c:v>
                </c:pt>
                <c:pt idx="897">
                  <c:v>42626</c:v>
                </c:pt>
                <c:pt idx="898">
                  <c:v>42627</c:v>
                </c:pt>
                <c:pt idx="899">
                  <c:v>42628</c:v>
                </c:pt>
                <c:pt idx="900">
                  <c:v>42629</c:v>
                </c:pt>
                <c:pt idx="901">
                  <c:v>42632</c:v>
                </c:pt>
                <c:pt idx="902">
                  <c:v>42633</c:v>
                </c:pt>
                <c:pt idx="903">
                  <c:v>42634</c:v>
                </c:pt>
                <c:pt idx="904">
                  <c:v>42635</c:v>
                </c:pt>
                <c:pt idx="905">
                  <c:v>42636</c:v>
                </c:pt>
                <c:pt idx="906">
                  <c:v>42639</c:v>
                </c:pt>
                <c:pt idx="907">
                  <c:v>42640</c:v>
                </c:pt>
                <c:pt idx="908">
                  <c:v>42641</c:v>
                </c:pt>
                <c:pt idx="909">
                  <c:v>42642</c:v>
                </c:pt>
                <c:pt idx="910">
                  <c:v>42643</c:v>
                </c:pt>
                <c:pt idx="911">
                  <c:v>42646</c:v>
                </c:pt>
                <c:pt idx="912">
                  <c:v>42647</c:v>
                </c:pt>
                <c:pt idx="913">
                  <c:v>42648</c:v>
                </c:pt>
                <c:pt idx="914">
                  <c:v>42649</c:v>
                </c:pt>
                <c:pt idx="915">
                  <c:v>42650</c:v>
                </c:pt>
                <c:pt idx="916">
                  <c:v>42653</c:v>
                </c:pt>
                <c:pt idx="917">
                  <c:v>42654</c:v>
                </c:pt>
                <c:pt idx="918">
                  <c:v>42655</c:v>
                </c:pt>
                <c:pt idx="919">
                  <c:v>42656</c:v>
                </c:pt>
                <c:pt idx="920">
                  <c:v>42657</c:v>
                </c:pt>
                <c:pt idx="921">
                  <c:v>42660</c:v>
                </c:pt>
                <c:pt idx="922">
                  <c:v>42661</c:v>
                </c:pt>
                <c:pt idx="923">
                  <c:v>42662</c:v>
                </c:pt>
                <c:pt idx="924">
                  <c:v>42663</c:v>
                </c:pt>
                <c:pt idx="925">
                  <c:v>42664</c:v>
                </c:pt>
                <c:pt idx="926">
                  <c:v>42667</c:v>
                </c:pt>
                <c:pt idx="927">
                  <c:v>42668</c:v>
                </c:pt>
                <c:pt idx="928">
                  <c:v>42669</c:v>
                </c:pt>
                <c:pt idx="929">
                  <c:v>42670</c:v>
                </c:pt>
                <c:pt idx="930">
                  <c:v>42671</c:v>
                </c:pt>
                <c:pt idx="931">
                  <c:v>42674</c:v>
                </c:pt>
                <c:pt idx="932">
                  <c:v>42675</c:v>
                </c:pt>
                <c:pt idx="933">
                  <c:v>42676</c:v>
                </c:pt>
                <c:pt idx="934">
                  <c:v>42677</c:v>
                </c:pt>
                <c:pt idx="935">
                  <c:v>42678</c:v>
                </c:pt>
                <c:pt idx="936">
                  <c:v>42681</c:v>
                </c:pt>
                <c:pt idx="937">
                  <c:v>42682</c:v>
                </c:pt>
                <c:pt idx="938">
                  <c:v>42683</c:v>
                </c:pt>
                <c:pt idx="939">
                  <c:v>42684</c:v>
                </c:pt>
                <c:pt idx="940">
                  <c:v>42685</c:v>
                </c:pt>
                <c:pt idx="941">
                  <c:v>42688</c:v>
                </c:pt>
                <c:pt idx="942">
                  <c:v>42689</c:v>
                </c:pt>
                <c:pt idx="943">
                  <c:v>42690</c:v>
                </c:pt>
                <c:pt idx="944">
                  <c:v>42691</c:v>
                </c:pt>
                <c:pt idx="945">
                  <c:v>42692</c:v>
                </c:pt>
                <c:pt idx="946">
                  <c:v>42695</c:v>
                </c:pt>
                <c:pt idx="947">
                  <c:v>42696</c:v>
                </c:pt>
                <c:pt idx="948">
                  <c:v>42697</c:v>
                </c:pt>
                <c:pt idx="949">
                  <c:v>42699</c:v>
                </c:pt>
                <c:pt idx="950">
                  <c:v>42702</c:v>
                </c:pt>
                <c:pt idx="951">
                  <c:v>42703</c:v>
                </c:pt>
                <c:pt idx="952">
                  <c:v>42704</c:v>
                </c:pt>
                <c:pt idx="953">
                  <c:v>42705</c:v>
                </c:pt>
                <c:pt idx="954">
                  <c:v>42706</c:v>
                </c:pt>
                <c:pt idx="955">
                  <c:v>42709</c:v>
                </c:pt>
                <c:pt idx="956">
                  <c:v>42710</c:v>
                </c:pt>
                <c:pt idx="957">
                  <c:v>42711</c:v>
                </c:pt>
                <c:pt idx="958">
                  <c:v>42712</c:v>
                </c:pt>
                <c:pt idx="959">
                  <c:v>42713</c:v>
                </c:pt>
                <c:pt idx="960">
                  <c:v>42716</c:v>
                </c:pt>
                <c:pt idx="961">
                  <c:v>42717</c:v>
                </c:pt>
                <c:pt idx="962">
                  <c:v>42718</c:v>
                </c:pt>
                <c:pt idx="963">
                  <c:v>42719</c:v>
                </c:pt>
                <c:pt idx="964">
                  <c:v>42720</c:v>
                </c:pt>
                <c:pt idx="965">
                  <c:v>42723</c:v>
                </c:pt>
                <c:pt idx="966">
                  <c:v>42724</c:v>
                </c:pt>
                <c:pt idx="967">
                  <c:v>42725</c:v>
                </c:pt>
                <c:pt idx="968">
                  <c:v>42726</c:v>
                </c:pt>
                <c:pt idx="969">
                  <c:v>42727</c:v>
                </c:pt>
                <c:pt idx="970">
                  <c:v>42731</c:v>
                </c:pt>
                <c:pt idx="971">
                  <c:v>42732</c:v>
                </c:pt>
                <c:pt idx="972">
                  <c:v>42733</c:v>
                </c:pt>
                <c:pt idx="973">
                  <c:v>42734</c:v>
                </c:pt>
                <c:pt idx="974">
                  <c:v>42738</c:v>
                </c:pt>
                <c:pt idx="975">
                  <c:v>42739</c:v>
                </c:pt>
                <c:pt idx="976">
                  <c:v>42740</c:v>
                </c:pt>
                <c:pt idx="977">
                  <c:v>42741</c:v>
                </c:pt>
                <c:pt idx="978">
                  <c:v>42744</c:v>
                </c:pt>
                <c:pt idx="979">
                  <c:v>42745</c:v>
                </c:pt>
                <c:pt idx="980">
                  <c:v>42746</c:v>
                </c:pt>
                <c:pt idx="981">
                  <c:v>42747</c:v>
                </c:pt>
                <c:pt idx="982">
                  <c:v>42748</c:v>
                </c:pt>
                <c:pt idx="983">
                  <c:v>42752</c:v>
                </c:pt>
                <c:pt idx="984">
                  <c:v>42753</c:v>
                </c:pt>
                <c:pt idx="985">
                  <c:v>42754</c:v>
                </c:pt>
                <c:pt idx="986">
                  <c:v>42755</c:v>
                </c:pt>
                <c:pt idx="987">
                  <c:v>42758</c:v>
                </c:pt>
                <c:pt idx="988">
                  <c:v>42759</c:v>
                </c:pt>
                <c:pt idx="989">
                  <c:v>42760</c:v>
                </c:pt>
                <c:pt idx="990">
                  <c:v>42761</c:v>
                </c:pt>
                <c:pt idx="991">
                  <c:v>42762</c:v>
                </c:pt>
                <c:pt idx="992">
                  <c:v>42765</c:v>
                </c:pt>
                <c:pt idx="993">
                  <c:v>42766</c:v>
                </c:pt>
                <c:pt idx="994">
                  <c:v>42767</c:v>
                </c:pt>
                <c:pt idx="995">
                  <c:v>42768</c:v>
                </c:pt>
                <c:pt idx="996">
                  <c:v>42769</c:v>
                </c:pt>
                <c:pt idx="997">
                  <c:v>42772</c:v>
                </c:pt>
                <c:pt idx="998">
                  <c:v>42773</c:v>
                </c:pt>
                <c:pt idx="999">
                  <c:v>42774</c:v>
                </c:pt>
                <c:pt idx="1000">
                  <c:v>42775</c:v>
                </c:pt>
                <c:pt idx="1001">
                  <c:v>42776</c:v>
                </c:pt>
                <c:pt idx="1002">
                  <c:v>42779</c:v>
                </c:pt>
                <c:pt idx="1003">
                  <c:v>42780</c:v>
                </c:pt>
                <c:pt idx="1004">
                  <c:v>42781</c:v>
                </c:pt>
                <c:pt idx="1005">
                  <c:v>42782</c:v>
                </c:pt>
                <c:pt idx="1006">
                  <c:v>42783</c:v>
                </c:pt>
                <c:pt idx="1007">
                  <c:v>42787</c:v>
                </c:pt>
                <c:pt idx="1008">
                  <c:v>42788</c:v>
                </c:pt>
                <c:pt idx="1009">
                  <c:v>42789</c:v>
                </c:pt>
                <c:pt idx="1010">
                  <c:v>42790</c:v>
                </c:pt>
                <c:pt idx="1011">
                  <c:v>42793</c:v>
                </c:pt>
                <c:pt idx="1012">
                  <c:v>42794</c:v>
                </c:pt>
                <c:pt idx="1013">
                  <c:v>42795</c:v>
                </c:pt>
                <c:pt idx="1014">
                  <c:v>42796</c:v>
                </c:pt>
                <c:pt idx="1015">
                  <c:v>42797</c:v>
                </c:pt>
                <c:pt idx="1016">
                  <c:v>42800</c:v>
                </c:pt>
                <c:pt idx="1017">
                  <c:v>42801</c:v>
                </c:pt>
                <c:pt idx="1018">
                  <c:v>42802</c:v>
                </c:pt>
                <c:pt idx="1019">
                  <c:v>42803</c:v>
                </c:pt>
                <c:pt idx="1020">
                  <c:v>42804</c:v>
                </c:pt>
                <c:pt idx="1021">
                  <c:v>42807</c:v>
                </c:pt>
                <c:pt idx="1022">
                  <c:v>42808</c:v>
                </c:pt>
                <c:pt idx="1023">
                  <c:v>42809</c:v>
                </c:pt>
                <c:pt idx="1024">
                  <c:v>42810</c:v>
                </c:pt>
                <c:pt idx="1025">
                  <c:v>42811</c:v>
                </c:pt>
                <c:pt idx="1026">
                  <c:v>42814</c:v>
                </c:pt>
                <c:pt idx="1027">
                  <c:v>42815</c:v>
                </c:pt>
                <c:pt idx="1028">
                  <c:v>42816</c:v>
                </c:pt>
                <c:pt idx="1029">
                  <c:v>42817</c:v>
                </c:pt>
                <c:pt idx="1030">
                  <c:v>42818</c:v>
                </c:pt>
                <c:pt idx="1031">
                  <c:v>42821</c:v>
                </c:pt>
                <c:pt idx="1032">
                  <c:v>42822</c:v>
                </c:pt>
                <c:pt idx="1033">
                  <c:v>42823</c:v>
                </c:pt>
                <c:pt idx="1034">
                  <c:v>42824</c:v>
                </c:pt>
                <c:pt idx="1035">
                  <c:v>42825</c:v>
                </c:pt>
                <c:pt idx="1036">
                  <c:v>42828</c:v>
                </c:pt>
                <c:pt idx="1037">
                  <c:v>42829</c:v>
                </c:pt>
                <c:pt idx="1038">
                  <c:v>42830</c:v>
                </c:pt>
                <c:pt idx="1039">
                  <c:v>42831</c:v>
                </c:pt>
                <c:pt idx="1040">
                  <c:v>42832</c:v>
                </c:pt>
                <c:pt idx="1041">
                  <c:v>42835</c:v>
                </c:pt>
                <c:pt idx="1042">
                  <c:v>42836</c:v>
                </c:pt>
                <c:pt idx="1043">
                  <c:v>42837</c:v>
                </c:pt>
                <c:pt idx="1044">
                  <c:v>42838</c:v>
                </c:pt>
                <c:pt idx="1045">
                  <c:v>42842</c:v>
                </c:pt>
                <c:pt idx="1046">
                  <c:v>42843</c:v>
                </c:pt>
                <c:pt idx="1047">
                  <c:v>42844</c:v>
                </c:pt>
                <c:pt idx="1048">
                  <c:v>42845</c:v>
                </c:pt>
                <c:pt idx="1049">
                  <c:v>42846</c:v>
                </c:pt>
                <c:pt idx="1050">
                  <c:v>42849</c:v>
                </c:pt>
                <c:pt idx="1051">
                  <c:v>42850</c:v>
                </c:pt>
                <c:pt idx="1052">
                  <c:v>42851</c:v>
                </c:pt>
                <c:pt idx="1053">
                  <c:v>42852</c:v>
                </c:pt>
                <c:pt idx="1054">
                  <c:v>42853</c:v>
                </c:pt>
                <c:pt idx="1055">
                  <c:v>42856</c:v>
                </c:pt>
                <c:pt idx="1056">
                  <c:v>42857</c:v>
                </c:pt>
                <c:pt idx="1057">
                  <c:v>42858</c:v>
                </c:pt>
                <c:pt idx="1058">
                  <c:v>42859</c:v>
                </c:pt>
                <c:pt idx="1059">
                  <c:v>42860</c:v>
                </c:pt>
                <c:pt idx="1060">
                  <c:v>42863</c:v>
                </c:pt>
                <c:pt idx="1061">
                  <c:v>42864</c:v>
                </c:pt>
                <c:pt idx="1062">
                  <c:v>42865</c:v>
                </c:pt>
                <c:pt idx="1063">
                  <c:v>42866</c:v>
                </c:pt>
                <c:pt idx="1064">
                  <c:v>42867</c:v>
                </c:pt>
                <c:pt idx="1065">
                  <c:v>42870</c:v>
                </c:pt>
                <c:pt idx="1066">
                  <c:v>42871</c:v>
                </c:pt>
                <c:pt idx="1067">
                  <c:v>42872</c:v>
                </c:pt>
                <c:pt idx="1068">
                  <c:v>42873</c:v>
                </c:pt>
                <c:pt idx="1069">
                  <c:v>42874</c:v>
                </c:pt>
                <c:pt idx="1070">
                  <c:v>42877</c:v>
                </c:pt>
                <c:pt idx="1071">
                  <c:v>42878</c:v>
                </c:pt>
                <c:pt idx="1072">
                  <c:v>42879</c:v>
                </c:pt>
                <c:pt idx="1073">
                  <c:v>42880</c:v>
                </c:pt>
                <c:pt idx="1074">
                  <c:v>42881</c:v>
                </c:pt>
                <c:pt idx="1075">
                  <c:v>42885</c:v>
                </c:pt>
                <c:pt idx="1076">
                  <c:v>42886</c:v>
                </c:pt>
                <c:pt idx="1077">
                  <c:v>42887</c:v>
                </c:pt>
                <c:pt idx="1078">
                  <c:v>42888</c:v>
                </c:pt>
                <c:pt idx="1079">
                  <c:v>42891</c:v>
                </c:pt>
                <c:pt idx="1080">
                  <c:v>42892</c:v>
                </c:pt>
                <c:pt idx="1081">
                  <c:v>42893</c:v>
                </c:pt>
                <c:pt idx="1082">
                  <c:v>42894</c:v>
                </c:pt>
                <c:pt idx="1083">
                  <c:v>42895</c:v>
                </c:pt>
                <c:pt idx="1084">
                  <c:v>42898</c:v>
                </c:pt>
                <c:pt idx="1085">
                  <c:v>42899</c:v>
                </c:pt>
                <c:pt idx="1086">
                  <c:v>42900</c:v>
                </c:pt>
                <c:pt idx="1087">
                  <c:v>42901</c:v>
                </c:pt>
                <c:pt idx="1088">
                  <c:v>42902</c:v>
                </c:pt>
                <c:pt idx="1089">
                  <c:v>42905</c:v>
                </c:pt>
                <c:pt idx="1090">
                  <c:v>42906</c:v>
                </c:pt>
                <c:pt idx="1091">
                  <c:v>42907</c:v>
                </c:pt>
                <c:pt idx="1092">
                  <c:v>42908</c:v>
                </c:pt>
                <c:pt idx="1093">
                  <c:v>42909</c:v>
                </c:pt>
                <c:pt idx="1094">
                  <c:v>42912</c:v>
                </c:pt>
                <c:pt idx="1095">
                  <c:v>42913</c:v>
                </c:pt>
                <c:pt idx="1096">
                  <c:v>42914</c:v>
                </c:pt>
                <c:pt idx="1097">
                  <c:v>42915</c:v>
                </c:pt>
                <c:pt idx="1098">
                  <c:v>42916</c:v>
                </c:pt>
                <c:pt idx="1099">
                  <c:v>42919</c:v>
                </c:pt>
                <c:pt idx="1100">
                  <c:v>42921</c:v>
                </c:pt>
                <c:pt idx="1101">
                  <c:v>42922</c:v>
                </c:pt>
                <c:pt idx="1102">
                  <c:v>42923</c:v>
                </c:pt>
                <c:pt idx="1103">
                  <c:v>42926</c:v>
                </c:pt>
                <c:pt idx="1104">
                  <c:v>42927</c:v>
                </c:pt>
                <c:pt idx="1105">
                  <c:v>42928</c:v>
                </c:pt>
                <c:pt idx="1106">
                  <c:v>42929</c:v>
                </c:pt>
                <c:pt idx="1107">
                  <c:v>42930</c:v>
                </c:pt>
                <c:pt idx="1108">
                  <c:v>42933</c:v>
                </c:pt>
                <c:pt idx="1109">
                  <c:v>42934</c:v>
                </c:pt>
                <c:pt idx="1110">
                  <c:v>42935</c:v>
                </c:pt>
                <c:pt idx="1111">
                  <c:v>42936</c:v>
                </c:pt>
                <c:pt idx="1112">
                  <c:v>42937</c:v>
                </c:pt>
                <c:pt idx="1113">
                  <c:v>42940</c:v>
                </c:pt>
                <c:pt idx="1114">
                  <c:v>42941</c:v>
                </c:pt>
                <c:pt idx="1115">
                  <c:v>42942</c:v>
                </c:pt>
                <c:pt idx="1116">
                  <c:v>42943</c:v>
                </c:pt>
                <c:pt idx="1117">
                  <c:v>42944</c:v>
                </c:pt>
                <c:pt idx="1118">
                  <c:v>42947</c:v>
                </c:pt>
                <c:pt idx="1119">
                  <c:v>42948</c:v>
                </c:pt>
                <c:pt idx="1120">
                  <c:v>42949</c:v>
                </c:pt>
                <c:pt idx="1121">
                  <c:v>42950</c:v>
                </c:pt>
                <c:pt idx="1122">
                  <c:v>42951</c:v>
                </c:pt>
                <c:pt idx="1123">
                  <c:v>42954</c:v>
                </c:pt>
                <c:pt idx="1124">
                  <c:v>42955</c:v>
                </c:pt>
                <c:pt idx="1125">
                  <c:v>42956</c:v>
                </c:pt>
                <c:pt idx="1126">
                  <c:v>42957</c:v>
                </c:pt>
                <c:pt idx="1127">
                  <c:v>42958</c:v>
                </c:pt>
                <c:pt idx="1128">
                  <c:v>42961</c:v>
                </c:pt>
                <c:pt idx="1129">
                  <c:v>42962</c:v>
                </c:pt>
                <c:pt idx="1130">
                  <c:v>42963</c:v>
                </c:pt>
                <c:pt idx="1131">
                  <c:v>42964</c:v>
                </c:pt>
                <c:pt idx="1132">
                  <c:v>42965</c:v>
                </c:pt>
                <c:pt idx="1133">
                  <c:v>42968</c:v>
                </c:pt>
                <c:pt idx="1134">
                  <c:v>42969</c:v>
                </c:pt>
                <c:pt idx="1135">
                  <c:v>42970</c:v>
                </c:pt>
                <c:pt idx="1136">
                  <c:v>42971</c:v>
                </c:pt>
                <c:pt idx="1137">
                  <c:v>42972</c:v>
                </c:pt>
                <c:pt idx="1138">
                  <c:v>42975</c:v>
                </c:pt>
                <c:pt idx="1139">
                  <c:v>42976</c:v>
                </c:pt>
                <c:pt idx="1140">
                  <c:v>42977</c:v>
                </c:pt>
                <c:pt idx="1141">
                  <c:v>42978</c:v>
                </c:pt>
                <c:pt idx="1142">
                  <c:v>42979</c:v>
                </c:pt>
                <c:pt idx="1143">
                  <c:v>42983</c:v>
                </c:pt>
                <c:pt idx="1144">
                  <c:v>42984</c:v>
                </c:pt>
                <c:pt idx="1145">
                  <c:v>42985</c:v>
                </c:pt>
                <c:pt idx="1146">
                  <c:v>42986</c:v>
                </c:pt>
                <c:pt idx="1147">
                  <c:v>42989</c:v>
                </c:pt>
                <c:pt idx="1148">
                  <c:v>42990</c:v>
                </c:pt>
                <c:pt idx="1149">
                  <c:v>42991</c:v>
                </c:pt>
                <c:pt idx="1150">
                  <c:v>42992</c:v>
                </c:pt>
                <c:pt idx="1151">
                  <c:v>42993</c:v>
                </c:pt>
                <c:pt idx="1152">
                  <c:v>42996</c:v>
                </c:pt>
                <c:pt idx="1153">
                  <c:v>42997</c:v>
                </c:pt>
                <c:pt idx="1154">
                  <c:v>42998</c:v>
                </c:pt>
                <c:pt idx="1155">
                  <c:v>42999</c:v>
                </c:pt>
                <c:pt idx="1156">
                  <c:v>43000</c:v>
                </c:pt>
                <c:pt idx="1157">
                  <c:v>43003</c:v>
                </c:pt>
                <c:pt idx="1158">
                  <c:v>43004</c:v>
                </c:pt>
                <c:pt idx="1159">
                  <c:v>43005</c:v>
                </c:pt>
                <c:pt idx="1160">
                  <c:v>43006</c:v>
                </c:pt>
                <c:pt idx="1161">
                  <c:v>43007</c:v>
                </c:pt>
                <c:pt idx="1162">
                  <c:v>43010</c:v>
                </c:pt>
                <c:pt idx="1163">
                  <c:v>43011</c:v>
                </c:pt>
                <c:pt idx="1164">
                  <c:v>43012</c:v>
                </c:pt>
                <c:pt idx="1165">
                  <c:v>43013</c:v>
                </c:pt>
                <c:pt idx="1166">
                  <c:v>43014</c:v>
                </c:pt>
                <c:pt idx="1167">
                  <c:v>43017</c:v>
                </c:pt>
                <c:pt idx="1168">
                  <c:v>43018</c:v>
                </c:pt>
                <c:pt idx="1169">
                  <c:v>43019</c:v>
                </c:pt>
                <c:pt idx="1170">
                  <c:v>43020</c:v>
                </c:pt>
                <c:pt idx="1171">
                  <c:v>43021</c:v>
                </c:pt>
                <c:pt idx="1172">
                  <c:v>43024</c:v>
                </c:pt>
                <c:pt idx="1173">
                  <c:v>43025</c:v>
                </c:pt>
                <c:pt idx="1174">
                  <c:v>43026</c:v>
                </c:pt>
                <c:pt idx="1175">
                  <c:v>43027</c:v>
                </c:pt>
                <c:pt idx="1176">
                  <c:v>43028</c:v>
                </c:pt>
                <c:pt idx="1177">
                  <c:v>43031</c:v>
                </c:pt>
                <c:pt idx="1178">
                  <c:v>43032</c:v>
                </c:pt>
                <c:pt idx="1179">
                  <c:v>43033</c:v>
                </c:pt>
                <c:pt idx="1180">
                  <c:v>43034</c:v>
                </c:pt>
                <c:pt idx="1181">
                  <c:v>43035</c:v>
                </c:pt>
                <c:pt idx="1182">
                  <c:v>43038</c:v>
                </c:pt>
                <c:pt idx="1183">
                  <c:v>43039</c:v>
                </c:pt>
                <c:pt idx="1184">
                  <c:v>43040</c:v>
                </c:pt>
                <c:pt idx="1185">
                  <c:v>43041</c:v>
                </c:pt>
                <c:pt idx="1186">
                  <c:v>43042</c:v>
                </c:pt>
                <c:pt idx="1187">
                  <c:v>43045</c:v>
                </c:pt>
                <c:pt idx="1188">
                  <c:v>43046</c:v>
                </c:pt>
                <c:pt idx="1189">
                  <c:v>43047</c:v>
                </c:pt>
                <c:pt idx="1190">
                  <c:v>43048</c:v>
                </c:pt>
                <c:pt idx="1191">
                  <c:v>43049</c:v>
                </c:pt>
                <c:pt idx="1192">
                  <c:v>43052</c:v>
                </c:pt>
                <c:pt idx="1193">
                  <c:v>43053</c:v>
                </c:pt>
                <c:pt idx="1194">
                  <c:v>43054</c:v>
                </c:pt>
                <c:pt idx="1195">
                  <c:v>43055</c:v>
                </c:pt>
                <c:pt idx="1196">
                  <c:v>43056</c:v>
                </c:pt>
                <c:pt idx="1197">
                  <c:v>43059</c:v>
                </c:pt>
                <c:pt idx="1198">
                  <c:v>43060</c:v>
                </c:pt>
                <c:pt idx="1199">
                  <c:v>43061</c:v>
                </c:pt>
                <c:pt idx="1200">
                  <c:v>43063</c:v>
                </c:pt>
                <c:pt idx="1201">
                  <c:v>43066</c:v>
                </c:pt>
                <c:pt idx="1202">
                  <c:v>43067</c:v>
                </c:pt>
                <c:pt idx="1203">
                  <c:v>43068</c:v>
                </c:pt>
                <c:pt idx="1204">
                  <c:v>43069</c:v>
                </c:pt>
                <c:pt idx="1205">
                  <c:v>43070</c:v>
                </c:pt>
                <c:pt idx="1206">
                  <c:v>43073</c:v>
                </c:pt>
                <c:pt idx="1207">
                  <c:v>43074</c:v>
                </c:pt>
                <c:pt idx="1208">
                  <c:v>43075</c:v>
                </c:pt>
                <c:pt idx="1209">
                  <c:v>43076</c:v>
                </c:pt>
                <c:pt idx="1210">
                  <c:v>43077</c:v>
                </c:pt>
                <c:pt idx="1211">
                  <c:v>43080</c:v>
                </c:pt>
                <c:pt idx="1212">
                  <c:v>43081</c:v>
                </c:pt>
                <c:pt idx="1213">
                  <c:v>43082</c:v>
                </c:pt>
                <c:pt idx="1214">
                  <c:v>43083</c:v>
                </c:pt>
                <c:pt idx="1215">
                  <c:v>43084</c:v>
                </c:pt>
                <c:pt idx="1216">
                  <c:v>43087</c:v>
                </c:pt>
                <c:pt idx="1217">
                  <c:v>43088</c:v>
                </c:pt>
                <c:pt idx="1218">
                  <c:v>43089</c:v>
                </c:pt>
                <c:pt idx="1219">
                  <c:v>43090</c:v>
                </c:pt>
              </c:numCache>
            </c:numRef>
          </c:xVal>
          <c:yVal>
            <c:numRef>
              <c:f>[0]!os_graph</c:f>
              <c:numCache>
                <c:formatCode>0.00%</c:formatCode>
                <c:ptCount val="1220"/>
                <c:pt idx="121">
                  <c:v>-3.3122562199270789E-2</c:v>
                </c:pt>
                <c:pt idx="224">
                  <c:v>-2.8675143881248033E-2</c:v>
                </c:pt>
                <c:pt idx="230">
                  <c:v>-5.6857946719455654E-2</c:v>
                </c:pt>
                <c:pt idx="231">
                  <c:v>-4.9820603102111782E-2</c:v>
                </c:pt>
                <c:pt idx="232">
                  <c:v>-4.2921560672315451E-2</c:v>
                </c:pt>
                <c:pt idx="359">
                  <c:v>-3.5380034497545232E-2</c:v>
                </c:pt>
                <c:pt idx="397">
                  <c:v>-3.295288493416848E-2</c:v>
                </c:pt>
                <c:pt idx="446">
                  <c:v>-2.2782348446616751E-2</c:v>
                </c:pt>
                <c:pt idx="448">
                  <c:v>-2.5204926348099121E-2</c:v>
                </c:pt>
                <c:pt idx="449">
                  <c:v>-3.7931879573465999E-2</c:v>
                </c:pt>
                <c:pt idx="450">
                  <c:v>-5.0214813307149164E-2</c:v>
                </c:pt>
                <c:pt idx="506">
                  <c:v>-3.3528746910648444E-2</c:v>
                </c:pt>
                <c:pt idx="507">
                  <c:v>-3.3971149072389295E-2</c:v>
                </c:pt>
                <c:pt idx="509">
                  <c:v>-3.0687239451861359E-2</c:v>
                </c:pt>
                <c:pt idx="621">
                  <c:v>-6.5440585240254201E-2</c:v>
                </c:pt>
                <c:pt idx="622">
                  <c:v>-9.6048964708726814E-2</c:v>
                </c:pt>
                <c:pt idx="623">
                  <c:v>-0.11061281856568339</c:v>
                </c:pt>
                <c:pt idx="624">
                  <c:v>-7.1045493073849997E-2</c:v>
                </c:pt>
                <c:pt idx="625">
                  <c:v>-5.0942570837324119E-2</c:v>
                </c:pt>
                <c:pt idx="626">
                  <c:v>-5.553191119502543E-2</c:v>
                </c:pt>
                <c:pt idx="627">
                  <c:v>-6.1330006970724327E-2</c:v>
                </c:pt>
                <c:pt idx="628">
                  <c:v>-8.30635200713008E-2</c:v>
                </c:pt>
                <c:pt idx="700">
                  <c:v>-3.913146907468068E-2</c:v>
                </c:pt>
                <c:pt idx="719">
                  <c:v>-6.9571815685826266E-2</c:v>
                </c:pt>
                <c:pt idx="720">
                  <c:v>-8.761079228463764E-2</c:v>
                </c:pt>
                <c:pt idx="722">
                  <c:v>-6.8009977196354932E-2</c:v>
                </c:pt>
                <c:pt idx="891">
                  <c:v>-1.8902505798421565E-2</c:v>
                </c:pt>
                <c:pt idx="926">
                  <c:v>-3.1231141941766793E-2</c:v>
                </c:pt>
                <c:pt idx="1122">
                  <c:v>-1.9084171549347495E-2</c:v>
                </c:pt>
                <c:pt idx="1123">
                  <c:v>-2.2567069886950897E-2</c:v>
                </c:pt>
                <c:pt idx="1124">
                  <c:v>-1.8987742184664924E-2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7516-4ED0-9936-A21FC45C2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64000"/>
        <c:axId val="226818816"/>
      </c:scatterChart>
      <c:dateAx>
        <c:axId val="83264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50000"/>
                </a:schemeClr>
              </a:solidFill>
              <a:prstDash val="dash"/>
              <a:round/>
            </a:ln>
            <a:effectLst/>
          </c:spPr>
        </c:majorGridlines>
        <c:numFmt formatCode="mmm\ yyyy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226818816"/>
        <c:crosses val="autoZero"/>
        <c:auto val="1"/>
        <c:lblOffset val="100"/>
        <c:baseTimeUnit val="days"/>
        <c:majorUnit val="1"/>
        <c:majorTimeUnit val="months"/>
      </c:dateAx>
      <c:valAx>
        <c:axId val="22681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50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8326400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Open Sans" panose="020B0606030504020204" pitchFamily="34" charset="0"/>
          <a:ea typeface="Open Sans" panose="020B0606030504020204" pitchFamily="34" charset="0"/>
          <a:cs typeface="Open Sans" panose="020B0606030504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642470</xdr:colOff>
      <xdr:row>1</xdr:row>
      <xdr:rowOff>0</xdr:rowOff>
    </xdr:from>
    <xdr:to>
      <xdr:col>21</xdr:col>
      <xdr:colOff>522941</xdr:colOff>
      <xdr:row>30</xdr:row>
      <xdr:rowOff>178175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86BC25"/>
      </a:accent1>
      <a:accent2>
        <a:srgbClr val="2C5234"/>
      </a:accent2>
      <a:accent3>
        <a:srgbClr val="00A3E0"/>
      </a:accent3>
      <a:accent4>
        <a:srgbClr val="012169"/>
      </a:accent4>
      <a:accent5>
        <a:srgbClr val="0097A9"/>
      </a:accent5>
      <a:accent6>
        <a:srgbClr val="75787B"/>
      </a:accent6>
      <a:hlink>
        <a:srgbClr val="00A3E0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252"/>
  <sheetViews>
    <sheetView tabSelected="1" workbookViewId="0">
      <selection activeCell="P252" sqref="P252"/>
    </sheetView>
  </sheetViews>
  <sheetFormatPr defaultRowHeight="15"/>
  <cols>
    <col min="3" max="3" width="13.28515625" bestFit="1" customWidth="1"/>
    <col min="4" max="4" width="27.85546875" bestFit="1" customWidth="1"/>
    <col min="5" max="5" width="3" bestFit="1" customWidth="1"/>
    <col min="6" max="8" width="9.5703125" bestFit="1" customWidth="1"/>
    <col min="9" max="9" width="18.140625" bestFit="1" customWidth="1"/>
    <col min="10" max="10" width="12" bestFit="1" customWidth="1"/>
    <col min="11" max="11" width="14.42578125" bestFit="1" customWidth="1"/>
    <col min="12" max="12" width="10.5703125" bestFit="1" customWidth="1"/>
    <col min="13" max="13" width="23.42578125" bestFit="1" customWidth="1"/>
    <col min="14" max="14" width="19.42578125" customWidth="1"/>
    <col min="15" max="15" width="12.28515625" bestFit="1" customWidth="1"/>
  </cols>
  <sheetData>
    <row r="1" spans="1:9" ht="15.75" thickBot="1">
      <c r="A1" s="71" t="s">
        <v>0</v>
      </c>
      <c r="B1" s="71" t="s">
        <v>57</v>
      </c>
      <c r="C1" s="71" t="s">
        <v>56</v>
      </c>
      <c r="D1" s="71" t="s">
        <v>55</v>
      </c>
    </row>
    <row r="2" spans="1:9">
      <c r="A2" s="64">
        <v>41296</v>
      </c>
      <c r="B2">
        <v>1492.5600589999999</v>
      </c>
      <c r="F2" t="s">
        <v>54</v>
      </c>
      <c r="G2" t="s">
        <v>53</v>
      </c>
    </row>
    <row r="3" spans="1:9">
      <c r="A3" s="64">
        <v>41297</v>
      </c>
      <c r="B3">
        <v>1494.8100589999999</v>
      </c>
      <c r="C3" s="68">
        <f>LN(B3)-LN(B2)</f>
        <v>1.5063419238829923E-3</v>
      </c>
      <c r="D3" s="68">
        <f>C3*C3</f>
        <v>2.2690659916475143E-6</v>
      </c>
      <c r="E3" s="69">
        <v>19</v>
      </c>
      <c r="F3" s="68">
        <f>(1-$G$3)*$G$3^E3</f>
        <v>5.4509909819410091E-4</v>
      </c>
      <c r="G3" s="68">
        <v>0.72</v>
      </c>
      <c r="H3" s="68">
        <f>D3*F3</f>
        <v>1.2368658257899633E-9</v>
      </c>
      <c r="I3" s="68"/>
    </row>
    <row r="4" spans="1:9">
      <c r="A4" s="64">
        <v>41298</v>
      </c>
      <c r="B4">
        <v>1494.8199460000001</v>
      </c>
      <c r="C4" s="68">
        <f>LN(B4)-LN(B3)</f>
        <v>6.6141963950272498E-6</v>
      </c>
      <c r="D4" s="68">
        <f>C4*C4</f>
        <v>4.3747593951991469E-11</v>
      </c>
      <c r="E4" s="69">
        <v>18</v>
      </c>
      <c r="F4" s="68">
        <f>(1-$G$3)*$G$3^E4</f>
        <v>7.5708208082514027E-4</v>
      </c>
      <c r="G4" s="68"/>
      <c r="H4" s="68">
        <f>D4*F4</f>
        <v>3.3120519460267026E-14</v>
      </c>
      <c r="I4" s="68"/>
    </row>
    <row r="5" spans="1:9">
      <c r="A5" s="64">
        <v>41299</v>
      </c>
      <c r="B5">
        <v>1502.959961</v>
      </c>
      <c r="C5" s="68">
        <f>LN(B5)-LN(B4)</f>
        <v>5.4307088968288397E-3</v>
      </c>
      <c r="D5" s="68">
        <f>C5*C5</f>
        <v>2.9492599122095913E-5</v>
      </c>
      <c r="E5" s="69">
        <v>17</v>
      </c>
      <c r="F5" s="68">
        <f>(1-$G$3)*$G$3^E5</f>
        <v>1.051502890034917E-3</v>
      </c>
      <c r="G5" s="68"/>
      <c r="H5" s="68">
        <f>D5*F5</f>
        <v>3.1011553211525111E-8</v>
      </c>
    </row>
    <row r="6" spans="1:9">
      <c r="A6" s="64">
        <v>41302</v>
      </c>
      <c r="B6">
        <v>1500.1800539999999</v>
      </c>
      <c r="C6" s="68">
        <f>LN(B6)-LN(B5)</f>
        <v>-1.8513341236916503E-3</v>
      </c>
      <c r="D6" s="68">
        <f>C6*C6</f>
        <v>3.4274380375451307E-6</v>
      </c>
      <c r="E6" s="69">
        <v>16</v>
      </c>
      <c r="F6" s="68">
        <f>(1-$G$3)*$G$3^E6</f>
        <v>1.4604206806040515E-3</v>
      </c>
      <c r="G6" s="68"/>
      <c r="H6" s="68">
        <f>D6*F6</f>
        <v>5.0055013915198744E-9</v>
      </c>
    </row>
    <row r="7" spans="1:9">
      <c r="A7" s="64">
        <v>41303</v>
      </c>
      <c r="B7">
        <v>1507.839966</v>
      </c>
      <c r="C7" s="68">
        <f>LN(B7)-LN(B6)</f>
        <v>5.0930037076888368E-3</v>
      </c>
      <c r="D7" s="68">
        <f>C7*C7</f>
        <v>2.5938686766532238E-5</v>
      </c>
      <c r="E7" s="69">
        <v>15</v>
      </c>
      <c r="F7" s="68">
        <f>(1-$G$3)*$G$3^E7</f>
        <v>2.0283620563945164E-3</v>
      </c>
      <c r="G7" s="68"/>
      <c r="H7" s="68">
        <f>D7*F7</f>
        <v>5.2613048029936558E-8</v>
      </c>
    </row>
    <row r="8" spans="1:9">
      <c r="A8" s="64">
        <v>41304</v>
      </c>
      <c r="B8">
        <v>1501.959961</v>
      </c>
      <c r="C8" s="68">
        <f>LN(B8)-LN(B7)</f>
        <v>-3.9072447493087026E-3</v>
      </c>
      <c r="D8" s="68">
        <f>C8*C8</f>
        <v>1.5266561531000425E-5</v>
      </c>
      <c r="E8" s="69">
        <v>14</v>
      </c>
      <c r="F8" s="68">
        <f>(1-$G$3)*$G$3^E8</f>
        <v>2.8171695227701618E-3</v>
      </c>
      <c r="G8" s="68"/>
      <c r="H8" s="68">
        <f>D8*F8</f>
        <v>4.300849186262978E-8</v>
      </c>
    </row>
    <row r="9" spans="1:9">
      <c r="A9" s="64">
        <v>41305</v>
      </c>
      <c r="B9">
        <v>1498.1099850000001</v>
      </c>
      <c r="C9" s="68">
        <f>LN(B9)-LN(B8)</f>
        <v>-2.5665922346744807E-3</v>
      </c>
      <c r="D9" s="68">
        <f>C9*C9</f>
        <v>6.5873956990913444E-6</v>
      </c>
      <c r="E9" s="69">
        <v>13</v>
      </c>
      <c r="F9" s="68">
        <f>(1-$G$3)*$G$3^E9</f>
        <v>3.912735448291892E-3</v>
      </c>
      <c r="G9" s="68"/>
      <c r="H9" s="68">
        <f>D9*F9</f>
        <v>2.5774736663760253E-8</v>
      </c>
    </row>
    <row r="10" spans="1:9">
      <c r="A10" s="64">
        <v>41306</v>
      </c>
      <c r="B10">
        <v>1513.170044</v>
      </c>
      <c r="C10" s="68">
        <f>LN(B10)-LN(B9)</f>
        <v>1.0002513494820953E-2</v>
      </c>
      <c r="D10" s="68">
        <f>C10*C10</f>
        <v>1.0005027621407527E-4</v>
      </c>
      <c r="E10" s="69">
        <v>12</v>
      </c>
      <c r="F10" s="68">
        <f>(1-$G$3)*$G$3^E10</f>
        <v>5.4343547892942937E-3</v>
      </c>
      <c r="G10" s="68"/>
      <c r="H10" s="68">
        <f>D10*F10</f>
        <v>5.4370869771417697E-7</v>
      </c>
    </row>
    <row r="11" spans="1:9">
      <c r="A11" s="64">
        <v>41309</v>
      </c>
      <c r="B11">
        <v>1495.709961</v>
      </c>
      <c r="C11" s="68">
        <f>LN(B11)-LN(B10)</f>
        <v>-1.1605832704006502E-2</v>
      </c>
      <c r="D11" s="68">
        <f>C11*C11</f>
        <v>1.3469535275338688E-4</v>
      </c>
      <c r="E11" s="69">
        <v>11</v>
      </c>
      <c r="F11" s="68">
        <f>(1-$G$3)*$G$3^E11</f>
        <v>7.5477149851309634E-3</v>
      </c>
      <c r="G11" s="68"/>
      <c r="H11" s="68">
        <f>D11*F11</f>
        <v>1.0166421324042394E-6</v>
      </c>
    </row>
    <row r="12" spans="1:9">
      <c r="A12" s="64">
        <v>41310</v>
      </c>
      <c r="B12">
        <v>1511.290039</v>
      </c>
      <c r="C12" s="68">
        <f>LN(B12)-LN(B11)</f>
        <v>1.036263213891786E-2</v>
      </c>
      <c r="D12" s="68">
        <f>C12*C12</f>
        <v>1.0738414484653334E-4</v>
      </c>
      <c r="E12" s="69">
        <v>10</v>
      </c>
      <c r="F12" s="68">
        <f>(1-$G$3)*$G$3^E12</f>
        <v>1.0482937479348562E-2</v>
      </c>
      <c r="G12" s="68"/>
      <c r="H12" s="68">
        <f>D12*F12</f>
        <v>1.125701276699519E-6</v>
      </c>
    </row>
    <row r="13" spans="1:9">
      <c r="A13" s="64">
        <v>41311</v>
      </c>
      <c r="B13">
        <v>1512.119995</v>
      </c>
      <c r="C13" s="68">
        <f>LN(B13)-LN(B12)</f>
        <v>5.4901982299071506E-4</v>
      </c>
      <c r="D13" s="68">
        <f>C13*C13</f>
        <v>3.0142276603675608E-7</v>
      </c>
      <c r="E13" s="69">
        <v>9</v>
      </c>
      <c r="F13" s="68">
        <f>(1-$G$3)*$G$3^E13</f>
        <v>1.4559635387984113E-2</v>
      </c>
      <c r="G13" s="68"/>
      <c r="H13" s="68">
        <f>D13*F13</f>
        <v>4.3886055711328099E-9</v>
      </c>
    </row>
    <row r="14" spans="1:9">
      <c r="A14" s="64">
        <v>41312</v>
      </c>
      <c r="B14">
        <v>1509.3900149999999</v>
      </c>
      <c r="C14" s="68">
        <f>LN(B14)-LN(B13)</f>
        <v>-1.807030745441196E-3</v>
      </c>
      <c r="D14" s="68">
        <f>C14*C14</f>
        <v>3.2653601149697647E-6</v>
      </c>
      <c r="E14" s="69">
        <v>8</v>
      </c>
      <c r="F14" s="68">
        <f>(1-$G$3)*$G$3^E14</f>
        <v>2.0221715816644604E-2</v>
      </c>
      <c r="G14" s="68"/>
      <c r="H14" s="68">
        <f>D14*F14</f>
        <v>6.6031184283924527E-8</v>
      </c>
    </row>
    <row r="15" spans="1:9">
      <c r="A15" s="64">
        <v>41313</v>
      </c>
      <c r="B15">
        <v>1517.9300539999999</v>
      </c>
      <c r="C15" s="68">
        <f>LN(B15)-LN(B14)</f>
        <v>5.6419945425583151E-3</v>
      </c>
      <c r="D15" s="68">
        <f>C15*C15</f>
        <v>3.183210241825781E-5</v>
      </c>
      <c r="E15" s="69">
        <v>7</v>
      </c>
      <c r="F15" s="68">
        <f>(1-$G$3)*$G$3^E15</f>
        <v>2.8085716412006394E-2</v>
      </c>
      <c r="G15" s="68"/>
      <c r="H15" s="68">
        <f>D15*F15</f>
        <v>8.940274013171318E-7</v>
      </c>
    </row>
    <row r="16" spans="1:9">
      <c r="A16" s="64">
        <v>41316</v>
      </c>
      <c r="B16">
        <v>1517.01001</v>
      </c>
      <c r="C16" s="68">
        <f>LN(B16)-LN(B15)</f>
        <v>-6.0630128357175295E-4</v>
      </c>
      <c r="D16" s="68">
        <f>C16*C16</f>
        <v>3.6760124646075517E-7</v>
      </c>
      <c r="E16" s="69">
        <v>6</v>
      </c>
      <c r="F16" s="68">
        <f>(1-$G$3)*$G$3^E16</f>
        <v>3.9007939461119995E-2</v>
      </c>
      <c r="G16" s="68"/>
      <c r="H16" s="68">
        <f>D16*F16</f>
        <v>1.4339367167773389E-8</v>
      </c>
    </row>
    <row r="17" spans="1:17">
      <c r="A17" s="64">
        <v>41317</v>
      </c>
      <c r="B17">
        <v>1519.4300539999999</v>
      </c>
      <c r="C17" s="68">
        <f>LN(B17)-LN(B16)</f>
        <v>1.5940011733501791E-3</v>
      </c>
      <c r="D17" s="68">
        <f>C17*C17</f>
        <v>2.5408397406417478E-6</v>
      </c>
      <c r="E17" s="69">
        <v>5</v>
      </c>
      <c r="F17" s="68">
        <f>(1-$G$3)*$G$3^E17</f>
        <v>5.4177693696E-2</v>
      </c>
      <c r="G17" s="68"/>
      <c r="H17" s="68">
        <f>D17*F17</f>
        <v>1.3765683719911269E-7</v>
      </c>
    </row>
    <row r="18" spans="1:17">
      <c r="A18" s="64">
        <v>41318</v>
      </c>
      <c r="B18">
        <v>1520.329956</v>
      </c>
      <c r="C18" s="68">
        <f>LN(B18)-LN(B17)</f>
        <v>5.9208754857564827E-4</v>
      </c>
      <c r="D18" s="68">
        <f>C18*C18</f>
        <v>3.5056766517832065E-7</v>
      </c>
      <c r="E18" s="69">
        <v>4</v>
      </c>
      <c r="F18" s="68">
        <f>(1-$G$3)*$G$3^E18</f>
        <v>7.5246796800000001E-2</v>
      </c>
      <c r="G18" s="68"/>
      <c r="H18" s="68">
        <f>D18*F18</f>
        <v>2.6379093866323531E-8</v>
      </c>
    </row>
    <row r="19" spans="1:17">
      <c r="A19" s="64">
        <v>41319</v>
      </c>
      <c r="B19">
        <v>1521.380005</v>
      </c>
      <c r="C19" s="68">
        <f>LN(B19)-LN(B18)</f>
        <v>6.9043337805130278E-4</v>
      </c>
      <c r="D19" s="68">
        <f>C19*C19</f>
        <v>4.766982495273332E-7</v>
      </c>
      <c r="E19" s="69">
        <v>3</v>
      </c>
      <c r="F19" s="68">
        <f>(1-$G$3)*$G$3^E19</f>
        <v>0.10450944</v>
      </c>
      <c r="G19" s="68"/>
      <c r="H19" s="68">
        <f>D19*F19</f>
        <v>4.9819467107081856E-8</v>
      </c>
    </row>
    <row r="20" spans="1:17">
      <c r="A20" s="64">
        <v>41320</v>
      </c>
      <c r="B20">
        <v>1519.790039</v>
      </c>
      <c r="C20" s="68">
        <f>LN(B20)-LN(B19)</f>
        <v>-1.0456279141646263E-3</v>
      </c>
      <c r="D20" s="68">
        <f>C20*C20</f>
        <v>1.0933377348802672E-6</v>
      </c>
      <c r="E20" s="69">
        <v>2</v>
      </c>
      <c r="F20" s="68">
        <f>(1-$G$3)*$G$3^E20</f>
        <v>0.145152</v>
      </c>
      <c r="G20" s="68"/>
      <c r="H20" s="68">
        <f>D20*F20</f>
        <v>1.5870015889334056E-7</v>
      </c>
    </row>
    <row r="21" spans="1:17">
      <c r="A21" s="64">
        <v>41324</v>
      </c>
      <c r="B21">
        <v>1530.9399410000001</v>
      </c>
      <c r="C21" s="68">
        <f>LN(B21)-LN(B20)</f>
        <v>7.309694217125795E-3</v>
      </c>
      <c r="D21" s="68">
        <f>C21*C21</f>
        <v>5.3431629547882287E-5</v>
      </c>
      <c r="E21" s="69">
        <v>1</v>
      </c>
      <c r="F21" s="68">
        <f>(1-$G$3)*$G$3^E21</f>
        <v>0.2016</v>
      </c>
      <c r="G21" s="68"/>
      <c r="H21" s="68">
        <f>D21*F21</f>
        <v>1.077181651685307E-5</v>
      </c>
    </row>
    <row r="22" spans="1:17" ht="15.75" thickBot="1">
      <c r="A22" s="64">
        <v>41325</v>
      </c>
      <c r="B22">
        <v>1511.9499510000001</v>
      </c>
      <c r="C22" s="68">
        <f>LN(B22)-LN(B21)</f>
        <v>-1.2481711278324426E-2</v>
      </c>
      <c r="D22" s="68">
        <f>C22*C22</f>
        <v>1.5579311643545117E-4</v>
      </c>
      <c r="E22" s="69">
        <v>0</v>
      </c>
      <c r="F22" s="68">
        <f>(1-$G$3)*$G$3^E22</f>
        <v>0.28000000000000003</v>
      </c>
      <c r="G22" s="68"/>
      <c r="H22" s="68">
        <f>D22*F22</f>
        <v>4.3622072601926333E-5</v>
      </c>
      <c r="I22" s="70" t="s">
        <v>52</v>
      </c>
      <c r="J22" s="70" t="s">
        <v>1</v>
      </c>
      <c r="K22" s="70" t="s">
        <v>50</v>
      </c>
      <c r="L22" s="70" t="s">
        <v>49</v>
      </c>
      <c r="M22" s="73" t="s">
        <v>59</v>
      </c>
      <c r="N22" s="70" t="s">
        <v>51</v>
      </c>
      <c r="O22" s="70" t="s">
        <v>58</v>
      </c>
      <c r="P22" s="70" t="s">
        <v>50</v>
      </c>
      <c r="Q22" s="70" t="s">
        <v>49</v>
      </c>
    </row>
    <row r="23" spans="1:17">
      <c r="A23" s="64">
        <v>41326</v>
      </c>
      <c r="B23">
        <v>1502.420044</v>
      </c>
      <c r="C23" s="68">
        <f>LN(B23)-LN(B22)</f>
        <v>-6.3230053155880483E-3</v>
      </c>
      <c r="D23" s="68"/>
      <c r="E23" s="69"/>
      <c r="F23" s="68"/>
      <c r="G23" s="68"/>
      <c r="H23" s="68"/>
      <c r="I23">
        <f>_xlfn.STDEV.S(C3:C23)</f>
        <v>5.9685851229667247E-3</v>
      </c>
      <c r="J23">
        <f>_xlfn.NORM.S.INV(0.99)*I23*SQRT(10)</f>
        <v>4.3908242108968092E-2</v>
      </c>
      <c r="K23">
        <f>LN(B32)-LN(B23)</f>
        <v>2.5652823252067414E-2</v>
      </c>
      <c r="L23">
        <f>IF(K23&lt;-(J23),1,0)</f>
        <v>0</v>
      </c>
      <c r="M23" s="72">
        <f>EWMAV(B2:B22,0.72,0.99)*SQRT(10)</f>
        <v>5.6310082153136459E-2</v>
      </c>
      <c r="N23" s="68">
        <f>SQRT(SUM(H3:H22))</f>
        <v>7.6544061540467553E-3</v>
      </c>
      <c r="O23" s="85">
        <f>_xlfn.NORM.S.INV(0.99)*N23*SQRT(10)</f>
        <v>5.6310082153139124E-2</v>
      </c>
      <c r="P23">
        <f>LN(B32)-LN(B23)</f>
        <v>2.5652823252067414E-2</v>
      </c>
      <c r="Q23">
        <f>IF(P23&lt;-(O23),1,0)</f>
        <v>0</v>
      </c>
    </row>
    <row r="24" spans="1:17">
      <c r="A24" s="64">
        <v>41327</v>
      </c>
      <c r="B24">
        <v>1515.599976</v>
      </c>
      <c r="C24" s="68">
        <f>LN(B24)-LN(B23)</f>
        <v>8.7342136235752932E-3</v>
      </c>
      <c r="D24" s="68"/>
      <c r="E24" s="69"/>
      <c r="F24" s="68"/>
      <c r="G24" s="68"/>
      <c r="H24" s="68"/>
      <c r="I24">
        <f>_xlfn.STDEV.S(C4:C24)</f>
        <v>6.2429055647449322E-3</v>
      </c>
      <c r="J24">
        <f>_xlfn.NORM.S.INV(0.99)*I24*SQRT(10)</f>
        <v>4.5926296325316369E-2</v>
      </c>
      <c r="K24">
        <f>LN(B33)-LN(B24)</f>
        <v>1.8733453356924556E-2</v>
      </c>
      <c r="L24">
        <f>IF(K24&lt;-(J24),1,0)</f>
        <v>0</v>
      </c>
      <c r="M24" s="72">
        <f>EWMAV(B3:B23,0.72,0.99)*SQRT(10)</f>
        <v>5.3747382936151104E-2</v>
      </c>
      <c r="N24">
        <f>SQRT((N23^2)*0.72+(1-0.72)*(C23^2))</f>
        <v>7.3061113537274862E-3</v>
      </c>
      <c r="O24">
        <f>_xlfn.NORM.S.INV(0.99)*N24*SQRT(10)</f>
        <v>5.3747831284190854E-2</v>
      </c>
      <c r="P24">
        <f>LN(B33)-LN(B24)</f>
        <v>1.8733453356924556E-2</v>
      </c>
      <c r="Q24">
        <f>IF(P24&lt;-(O24),1,0)</f>
        <v>0</v>
      </c>
    </row>
    <row r="25" spans="1:17">
      <c r="A25" s="64">
        <v>41330</v>
      </c>
      <c r="B25">
        <v>1487.849976</v>
      </c>
      <c r="C25" s="68">
        <f>LN(B25)-LN(B24)</f>
        <v>-1.8479275579678323E-2</v>
      </c>
      <c r="D25" s="68"/>
      <c r="E25" s="68"/>
      <c r="F25" s="68"/>
      <c r="G25" s="68"/>
      <c r="H25" s="68"/>
      <c r="I25">
        <f>_xlfn.STDEV.S(C5:C25)</f>
        <v>7.5133397903769565E-3</v>
      </c>
      <c r="J25">
        <f>_xlfn.NORM.S.INV(0.99)*I25*SQRT(10)</f>
        <v>5.5272319279386799E-2</v>
      </c>
      <c r="K25">
        <f>LN(B34)-LN(B25)</f>
        <v>4.1683857684136072E-2</v>
      </c>
      <c r="L25">
        <f>IF(K25&lt;-(J25),1,0)</f>
        <v>0</v>
      </c>
      <c r="M25" s="72">
        <f t="shared" ref="M25:M88" si="0">EWMAV(B4:B24,0.72,0.99)*SQRT(10)</f>
        <v>5.6885101848703025E-2</v>
      </c>
      <c r="N25">
        <f>SQRT((N24^2)*0.72+(1-0.72)*(C24^2))</f>
        <v>7.73261184695293E-3</v>
      </c>
      <c r="O25">
        <f>_xlfn.NORM.S.INV(0.99)*N25*SQRT(10)</f>
        <v>5.6885406862040501E-2</v>
      </c>
      <c r="P25">
        <f>LN(B34)-LN(B25)</f>
        <v>4.1683857684136072E-2</v>
      </c>
      <c r="Q25">
        <f>IF(P25&lt;-(O25),1,0)</f>
        <v>0</v>
      </c>
    </row>
    <row r="26" spans="1:17">
      <c r="A26" s="64">
        <v>41331</v>
      </c>
      <c r="B26">
        <v>1496.9399410000001</v>
      </c>
      <c r="C26" s="68">
        <f>LN(B26)-LN(B25)</f>
        <v>6.0908763128839638E-3</v>
      </c>
      <c r="D26" s="68"/>
      <c r="E26" s="68"/>
      <c r="F26" s="68"/>
      <c r="G26" s="68"/>
      <c r="H26" s="68"/>
      <c r="I26">
        <f>_xlfn.STDEV.S(C6:C26)</f>
        <v>7.5395118041063211E-3</v>
      </c>
      <c r="J26">
        <f>_xlfn.NORM.S.INV(0.99)*I26*SQRT(10)</f>
        <v>5.5464855214056863E-2</v>
      </c>
      <c r="K26">
        <f>LN(B35)-LN(B26)</f>
        <v>3.8836800241542235E-2</v>
      </c>
      <c r="L26">
        <f>IF(K26&lt;-(J26),1,0)</f>
        <v>0</v>
      </c>
      <c r="M26" s="72">
        <f t="shared" si="0"/>
        <v>8.6624693777795081E-2</v>
      </c>
      <c r="N26">
        <f>SQRT((N25^2)*0.72+(1-0.72)*(C25^2))</f>
        <v>1.1775677524812457E-2</v>
      </c>
      <c r="O26">
        <f>_xlfn.NORM.S.INV(0.99)*N26*SQRT(10)</f>
        <v>8.6628453662665819E-2</v>
      </c>
      <c r="P26">
        <f>LN(B35)-LN(B26)</f>
        <v>3.8836800241542235E-2</v>
      </c>
      <c r="Q26">
        <f>IF(P26&lt;-(O26),1,0)</f>
        <v>0</v>
      </c>
    </row>
    <row r="27" spans="1:17">
      <c r="A27" s="64">
        <v>41332</v>
      </c>
      <c r="B27">
        <v>1515.98999</v>
      </c>
      <c r="C27" s="68">
        <f>LN(B27)-LN(B26)</f>
        <v>1.2645699235805274E-2</v>
      </c>
      <c r="D27" s="68"/>
      <c r="E27" s="68"/>
      <c r="F27" s="68"/>
      <c r="G27" s="68"/>
      <c r="H27" s="68"/>
      <c r="I27">
        <f>_xlfn.STDEV.S(C7:C27)</f>
        <v>8.0277784182879487E-3</v>
      </c>
      <c r="J27">
        <f>_xlfn.NORM.S.INV(0.99)*I27*SQRT(10)</f>
        <v>5.9056816837711586E-2</v>
      </c>
      <c r="K27">
        <f>LN(B36)-LN(B27)</f>
        <v>2.3784955116232354E-2</v>
      </c>
      <c r="L27">
        <f>IF(K27&lt;-(J27),1,0)</f>
        <v>0</v>
      </c>
      <c r="M27" s="72">
        <f t="shared" si="0"/>
        <v>7.7232501397609607E-2</v>
      </c>
      <c r="N27">
        <f>SQRT((N26^2)*0.72+(1-0.72)*(C26^2))</f>
        <v>1.0498933052158538E-2</v>
      </c>
      <c r="O27">
        <f>_xlfn.NORM.S.INV(0.99)*N27*SQRT(10)</f>
        <v>7.7236009010940673E-2</v>
      </c>
      <c r="P27">
        <f>LN(B36)-LN(B27)</f>
        <v>2.3784955116232354E-2</v>
      </c>
      <c r="Q27">
        <f>IF(P27&lt;-(O27),1,0)</f>
        <v>0</v>
      </c>
    </row>
    <row r="28" spans="1:17">
      <c r="A28" s="64">
        <v>41333</v>
      </c>
      <c r="B28">
        <v>1514.6800539999999</v>
      </c>
      <c r="C28" s="68">
        <f>LN(B28)-LN(B27)</f>
        <v>-8.6445311601490715E-4</v>
      </c>
      <c r="D28" s="68"/>
      <c r="E28" s="68"/>
      <c r="F28" s="68"/>
      <c r="G28" s="68"/>
      <c r="H28" s="68"/>
      <c r="I28">
        <f>_xlfn.STDEV.S(C8:C28)</f>
        <v>7.9623212054211658E-3</v>
      </c>
      <c r="J28">
        <f>_xlfn.NORM.S.INV(0.99)*I28*SQRT(10)</f>
        <v>5.8575277060508184E-2</v>
      </c>
      <c r="K28">
        <f>LN(B37)-LN(B28)</f>
        <v>2.5962597992894132E-2</v>
      </c>
      <c r="L28">
        <f>IF(K28&lt;-(J28),1,0)</f>
        <v>0</v>
      </c>
      <c r="M28" s="72">
        <f t="shared" si="0"/>
        <v>8.1959556175621437E-2</v>
      </c>
      <c r="N28">
        <f>SQRT((N27^2)*0.72+(1-0.72)*(C27^2))</f>
        <v>1.1141799995232097E-2</v>
      </c>
      <c r="O28">
        <f>_xlfn.NORM.S.INV(0.99)*N28*SQRT(10)</f>
        <v>8.1965296907281424E-2</v>
      </c>
      <c r="P28">
        <f>LN(B37)-LN(B28)</f>
        <v>2.5962597992894132E-2</v>
      </c>
      <c r="Q28">
        <f>IF(P28&lt;-(O28),1,0)</f>
        <v>0</v>
      </c>
    </row>
    <row r="29" spans="1:17">
      <c r="A29" s="64">
        <v>41334</v>
      </c>
      <c r="B29">
        <v>1518.1999510000001</v>
      </c>
      <c r="C29" s="68">
        <f>LN(B29)-LN(B28)</f>
        <v>2.3211591454765923E-3</v>
      </c>
      <c r="D29" s="68"/>
      <c r="E29" s="68"/>
      <c r="F29" s="68"/>
      <c r="G29" s="68"/>
      <c r="H29" s="68"/>
      <c r="I29">
        <f>_xlfn.STDEV.S(C9:C29)</f>
        <v>7.9169448620945715E-3</v>
      </c>
      <c r="J29">
        <f>_xlfn.NORM.S.INV(0.99)*I29*SQRT(10)</f>
        <v>5.8241463362997667E-2</v>
      </c>
      <c r="K29">
        <f>LN(B38)-LN(B29)</f>
        <v>2.9228790404989269E-2</v>
      </c>
      <c r="L29">
        <f>IF(K29&lt;-(J29),1,0)</f>
        <v>0</v>
      </c>
      <c r="M29" s="72">
        <f t="shared" si="0"/>
        <v>6.9624026428617231E-2</v>
      </c>
      <c r="N29">
        <f>SQRT((N28^2)*0.72+(1-0.72)*(C28^2))</f>
        <v>9.4651902944126506E-3</v>
      </c>
      <c r="O29">
        <f>_xlfn.NORM.S.INV(0.99)*N29*SQRT(10)</f>
        <v>6.9631220547617639E-2</v>
      </c>
      <c r="P29">
        <f>LN(B38)-LN(B29)</f>
        <v>2.9228790404989269E-2</v>
      </c>
      <c r="Q29">
        <f>IF(P29&lt;-(O29),1,0)</f>
        <v>0</v>
      </c>
    </row>
    <row r="30" spans="1:17">
      <c r="A30" s="64">
        <v>41337</v>
      </c>
      <c r="B30">
        <v>1525.1999510000001</v>
      </c>
      <c r="C30" s="68">
        <f>LN(B30)-LN(B29)</f>
        <v>4.600126548869099E-3</v>
      </c>
      <c r="D30" s="68"/>
      <c r="E30" s="68"/>
      <c r="F30" s="68"/>
      <c r="G30" s="68"/>
      <c r="H30" s="68"/>
      <c r="I30">
        <f>_xlfn.STDEV.S(C10:C30)</f>
        <v>7.9320484812285749E-3</v>
      </c>
      <c r="J30">
        <f>_xlfn.NORM.S.INV(0.99)*I30*SQRT(10)</f>
        <v>5.8352574011835634E-2</v>
      </c>
      <c r="K30">
        <f>LN(B39)-LN(B30)</f>
        <v>2.3008890295864504E-2</v>
      </c>
      <c r="L30">
        <f>IF(K30&lt;-(J30),1,0)</f>
        <v>0</v>
      </c>
      <c r="M30" s="72">
        <f t="shared" si="0"/>
        <v>5.9763754820992568E-2</v>
      </c>
      <c r="N30">
        <f>SQRT((N29^2)*0.72+(1-0.72)*(C29^2))</f>
        <v>8.1248540910477639E-3</v>
      </c>
      <c r="O30">
        <f>_xlfn.NORM.S.INV(0.99)*N30*SQRT(10)</f>
        <v>5.9770959646201896E-2</v>
      </c>
      <c r="P30">
        <f>LN(B39)-LN(B30)</f>
        <v>2.3008890295864504E-2</v>
      </c>
      <c r="Q30">
        <f>IF(P30&lt;-(O30),1,0)</f>
        <v>0</v>
      </c>
    </row>
    <row r="31" spans="1:17">
      <c r="A31" s="64">
        <v>41338</v>
      </c>
      <c r="B31">
        <v>1539.790039</v>
      </c>
      <c r="C31" s="68">
        <f>LN(B31)-LN(B30)</f>
        <v>9.5205519445995535E-3</v>
      </c>
      <c r="D31" s="68"/>
      <c r="E31" s="68"/>
      <c r="F31" s="68"/>
      <c r="G31" s="68"/>
      <c r="H31" s="68"/>
      <c r="I31">
        <f>_xlfn.STDEV.S(C11:C31)</f>
        <v>7.9049036597734889E-3</v>
      </c>
      <c r="J31">
        <f>_xlfn.NORM.S.INV(0.99)*I31*SQRT(10)</f>
        <v>5.8152881560794206E-2</v>
      </c>
      <c r="K31">
        <f>LN(B40)-LN(B31)</f>
        <v>7.9627683931438042E-3</v>
      </c>
      <c r="L31">
        <f>IF(K31&lt;-(J31),1,0)</f>
        <v>0</v>
      </c>
      <c r="M31" s="72">
        <f t="shared" si="0"/>
        <v>5.3760255610908546E-2</v>
      </c>
      <c r="N31">
        <f>SQRT((N30^2)*0.72+(1-0.72)*(C30^2))</f>
        <v>7.3112699905664887E-3</v>
      </c>
      <c r="O31">
        <f>_xlfn.NORM.S.INV(0.99)*N31*SQRT(10)</f>
        <v>5.3785781094843235E-2</v>
      </c>
      <c r="P31">
        <f>LN(B40)-LN(B31)</f>
        <v>7.9627683931438042E-3</v>
      </c>
      <c r="Q31">
        <f>IF(P31&lt;-(O31),1,0)</f>
        <v>0</v>
      </c>
    </row>
    <row r="32" spans="1:17">
      <c r="A32" s="64">
        <v>41339</v>
      </c>
      <c r="B32">
        <v>1541.459961</v>
      </c>
      <c r="C32" s="68">
        <f>LN(B32)-LN(B31)</f>
        <v>1.0839251365508673E-3</v>
      </c>
      <c r="D32" s="68"/>
      <c r="E32" s="68"/>
      <c r="F32" s="68"/>
      <c r="G32" s="68"/>
      <c r="H32" s="68"/>
      <c r="I32">
        <f>_xlfn.STDEV.S(C12:C32)</f>
        <v>7.3738907849478525E-3</v>
      </c>
      <c r="J32">
        <f>_xlfn.NORM.S.INV(0.99)*I32*SQRT(10)</f>
        <v>5.4246454595196385E-2</v>
      </c>
      <c r="K32">
        <f>LN(B41)-LN(B32)</f>
        <v>4.4533733789924312E-3</v>
      </c>
      <c r="L32">
        <f>IF(K32&lt;-(J32),1,0)</f>
        <v>0</v>
      </c>
      <c r="M32" s="72">
        <f t="shared" si="0"/>
        <v>5.8750040028160526E-2</v>
      </c>
      <c r="N32">
        <f>SQRT((N31^2)*0.72+(1-0.72)*(C31^2))</f>
        <v>7.9916716775852957E-3</v>
      </c>
      <c r="O32">
        <f>_xlfn.NORM.S.INV(0.99)*N32*SQRT(10)</f>
        <v>5.8791195508724019E-2</v>
      </c>
      <c r="P32">
        <f>LN(B41)-LN(B32)</f>
        <v>4.4533733789924312E-3</v>
      </c>
      <c r="Q32">
        <f>IF(P32&lt;-(O32),1,0)</f>
        <v>0</v>
      </c>
    </row>
    <row r="33" spans="1:17">
      <c r="A33" s="64">
        <v>41340</v>
      </c>
      <c r="B33">
        <v>1544.26001</v>
      </c>
      <c r="C33" s="68">
        <f>LN(B33)-LN(B32)</f>
        <v>1.8148437284324359E-3</v>
      </c>
      <c r="D33" s="68"/>
      <c r="E33" s="68"/>
      <c r="F33" s="68"/>
      <c r="G33" s="68"/>
      <c r="H33" s="68"/>
      <c r="I33">
        <f>_xlfn.STDEV.S(C13:C33)</f>
        <v>7.0867581598858653E-3</v>
      </c>
      <c r="J33">
        <f>_xlfn.NORM.S.INV(0.99)*I33*SQRT(10)</f>
        <v>5.2134146810543611E-2</v>
      </c>
      <c r="K33">
        <f>LN(B42)-LN(B33)</f>
        <v>9.3136933904238717E-3</v>
      </c>
      <c r="L33">
        <f>IF(K33&lt;-(J33),1,0)</f>
        <v>0</v>
      </c>
      <c r="M33" s="72">
        <f t="shared" si="0"/>
        <v>5.000651012156837E-2</v>
      </c>
      <c r="N33">
        <f>SQRT((N32^2)*0.72+(1-0.72)*(C32^2))</f>
        <v>6.8053712538061265E-3</v>
      </c>
      <c r="O33">
        <f>_xlfn.NORM.S.INV(0.99)*N33*SQRT(10)</f>
        <v>5.0064107740329038E-2</v>
      </c>
      <c r="P33">
        <f>LN(B42)-LN(B33)</f>
        <v>9.3136933904238717E-3</v>
      </c>
      <c r="Q33">
        <f>IF(P33&lt;-(O33),1,0)</f>
        <v>0</v>
      </c>
    </row>
    <row r="34" spans="1:17">
      <c r="A34" s="64">
        <v>41341</v>
      </c>
      <c r="B34">
        <v>1551.1800539999999</v>
      </c>
      <c r="C34" s="68">
        <f>LN(B34)-LN(B33)</f>
        <v>4.4711287475331929E-3</v>
      </c>
      <c r="D34" s="68"/>
      <c r="E34" s="68"/>
      <c r="F34" s="68"/>
      <c r="G34" s="68"/>
      <c r="H34" s="68"/>
      <c r="I34">
        <f>_xlfn.STDEV.S(C14:C34)</f>
        <v>7.1250913999768755E-3</v>
      </c>
      <c r="J34">
        <f>_xlfn.NORM.S.INV(0.99)*I34*SQRT(10)</f>
        <v>5.2416147511222352E-2</v>
      </c>
      <c r="K34">
        <f>LN(B43)-LN(B34)</f>
        <v>-3.4743590420234227E-3</v>
      </c>
      <c r="L34">
        <f>IF(K34&lt;-(J34),1,0)</f>
        <v>0</v>
      </c>
      <c r="M34" s="72">
        <f t="shared" si="0"/>
        <v>4.3015952339059894E-2</v>
      </c>
      <c r="N34">
        <f>SQRT((N33^2)*0.72+(1-0.72)*(C33^2))</f>
        <v>5.8538568706409883E-3</v>
      </c>
      <c r="O34">
        <f>_xlfn.NORM.S.INV(0.99)*N34*SQRT(10)</f>
        <v>4.3064237076607371E-2</v>
      </c>
      <c r="P34">
        <f>LN(B43)-LN(B34)</f>
        <v>-3.4743590420234227E-3</v>
      </c>
      <c r="Q34">
        <f>IF(P34&lt;-(O34),1,0)</f>
        <v>0</v>
      </c>
    </row>
    <row r="35" spans="1:17">
      <c r="A35" s="64">
        <v>41344</v>
      </c>
      <c r="B35">
        <v>1556.219971</v>
      </c>
      <c r="C35" s="68">
        <f>LN(B35)-LN(B34)</f>
        <v>3.2438188702901272E-3</v>
      </c>
      <c r="D35" s="68"/>
      <c r="E35" s="68"/>
      <c r="F35" s="68"/>
      <c r="G35" s="68"/>
      <c r="H35" s="68"/>
      <c r="I35">
        <f>_xlfn.STDEV.S(C15:C35)</f>
        <v>7.1032133065106013E-3</v>
      </c>
      <c r="J35">
        <f>_xlfn.NORM.S.INV(0.99)*I35*SQRT(10)</f>
        <v>5.225520004963663E-2</v>
      </c>
      <c r="K35">
        <f>LN(B44)-LN(B35)</f>
        <v>4.3046600560892045E-4</v>
      </c>
      <c r="L35">
        <f>IF(K35&lt;-(J35),1,0)</f>
        <v>0</v>
      </c>
      <c r="M35" s="72">
        <f t="shared" si="0"/>
        <v>4.0436718298331141E-2</v>
      </c>
      <c r="N35">
        <f>SQRT((N34^2)*0.72+(1-0.72)*(C34^2))</f>
        <v>5.5018341329205371E-3</v>
      </c>
      <c r="O35">
        <f>_xlfn.NORM.S.INV(0.99)*N35*SQRT(10)</f>
        <v>4.0474561420275529E-2</v>
      </c>
      <c r="P35">
        <f>LN(B44)-LN(B35)</f>
        <v>4.3046600560892045E-4</v>
      </c>
      <c r="Q35">
        <f>IF(P35&lt;-(O35),1,0)</f>
        <v>0</v>
      </c>
    </row>
    <row r="36" spans="1:17">
      <c r="A36" s="64">
        <v>41345</v>
      </c>
      <c r="B36">
        <v>1552.4799800000001</v>
      </c>
      <c r="C36" s="68">
        <f>LN(B36)-LN(B35)</f>
        <v>-2.4061458895046073E-3</v>
      </c>
      <c r="D36" s="68"/>
      <c r="E36" s="68"/>
      <c r="F36" s="68"/>
      <c r="G36" s="68"/>
      <c r="H36" s="68"/>
      <c r="I36">
        <f>_xlfn.STDEV.S(C16:C36)</f>
        <v>7.0830970388311397E-3</v>
      </c>
      <c r="J36">
        <f>_xlfn.NORM.S.INV(0.99)*I36*SQRT(10)</f>
        <v>5.21072135614822E-2</v>
      </c>
      <c r="K36">
        <f>LN(B45)-LN(B36)</f>
        <v>-5.0901789345569881E-4</v>
      </c>
      <c r="L36">
        <f>IF(K36&lt;-(J36),1,0)</f>
        <v>0</v>
      </c>
      <c r="M36" s="72">
        <f t="shared" si="0"/>
        <v>3.6552218996037375E-2</v>
      </c>
      <c r="N36">
        <f>SQRT((N35^2)*0.72+(1-0.72)*(C35^2))</f>
        <v>4.9740114391255792E-3</v>
      </c>
      <c r="O36">
        <f>_xlfn.NORM.S.INV(0.99)*N36*SQRT(10)</f>
        <v>3.6591603206179206E-2</v>
      </c>
      <c r="P36">
        <f>LN(B45)-LN(B36)</f>
        <v>-5.0901789345569881E-4</v>
      </c>
      <c r="Q36">
        <f>IF(P36&lt;-(O36),1,0)</f>
        <v>0</v>
      </c>
    </row>
    <row r="37" spans="1:17">
      <c r="A37" s="64">
        <v>41346</v>
      </c>
      <c r="B37">
        <v>1554.5200199999999</v>
      </c>
      <c r="C37" s="68">
        <f>LN(B37)-LN(B36)</f>
        <v>1.3131897606468712E-3</v>
      </c>
      <c r="D37" s="68"/>
      <c r="E37" s="68"/>
      <c r="F37" s="68"/>
      <c r="G37" s="68"/>
      <c r="H37" s="68"/>
      <c r="I37">
        <f>_xlfn.STDEV.S(C17:C37)</f>
        <v>7.0727377669773462E-3</v>
      </c>
      <c r="J37">
        <f>_xlfn.NORM.S.INV(0.99)*I37*SQRT(10)</f>
        <v>5.2031004978165069E-2</v>
      </c>
      <c r="K37">
        <f>LN(B46)-LN(B37)</f>
        <v>5.9327561020996455E-3</v>
      </c>
      <c r="L37">
        <f>IF(K37&lt;-(J37),1,0)</f>
        <v>0</v>
      </c>
      <c r="M37" s="72">
        <f t="shared" si="0"/>
        <v>3.2398910755829825E-2</v>
      </c>
      <c r="N37">
        <f>SQRT((N36^2)*0.72+(1-0.72)*(C36^2))</f>
        <v>4.4084508963081236E-3</v>
      </c>
      <c r="O37">
        <f>_xlfn.NORM.S.INV(0.99)*N37*SQRT(10)</f>
        <v>3.2431024320279868E-2</v>
      </c>
      <c r="P37">
        <f>LN(B46)-LN(B37)</f>
        <v>5.9327561020996455E-3</v>
      </c>
      <c r="Q37">
        <f>IF(P37&lt;-(O37),1,0)</f>
        <v>0</v>
      </c>
    </row>
    <row r="38" spans="1:17">
      <c r="A38" s="64">
        <v>41347</v>
      </c>
      <c r="B38">
        <v>1563.2299800000001</v>
      </c>
      <c r="C38" s="68">
        <f>LN(B38)-LN(B37)</f>
        <v>5.5873515575717292E-3</v>
      </c>
      <c r="D38" s="68"/>
      <c r="E38" s="68"/>
      <c r="F38" s="68"/>
      <c r="G38" s="68"/>
      <c r="H38" s="68"/>
      <c r="I38">
        <f>_xlfn.STDEV.S(C18:C38)</f>
        <v>7.138281232581067E-3</v>
      </c>
      <c r="J38">
        <f>_xlfn.NORM.S.INV(0.99)*I38*SQRT(10)</f>
        <v>5.2513179278622819E-2</v>
      </c>
      <c r="K38">
        <f>LN(B47)-LN(B38)</f>
        <v>-2.4311854285219425E-4</v>
      </c>
      <c r="L38">
        <f>IF(K38&lt;-(J38),1,0)</f>
        <v>0</v>
      </c>
      <c r="M38" s="72">
        <f t="shared" si="0"/>
        <v>2.7961648591503636E-2</v>
      </c>
      <c r="N38">
        <f>SQRT((N37^2)*0.72+(1-0.72)*(C37^2))</f>
        <v>3.8046875242266753E-3</v>
      </c>
      <c r="O38">
        <f>_xlfn.NORM.S.INV(0.99)*N38*SQRT(10)</f>
        <v>2.7989404108503084E-2</v>
      </c>
      <c r="P38">
        <f>LN(B47)-LN(B38)</f>
        <v>-2.4311854285219425E-4</v>
      </c>
      <c r="Q38">
        <f>IF(P38&lt;-(O38),1,0)</f>
        <v>0</v>
      </c>
    </row>
    <row r="39" spans="1:17">
      <c r="A39" s="64">
        <v>41348</v>
      </c>
      <c r="B39">
        <v>1560.6999510000001</v>
      </c>
      <c r="C39" s="68">
        <f>LN(B39)-LN(B38)</f>
        <v>-1.6197735602556662E-3</v>
      </c>
      <c r="D39" s="68"/>
      <c r="E39" s="68"/>
      <c r="F39" s="68"/>
      <c r="G39" s="68"/>
      <c r="H39" s="68"/>
      <c r="I39">
        <f>_xlfn.STDEV.S(C19:C39)</f>
        <v>7.1663374351809434E-3</v>
      </c>
      <c r="J39">
        <f>_xlfn.NORM.S.INV(0.99)*I39*SQRT(10)</f>
        <v>5.2719576357835675E-2</v>
      </c>
      <c r="K39">
        <f>LN(B48)-LN(B39)</f>
        <v>5.4251178897626318E-3</v>
      </c>
      <c r="L39">
        <f>IF(K39&lt;-(J39),1,0)</f>
        <v>0</v>
      </c>
      <c r="M39" s="72">
        <f t="shared" si="0"/>
        <v>3.218680908004893E-2</v>
      </c>
      <c r="N39">
        <f>SQRT((N38^2)*0.72+(1-0.72)*(C38^2))</f>
        <v>4.3776300931961101E-3</v>
      </c>
      <c r="O39">
        <f>_xlfn.NORM.S.INV(0.99)*N39*SQRT(10)</f>
        <v>3.2204289297296324E-2</v>
      </c>
      <c r="P39">
        <f>LN(B48)-LN(B39)</f>
        <v>5.4251178897626318E-3</v>
      </c>
      <c r="Q39">
        <f>IF(P39&lt;-(O39),1,0)</f>
        <v>0</v>
      </c>
    </row>
    <row r="40" spans="1:17">
      <c r="A40" s="64">
        <v>41351</v>
      </c>
      <c r="B40">
        <v>1552.099976</v>
      </c>
      <c r="C40" s="68">
        <f>LN(B40)-LN(B39)</f>
        <v>-5.5255699581211459E-3</v>
      </c>
      <c r="D40" s="68"/>
      <c r="E40" s="68"/>
      <c r="F40" s="68"/>
      <c r="G40" s="68"/>
      <c r="H40" s="68"/>
      <c r="I40">
        <f>_xlfn.STDEV.S(C20:C40)</f>
        <v>7.3173003756089481E-3</v>
      </c>
      <c r="J40">
        <f>_xlfn.NORM.S.INV(0.99)*I40*SQRT(10)</f>
        <v>5.3830143971638891E-2</v>
      </c>
      <c r="K40">
        <f>LN(B49)-LN(B40)</f>
        <v>6.4670712764263172E-3</v>
      </c>
      <c r="L40">
        <f>IF(K40&lt;-(J40),1,0)</f>
        <v>0</v>
      </c>
      <c r="M40" s="72">
        <f t="shared" si="0"/>
        <v>2.8029633943126974E-2</v>
      </c>
      <c r="N40">
        <f>SQRT((N39^2)*0.72+(1-0.72)*(C39^2))</f>
        <v>3.8121452170500249E-3</v>
      </c>
      <c r="O40">
        <f>_xlfn.NORM.S.INV(0.99)*N40*SQRT(10)</f>
        <v>2.8044267057646916E-2</v>
      </c>
      <c r="P40">
        <f>LN(B49)-LN(B40)</f>
        <v>6.4670712764263172E-3</v>
      </c>
      <c r="Q40">
        <f>IF(P40&lt;-(O40),1,0)</f>
        <v>0</v>
      </c>
    </row>
    <row r="41" spans="1:17">
      <c r="A41" s="64">
        <v>41352</v>
      </c>
      <c r="B41">
        <v>1548.339966</v>
      </c>
      <c r="C41" s="68">
        <f>LN(B41)-LN(B40)</f>
        <v>-2.4254698776005057E-3</v>
      </c>
      <c r="D41" s="68"/>
      <c r="E41" s="68"/>
      <c r="F41" s="68"/>
      <c r="G41" s="68"/>
      <c r="H41" s="68"/>
      <c r="I41">
        <f>_xlfn.STDEV.S(C21:C41)</f>
        <v>7.3422874058468209E-3</v>
      </c>
      <c r="J41">
        <f>_xlfn.NORM.S.INV(0.99)*I41*SQRT(10)</f>
        <v>5.4013962506629189E-2</v>
      </c>
      <c r="K41">
        <f>LN(B50)-LN(B41)</f>
        <v>1.4051475017873294E-2</v>
      </c>
      <c r="L41">
        <f>IF(K41&lt;-(J41),1,0)</f>
        <v>0</v>
      </c>
      <c r="M41" s="72">
        <f t="shared" si="0"/>
        <v>3.2067300776086424E-2</v>
      </c>
      <c r="N41">
        <f>SQRT((N40^2)*0.72+(1-0.72)*(C40^2))</f>
        <v>4.3603100088889521E-3</v>
      </c>
      <c r="O41">
        <f>_xlfn.NORM.S.INV(0.99)*N41*SQRT(10)</f>
        <v>3.2076873094052424E-2</v>
      </c>
      <c r="P41">
        <f>LN(B50)-LN(B41)</f>
        <v>1.4051475017873294E-2</v>
      </c>
      <c r="Q41">
        <f>IF(P41&lt;-(O41),1,0)</f>
        <v>0</v>
      </c>
    </row>
    <row r="42" spans="1:17">
      <c r="A42" s="64">
        <v>41353</v>
      </c>
      <c r="B42">
        <v>1558.709961</v>
      </c>
      <c r="C42" s="68">
        <f>LN(B42)-LN(B41)</f>
        <v>6.6751637398638763E-3</v>
      </c>
      <c r="D42" s="68"/>
      <c r="E42" s="68"/>
      <c r="F42" s="68"/>
      <c r="G42" s="68"/>
      <c r="H42" s="68"/>
      <c r="I42">
        <f>_xlfn.STDEV.S(C22:C42)</f>
        <v>7.3157890766982247E-3</v>
      </c>
      <c r="J42">
        <f>_xlfn.NORM.S.INV(0.99)*I42*SQRT(10)</f>
        <v>5.3819026013680028E-2</v>
      </c>
      <c r="K42">
        <f>LN(B51)-LN(B42)</f>
        <v>-3.2258222023058281E-3</v>
      </c>
      <c r="L42">
        <f>IF(K42&lt;-(J42),1,0)</f>
        <v>0</v>
      </c>
      <c r="M42" s="72">
        <f t="shared" si="0"/>
        <v>2.8781852319257818E-2</v>
      </c>
      <c r="N42">
        <f>SQRT((N41^2)*0.72+(1-0.72)*(C41^2))</f>
        <v>3.9161296690234399E-3</v>
      </c>
      <c r="O42">
        <f>_xlfn.NORM.S.INV(0.99)*N42*SQRT(10)</f>
        <v>2.8809234700522327E-2</v>
      </c>
      <c r="P42">
        <f>LN(B51)-LN(B42)</f>
        <v>-3.2258222023058281E-3</v>
      </c>
      <c r="Q42">
        <f>IF(P42&lt;-(O42),1,0)</f>
        <v>0</v>
      </c>
    </row>
    <row r="43" spans="1:17">
      <c r="A43" s="64">
        <v>41354</v>
      </c>
      <c r="B43">
        <v>1545.8000489999999</v>
      </c>
      <c r="C43" s="68">
        <f>LN(B43)-LN(B42)</f>
        <v>-8.3169236849141015E-3</v>
      </c>
      <c r="D43" s="68"/>
      <c r="E43" s="68"/>
      <c r="F43" s="68"/>
      <c r="G43" s="68"/>
      <c r="H43" s="68"/>
      <c r="I43">
        <f>_xlfn.STDEV.S(C23:C43)</f>
        <v>6.9851168696283506E-3</v>
      </c>
      <c r="J43">
        <f>_xlfn.NORM.S.INV(0.99)*I43*SQRT(10)</f>
        <v>5.138641677252808E-2</v>
      </c>
      <c r="K43">
        <f>LN(B52)-LN(B43)</f>
        <v>9.131380456334881E-3</v>
      </c>
      <c r="L43">
        <f>IF(K43&lt;-(J43),1,0)</f>
        <v>0</v>
      </c>
      <c r="M43" s="72">
        <f t="shared" si="0"/>
        <v>3.5613669043628164E-2</v>
      </c>
      <c r="N43">
        <f>SQRT((N42^2)*0.72+(1-0.72)*(C42^2))</f>
        <v>4.8495524131649754E-3</v>
      </c>
      <c r="O43">
        <f>_xlfn.NORM.S.INV(0.99)*N43*SQRT(10)</f>
        <v>3.5676013174046395E-2</v>
      </c>
      <c r="P43">
        <f>LN(B52)-LN(B43)</f>
        <v>9.131380456334881E-3</v>
      </c>
      <c r="Q43">
        <f>IF(P43&lt;-(O43),1,0)</f>
        <v>0</v>
      </c>
    </row>
    <row r="44" spans="1:17">
      <c r="A44" s="64">
        <v>41355</v>
      </c>
      <c r="B44">
        <v>1556.8900149999999</v>
      </c>
      <c r="C44" s="68">
        <f>LN(B44)-LN(B43)</f>
        <v>7.1486439179224703E-3</v>
      </c>
      <c r="D44" s="68"/>
      <c r="E44" s="68"/>
      <c r="F44" s="68"/>
      <c r="G44" s="68"/>
      <c r="H44" s="68"/>
      <c r="I44">
        <f>_xlfn.STDEV.S(C24:C44)</f>
        <v>6.8916976770454063E-3</v>
      </c>
      <c r="J44">
        <f>_xlfn.NORM.S.INV(0.99)*I44*SQRT(10)</f>
        <v>5.0699173072212493E-2</v>
      </c>
      <c r="K44">
        <f>LN(B53)-LN(B44)</f>
        <v>-2.3214085211389346E-3</v>
      </c>
      <c r="L44">
        <f>IF(K44&lt;-(J44),1,0)</f>
        <v>0</v>
      </c>
      <c r="M44" s="72">
        <f t="shared" si="0"/>
        <v>4.4277798295145616E-2</v>
      </c>
      <c r="N44">
        <f>SQRT((N43^2)*0.72+(1-0.72)*(C43^2))</f>
        <v>6.0250324215207745E-3</v>
      </c>
      <c r="O44">
        <f>_xlfn.NORM.S.INV(0.99)*N44*SQRT(10)</f>
        <v>4.4323499929748982E-2</v>
      </c>
      <c r="P44">
        <f>LN(B53)-LN(B44)</f>
        <v>-2.3214085211389346E-3</v>
      </c>
      <c r="Q44">
        <f>IF(P44&lt;-(O44),1,0)</f>
        <v>0</v>
      </c>
    </row>
    <row r="45" spans="1:17">
      <c r="A45" s="64">
        <v>41358</v>
      </c>
      <c r="B45">
        <v>1551.6899410000001</v>
      </c>
      <c r="C45" s="68">
        <f>LN(B45)-LN(B44)</f>
        <v>-3.3456297885692265E-3</v>
      </c>
      <c r="D45" s="68"/>
      <c r="E45" s="68"/>
      <c r="F45" s="68"/>
      <c r="G45" s="68"/>
      <c r="H45" s="68"/>
      <c r="I45">
        <f>_xlfn.STDEV.S(C25:C45)</f>
        <v>6.7780508358103774E-3</v>
      </c>
      <c r="J45">
        <f>_xlfn.NORM.S.INV(0.99)*I45*SQRT(10)</f>
        <v>4.9863123503167094E-2</v>
      </c>
      <c r="K45">
        <f>LN(B54)-LN(B45)</f>
        <v>7.3071800388966324E-3</v>
      </c>
      <c r="L45">
        <f>IF(K45&lt;-(J45),1,0)</f>
        <v>0</v>
      </c>
      <c r="M45" s="72">
        <f t="shared" si="0"/>
        <v>4.6736896648840072E-2</v>
      </c>
      <c r="N45">
        <f>SQRT((N44^2)*0.72+(1-0.72)*(C44^2))</f>
        <v>6.3596856881563777E-3</v>
      </c>
      <c r="O45">
        <f>_xlfn.NORM.S.INV(0.99)*N45*SQRT(10)</f>
        <v>4.6785396066146775E-2</v>
      </c>
      <c r="P45">
        <f>LN(B54)-LN(B45)</f>
        <v>7.3071800388966324E-3</v>
      </c>
      <c r="Q45">
        <f>IF(P45&lt;-(O45),1,0)</f>
        <v>0</v>
      </c>
    </row>
    <row r="46" spans="1:17">
      <c r="A46" s="64">
        <v>41359</v>
      </c>
      <c r="B46">
        <v>1563.7700199999999</v>
      </c>
      <c r="C46" s="68">
        <f>LN(B46)-LN(B45)</f>
        <v>7.7549637562022156E-3</v>
      </c>
      <c r="D46" s="68"/>
      <c r="E46" s="68"/>
      <c r="F46" s="68"/>
      <c r="G46" s="68"/>
      <c r="H46" s="68"/>
      <c r="I46">
        <f>_xlfn.STDEV.S(C26:C46)</f>
        <v>5.2245785484386041E-3</v>
      </c>
      <c r="J46">
        <f>_xlfn.NORM.S.INV(0.99)*I46*SQRT(10)</f>
        <v>3.8434914656647716E-2</v>
      </c>
      <c r="K46">
        <f>LN(B55)-LN(B46)</f>
        <v>3.0902820500813277E-3</v>
      </c>
      <c r="L46">
        <f>IF(K46&lt;-(J46),1,0)</f>
        <v>0</v>
      </c>
      <c r="M46" s="72">
        <f t="shared" si="0"/>
        <v>4.1654344319633781E-2</v>
      </c>
      <c r="N46">
        <f>SQRT((N45^2)*0.72+(1-0.72)*(C45^2))</f>
        <v>5.6793432990572823E-3</v>
      </c>
      <c r="O46">
        <f>_xlfn.NORM.S.INV(0.99)*N46*SQRT(10)</f>
        <v>4.1780417880846389E-2</v>
      </c>
      <c r="P46">
        <f>LN(B55)-LN(B46)</f>
        <v>3.0902820500813277E-3</v>
      </c>
      <c r="Q46">
        <f>IF(P46&lt;-(O46),1,0)</f>
        <v>0</v>
      </c>
    </row>
    <row r="47" spans="1:17">
      <c r="A47" s="64">
        <v>41360</v>
      </c>
      <c r="B47">
        <v>1562.849976</v>
      </c>
      <c r="C47" s="68">
        <f>LN(B47)-LN(B46)</f>
        <v>-5.8852308738011061E-4</v>
      </c>
      <c r="D47" s="68"/>
      <c r="E47" s="68"/>
      <c r="F47" s="68"/>
      <c r="G47" s="68"/>
      <c r="H47" s="68"/>
      <c r="I47">
        <f>_xlfn.STDEV.S(C27:C47)</f>
        <v>5.1899241763359773E-3</v>
      </c>
      <c r="J47">
        <f>_xlfn.NORM.S.INV(0.99)*I47*SQRT(10)</f>
        <v>3.8179977761375612E-2</v>
      </c>
      <c r="K47">
        <f>LN(B56)-LN(B47)</f>
        <v>1.5794248395900823E-2</v>
      </c>
      <c r="L47">
        <f>IF(K47&lt;-(J47),1,0)</f>
        <v>0</v>
      </c>
      <c r="M47" s="72">
        <f t="shared" si="0"/>
        <v>4.6473480320624226E-2</v>
      </c>
      <c r="N47">
        <f>SQRT((N46^2)*0.72+(1-0.72)*(C46^2))</f>
        <v>6.3295028732876435E-3</v>
      </c>
      <c r="O47">
        <f>_xlfn.NORM.S.INV(0.99)*N47*SQRT(10)</f>
        <v>4.6563354440621992E-2</v>
      </c>
      <c r="P47">
        <f>LN(B56)-LN(B47)</f>
        <v>1.5794248395900823E-2</v>
      </c>
      <c r="Q47">
        <f>IF(P47&lt;-(O47),1,0)</f>
        <v>0</v>
      </c>
    </row>
    <row r="48" spans="1:17">
      <c r="A48" s="64">
        <v>41361</v>
      </c>
      <c r="B48">
        <v>1569.1899410000001</v>
      </c>
      <c r="C48" s="68">
        <f>LN(B48)-LN(B47)</f>
        <v>4.0484628723591598E-3</v>
      </c>
      <c r="D48" s="68"/>
      <c r="E48" s="68"/>
      <c r="F48" s="68"/>
      <c r="G48" s="68"/>
      <c r="H48" s="68"/>
      <c r="I48">
        <f>_xlfn.STDEV.S(C28:C48)</f>
        <v>4.6202965600799393E-3</v>
      </c>
      <c r="J48">
        <f>_xlfn.NORM.S.INV(0.99)*I48*SQRT(10)</f>
        <v>3.3989479214193562E-2</v>
      </c>
      <c r="K48">
        <f>LN(B57)-LN(B48)</f>
        <v>1.5291741924803759E-2</v>
      </c>
      <c r="L48">
        <f>IF(K48&lt;-(J48),1,0)</f>
        <v>0</v>
      </c>
      <c r="M48" s="72">
        <f t="shared" si="0"/>
        <v>3.9457529695022926E-2</v>
      </c>
      <c r="N48">
        <f>SQRT((N47^2)*0.72+(1-0.72)*(C47^2))</f>
        <v>5.37978228252361E-3</v>
      </c>
      <c r="O48">
        <f>_xlfn.NORM.S.INV(0.99)*N48*SQRT(10)</f>
        <v>3.9576679914580914E-2</v>
      </c>
      <c r="P48">
        <f>LN(B57)-LN(B48)</f>
        <v>1.5291741924803759E-2</v>
      </c>
      <c r="Q48">
        <f>IF(P48&lt;-(O48),1,0)</f>
        <v>0</v>
      </c>
    </row>
    <row r="49" spans="1:17">
      <c r="A49" s="64">
        <v>41365</v>
      </c>
      <c r="B49">
        <v>1562.170044</v>
      </c>
      <c r="C49" s="68">
        <f>LN(B49)-LN(B48)</f>
        <v>-4.4836165714574605E-3</v>
      </c>
      <c r="D49" s="68"/>
      <c r="E49" s="68"/>
      <c r="F49" s="68"/>
      <c r="G49" s="68"/>
      <c r="H49" s="68"/>
      <c r="I49">
        <f>_xlfn.STDEV.S(C29:C49)</f>
        <v>4.7831108799686302E-3</v>
      </c>
      <c r="J49">
        <f>_xlfn.NORM.S.INV(0.99)*I49*SQRT(10)</f>
        <v>3.5187232187334744E-2</v>
      </c>
      <c r="K49">
        <f>LN(B58)-LN(B49)</f>
        <v>1.6934560511864483E-2</v>
      </c>
      <c r="L49">
        <f>IF(K49&lt;-(J49),1,0)</f>
        <v>0</v>
      </c>
      <c r="M49" s="72">
        <f t="shared" si="0"/>
        <v>3.7004231609413664E-2</v>
      </c>
      <c r="N49">
        <f>SQRT((N48^2)*0.72+(1-0.72)*(C48^2))</f>
        <v>5.0425683723058553E-3</v>
      </c>
      <c r="O49">
        <f>_xlfn.NORM.S.INV(0.99)*N49*SQRT(10)</f>
        <v>3.7095946255379396E-2</v>
      </c>
      <c r="P49">
        <f>LN(B58)-LN(B49)</f>
        <v>1.6934560511864483E-2</v>
      </c>
      <c r="Q49">
        <f>IF(P49&lt;-(O49),1,0)</f>
        <v>0</v>
      </c>
    </row>
    <row r="50" spans="1:17">
      <c r="A50" s="64">
        <v>41366</v>
      </c>
      <c r="B50">
        <v>1570.25</v>
      </c>
      <c r="C50" s="68">
        <f>LN(B50)-LN(B49)</f>
        <v>5.158933863846471E-3</v>
      </c>
      <c r="D50" s="68"/>
      <c r="E50" s="68"/>
      <c r="F50" s="68"/>
      <c r="G50" s="68"/>
      <c r="H50" s="68"/>
      <c r="I50">
        <f>_xlfn.STDEV.S(C30:C50)</f>
        <v>4.8480038526452609E-3</v>
      </c>
      <c r="J50">
        <f>_xlfn.NORM.S.INV(0.99)*I50*SQRT(10)</f>
        <v>3.5664621098903095E-2</v>
      </c>
      <c r="K50">
        <f>LN(B59)-LN(B50)</f>
        <v>-1.1458498389421479E-2</v>
      </c>
      <c r="L50">
        <f>IF(K50&lt;-(J50),1,0)</f>
        <v>0</v>
      </c>
      <c r="M50" s="72">
        <f t="shared" si="0"/>
        <v>3.592234889025548E-2</v>
      </c>
      <c r="N50">
        <f>SQRT((N49^2)*0.72+(1-0.72)*(C49^2))</f>
        <v>4.8925030286255874E-3</v>
      </c>
      <c r="O50">
        <f>_xlfn.NORM.S.INV(0.99)*N50*SQRT(10)</f>
        <v>3.5991981864032394E-2</v>
      </c>
      <c r="P50">
        <f>LN(B59)-LN(B50)</f>
        <v>-1.1458498389421479E-2</v>
      </c>
      <c r="Q50">
        <f>IF(P50&lt;-(O50),1,0)</f>
        <v>0</v>
      </c>
    </row>
    <row r="51" spans="1:17">
      <c r="A51" s="64">
        <v>41367</v>
      </c>
      <c r="B51">
        <v>1553.6899410000001</v>
      </c>
      <c r="C51" s="68">
        <f>LN(B51)-LN(B50)</f>
        <v>-1.0602133480315246E-2</v>
      </c>
      <c r="D51" s="68"/>
      <c r="E51" s="68"/>
      <c r="F51" s="68"/>
      <c r="G51" s="68"/>
      <c r="H51" s="68"/>
      <c r="I51">
        <f>_xlfn.STDEV.S(C31:C51)</f>
        <v>5.473150011640969E-3</v>
      </c>
      <c r="J51">
        <f>_xlfn.NORM.S.INV(0.99)*I51*SQRT(10)</f>
        <v>4.0263545020931581E-2</v>
      </c>
      <c r="K51">
        <f>LN(B60)-LN(B51)</f>
        <v>1.3349475961846657E-2</v>
      </c>
      <c r="L51">
        <f>IF(K51&lt;-(J51),1,0)</f>
        <v>0</v>
      </c>
      <c r="M51" s="72">
        <f t="shared" si="0"/>
        <v>3.6495870400515135E-2</v>
      </c>
      <c r="N51">
        <f>SQRT((N50^2)*0.72+(1-0.72)*(C50^2))</f>
        <v>4.9685439968376374E-3</v>
      </c>
      <c r="O51">
        <f>_xlfn.NORM.S.INV(0.99)*N51*SQRT(10)</f>
        <v>3.6551381650358213E-2</v>
      </c>
      <c r="P51">
        <f>LN(B60)-LN(B51)</f>
        <v>1.3349475961846657E-2</v>
      </c>
      <c r="Q51">
        <f>IF(P51&lt;-(O51),1,0)</f>
        <v>0</v>
      </c>
    </row>
    <row r="52" spans="1:17">
      <c r="A52" s="64">
        <v>41368</v>
      </c>
      <c r="B52">
        <v>1559.9799800000001</v>
      </c>
      <c r="C52" s="68">
        <f>LN(B52)-LN(B51)</f>
        <v>4.0402789737266076E-3</v>
      </c>
      <c r="D52" s="68"/>
      <c r="E52" s="68"/>
      <c r="F52" s="68"/>
      <c r="G52" s="68"/>
      <c r="H52" s="68"/>
      <c r="I52">
        <f>_xlfn.STDEV.S(C32:C52)</f>
        <v>5.1624590899444558E-3</v>
      </c>
      <c r="J52">
        <f>_xlfn.NORM.S.INV(0.99)*I52*SQRT(10)</f>
        <v>3.7977929262782158E-2</v>
      </c>
      <c r="K52">
        <f>LN(B61)-LN(B52)</f>
        <v>-5.1221163632693134E-3</v>
      </c>
      <c r="L52">
        <f>IF(K52&lt;-(J52),1,0)</f>
        <v>0</v>
      </c>
      <c r="M52" s="72">
        <f t="shared" si="0"/>
        <v>5.1578953732774706E-2</v>
      </c>
      <c r="N52">
        <f>SQRT((N51^2)*0.72+(1-0.72)*(C51^2))</f>
        <v>7.0176701843678978E-3</v>
      </c>
      <c r="O52">
        <f>_xlfn.NORM.S.INV(0.99)*N52*SQRT(10)</f>
        <v>5.162589711763256E-2</v>
      </c>
      <c r="P52">
        <f>LN(B61)-LN(B52)</f>
        <v>-5.1221163632693134E-3</v>
      </c>
      <c r="Q52">
        <f>IF(P52&lt;-(O52),1,0)</f>
        <v>0</v>
      </c>
    </row>
    <row r="53" spans="1:17">
      <c r="A53" s="64">
        <v>41369</v>
      </c>
      <c r="B53">
        <v>1553.280029</v>
      </c>
      <c r="C53" s="68">
        <f>LN(B53)-LN(B52)</f>
        <v>-4.3041450595513453E-3</v>
      </c>
      <c r="D53" s="68"/>
      <c r="E53" s="68"/>
      <c r="F53" s="68"/>
      <c r="G53" s="68"/>
      <c r="H53" s="68"/>
      <c r="I53">
        <f>_xlfn.STDEV.S(C33:C53)</f>
        <v>5.2710187002116982E-3</v>
      </c>
      <c r="J53">
        <f>_xlfn.NORM.S.INV(0.99)*I53*SQRT(10)</f>
        <v>3.8776554322602033E-2</v>
      </c>
      <c r="K53">
        <f>LN(B62)-LN(B53)</f>
        <v>-7.5415276523251862E-3</v>
      </c>
      <c r="L53">
        <f>IF(K53&lt;-(J53),1,0)</f>
        <v>0</v>
      </c>
      <c r="M53" s="72">
        <f t="shared" si="0"/>
        <v>4.6506075664883718E-2</v>
      </c>
      <c r="N53">
        <f>SQRT((N52^2)*0.72+(1-0.72)*(C52^2))</f>
        <v>6.3268490925482085E-3</v>
      </c>
      <c r="O53">
        <f>_xlfn.NORM.S.INV(0.99)*N53*SQRT(10)</f>
        <v>4.6543831748926963E-2</v>
      </c>
      <c r="P53">
        <f>LN(B62)-LN(B53)</f>
        <v>-7.5415276523251862E-3</v>
      </c>
      <c r="Q53">
        <f>IF(P53&lt;-(O53),1,0)</f>
        <v>0</v>
      </c>
    </row>
    <row r="54" spans="1:17">
      <c r="A54" s="64">
        <v>41372</v>
      </c>
      <c r="B54">
        <v>1563.0699460000001</v>
      </c>
      <c r="C54" s="68">
        <f>LN(B54)-LN(B53)</f>
        <v>6.2829587714663404E-3</v>
      </c>
      <c r="D54" s="68"/>
      <c r="E54" s="68"/>
      <c r="F54" s="68"/>
      <c r="G54" s="68"/>
      <c r="H54" s="68"/>
      <c r="I54">
        <f>_xlfn.STDEV.S(C34:C54)</f>
        <v>5.4205784332973647E-3</v>
      </c>
      <c r="J54">
        <f>_xlfn.NORM.S.INV(0.99)*I54*SQRT(10)</f>
        <v>3.9876799160328991E-2</v>
      </c>
      <c r="K54">
        <f>LN(B63)-LN(B54)</f>
        <v>-5.0154971446874086E-3</v>
      </c>
      <c r="L54">
        <f>IF(K54&lt;-(J54),1,0)</f>
        <v>0</v>
      </c>
      <c r="M54" s="72">
        <f t="shared" si="0"/>
        <v>4.2870525210295378E-2</v>
      </c>
      <c r="N54">
        <f>SQRT((N53^2)*0.72+(1-0.72)*(C53^2))</f>
        <v>5.8316447174821184E-3</v>
      </c>
      <c r="O54">
        <f>_xlfn.NORM.S.INV(0.99)*N54*SQRT(10)</f>
        <v>4.2900832085547048E-2</v>
      </c>
      <c r="P54">
        <f>LN(B63)-LN(B54)</f>
        <v>-5.0154971446874086E-3</v>
      </c>
      <c r="Q54">
        <f>IF(P54&lt;-(O54),1,0)</f>
        <v>0</v>
      </c>
    </row>
    <row r="55" spans="1:17">
      <c r="A55" s="64">
        <v>41373</v>
      </c>
      <c r="B55">
        <v>1568.6099850000001</v>
      </c>
      <c r="C55" s="68">
        <f>LN(B55)-LN(B54)</f>
        <v>3.5380657673869109E-3</v>
      </c>
      <c r="D55" s="68"/>
      <c r="E55" s="68"/>
      <c r="F55" s="68"/>
      <c r="G55" s="68"/>
      <c r="H55" s="68"/>
      <c r="I55">
        <f>_xlfn.STDEV.S(C35:C55)</f>
        <v>5.3908011163078902E-3</v>
      </c>
      <c r="J55">
        <f>_xlfn.NORM.S.INV(0.99)*I55*SQRT(10)</f>
        <v>3.9657740603436124E-2</v>
      </c>
      <c r="K55">
        <f>LN(B64)-LN(B55)</f>
        <v>-3.9027646966474094E-3</v>
      </c>
      <c r="L55">
        <f>IF(K55&lt;-(J55),1,0)</f>
        <v>0</v>
      </c>
      <c r="M55" s="72">
        <f t="shared" si="0"/>
        <v>4.3829621517545728E-2</v>
      </c>
      <c r="N55">
        <f>SQRT((N54^2)*0.72+(1-0.72)*(C54^2))</f>
        <v>5.9614576689413423E-3</v>
      </c>
      <c r="O55">
        <f>_xlfn.NORM.S.INV(0.99)*N55*SQRT(10)</f>
        <v>4.3855808580666247E-2</v>
      </c>
      <c r="P55">
        <f>LN(B64)-LN(B55)</f>
        <v>-3.9027646966474094E-3</v>
      </c>
      <c r="Q55">
        <f>IF(P55&lt;-(O55),1,0)</f>
        <v>0</v>
      </c>
    </row>
    <row r="56" spans="1:17">
      <c r="A56" s="64">
        <v>41374</v>
      </c>
      <c r="B56">
        <v>1587.7299800000001</v>
      </c>
      <c r="C56" s="68">
        <f>LN(B56)-LN(B55)</f>
        <v>1.2115443258439385E-2</v>
      </c>
      <c r="D56" s="68"/>
      <c r="E56" s="68"/>
      <c r="F56" s="68"/>
      <c r="G56" s="68"/>
      <c r="H56" s="68"/>
      <c r="I56">
        <f>_xlfn.STDEV.S(C36:C56)</f>
        <v>5.9341698330805754E-3</v>
      </c>
      <c r="J56">
        <f>_xlfn.NORM.S.INV(0.99)*I56*SQRT(10)</f>
        <v>4.3655064035867198E-2</v>
      </c>
      <c r="K56">
        <f>LN(B65)-LN(B56)</f>
        <v>-5.652895337574293E-3</v>
      </c>
      <c r="L56">
        <f>IF(K56&lt;-(J56),1,0)</f>
        <v>0</v>
      </c>
      <c r="M56" s="72">
        <f t="shared" si="0"/>
        <v>3.9656145993130158E-2</v>
      </c>
      <c r="N56">
        <f>SQRT((N55^2)*0.72+(1-0.72)*(C55^2))</f>
        <v>5.393800001167702E-3</v>
      </c>
      <c r="O56">
        <f>_xlfn.NORM.S.INV(0.99)*N56*SQRT(10)</f>
        <v>3.9679802073578324E-2</v>
      </c>
      <c r="P56">
        <f>LN(B65)-LN(B56)</f>
        <v>-5.652895337574293E-3</v>
      </c>
      <c r="Q56">
        <f>IF(P56&lt;-(O56),1,0)</f>
        <v>0</v>
      </c>
    </row>
    <row r="57" spans="1:17">
      <c r="A57" s="64">
        <v>41375</v>
      </c>
      <c r="B57">
        <v>1593.369995</v>
      </c>
      <c r="C57" s="68">
        <f>LN(B57)-LN(B56)</f>
        <v>3.5459564012620959E-3</v>
      </c>
      <c r="D57" s="68"/>
      <c r="E57" s="68"/>
      <c r="F57" s="68"/>
      <c r="G57" s="68"/>
      <c r="H57" s="68"/>
      <c r="I57">
        <f>_xlfn.STDEV.S(C37:C57)</f>
        <v>5.9077133122795375E-3</v>
      </c>
      <c r="J57">
        <f>_xlfn.NORM.S.INV(0.99)*I57*SQRT(10)</f>
        <v>4.3460435108448048E-2</v>
      </c>
      <c r="K57">
        <f>LN(B66)-LN(B57)</f>
        <v>-9.1925114203101899E-3</v>
      </c>
      <c r="L57">
        <f>IF(K57&lt;-(J57),1,0)</f>
        <v>0</v>
      </c>
      <c r="M57" s="72">
        <f t="shared" si="0"/>
        <v>5.7934603452813933E-2</v>
      </c>
      <c r="N57">
        <f>SQRT((N56^2)*0.72+(1-0.72)*(C56^2))</f>
        <v>7.8769617736434167E-3</v>
      </c>
      <c r="O57">
        <f>_xlfn.NORM.S.INV(0.99)*N57*SQRT(10)</f>
        <v>5.7947325457311738E-2</v>
      </c>
      <c r="P57">
        <f>LN(B66)-LN(B57)</f>
        <v>-9.1925114203101899E-3</v>
      </c>
      <c r="Q57">
        <f>IF(P57&lt;-(O57),1,0)</f>
        <v>0</v>
      </c>
    </row>
    <row r="58" spans="1:17">
      <c r="A58" s="64">
        <v>41376</v>
      </c>
      <c r="B58">
        <v>1588.849976</v>
      </c>
      <c r="C58" s="68">
        <f>LN(B58)-LN(B57)</f>
        <v>-2.8407979843967368E-3</v>
      </c>
      <c r="D58" s="68"/>
      <c r="E58" s="68"/>
      <c r="F58" s="68"/>
      <c r="G58" s="68"/>
      <c r="H58" s="68"/>
      <c r="I58">
        <f>_xlfn.STDEV.S(C38:C58)</f>
        <v>5.9742389801820187E-3</v>
      </c>
      <c r="J58">
        <f>_xlfn.NORM.S.INV(0.99)*I58*SQRT(10)</f>
        <v>4.3949835036997786E-2</v>
      </c>
      <c r="K58">
        <f>LN(B67)-LN(B58)</f>
        <v>-2.3250989446914616E-3</v>
      </c>
      <c r="L58">
        <f>IF(K58&lt;-(J58),1,0)</f>
        <v>0</v>
      </c>
      <c r="M58" s="72">
        <f t="shared" si="0"/>
        <v>5.1059957439062366E-2</v>
      </c>
      <c r="N58">
        <f>SQRT((N57^2)*0.72+(1-0.72)*(C57^2))</f>
        <v>6.9422017536210374E-3</v>
      </c>
      <c r="O58">
        <f>_xlfn.NORM.S.INV(0.99)*N58*SQRT(10)</f>
        <v>5.107070923632611E-2</v>
      </c>
      <c r="P58">
        <f>LN(B67)-LN(B58)</f>
        <v>-2.3250989446914616E-3</v>
      </c>
      <c r="Q58">
        <f>IF(P58&lt;-(O58),1,0)</f>
        <v>0</v>
      </c>
    </row>
    <row r="59" spans="1:17">
      <c r="A59" s="64">
        <v>41379</v>
      </c>
      <c r="B59">
        <v>1552.3599850000001</v>
      </c>
      <c r="C59" s="68">
        <f>LN(B59)-LN(B58)</f>
        <v>-2.323412503743949E-2</v>
      </c>
      <c r="D59" s="68"/>
      <c r="E59" s="68"/>
      <c r="F59" s="68"/>
      <c r="G59" s="68"/>
      <c r="H59" s="68"/>
      <c r="I59">
        <f>_xlfn.STDEV.S(C39:C59)</f>
        <v>7.8830174644932988E-3</v>
      </c>
      <c r="J59">
        <f>_xlfn.NORM.S.INV(0.99)*I59*SQRT(10)</f>
        <v>5.7991874497745212E-2</v>
      </c>
      <c r="K59">
        <f>LN(B68)-LN(B59)</f>
        <v>1.9065214256458241E-2</v>
      </c>
      <c r="L59">
        <f>IF(K59&lt;-(J59),1,0)</f>
        <v>0</v>
      </c>
      <c r="M59" s="72">
        <f t="shared" si="0"/>
        <v>4.4707403887368567E-2</v>
      </c>
      <c r="N59">
        <f>SQRT((N58^2)*0.72+(1-0.72)*(C58^2))</f>
        <v>6.0794272944108474E-3</v>
      </c>
      <c r="O59">
        <f>_xlfn.NORM.S.INV(0.99)*N59*SQRT(10)</f>
        <v>4.4723658962273045E-2</v>
      </c>
      <c r="P59">
        <f>LN(B68)-LN(B59)</f>
        <v>1.9065214256458241E-2</v>
      </c>
      <c r="Q59">
        <f>IF(P59&lt;-(O59),1,0)</f>
        <v>0</v>
      </c>
    </row>
    <row r="60" spans="1:17">
      <c r="A60" s="64">
        <v>41380</v>
      </c>
      <c r="B60">
        <v>1574.5699460000001</v>
      </c>
      <c r="C60" s="68">
        <f>LN(B60)-LN(B59)</f>
        <v>1.420584087095289E-2</v>
      </c>
      <c r="D60" s="68"/>
      <c r="E60" s="68"/>
      <c r="F60" s="68"/>
      <c r="G60" s="68"/>
      <c r="H60" s="68"/>
      <c r="I60">
        <f>_xlfn.STDEV.S(C40:C60)</f>
        <v>8.487085326041241E-3</v>
      </c>
      <c r="J60">
        <f>_xlfn.NORM.S.INV(0.99)*I60*SQRT(10)</f>
        <v>6.2435734703915814E-2</v>
      </c>
      <c r="K60">
        <f>LN(B69)-LN(B60)</f>
        <v>1.2019688682433305E-2</v>
      </c>
      <c r="L60">
        <f>IF(K60&lt;-(J60),1,0)</f>
        <v>0</v>
      </c>
      <c r="M60" s="72">
        <f t="shared" si="0"/>
        <v>9.8077375906374845E-2</v>
      </c>
      <c r="N60">
        <f>SQRT((N59^2)*0.72+(1-0.72)*(C59^2))</f>
        <v>1.3332729376826195E-2</v>
      </c>
      <c r="O60">
        <f>_xlfn.NORM.S.INV(0.99)*N60*SQRT(10)</f>
        <v>9.8082995783773053E-2</v>
      </c>
      <c r="P60">
        <f>LN(B69)-LN(B60)</f>
        <v>1.2019688682433305E-2</v>
      </c>
      <c r="Q60">
        <f>IF(P60&lt;-(O60),1,0)</f>
        <v>0</v>
      </c>
    </row>
    <row r="61" spans="1:17">
      <c r="A61" s="64">
        <v>41381</v>
      </c>
      <c r="B61">
        <v>1552.01001</v>
      </c>
      <c r="C61" s="68">
        <f>LN(B61)-LN(B60)</f>
        <v>-1.4431313351389363E-2</v>
      </c>
      <c r="D61" s="68"/>
      <c r="E61" s="68"/>
      <c r="F61" s="68"/>
      <c r="G61" s="68"/>
      <c r="H61" s="68"/>
      <c r="I61">
        <f>_xlfn.STDEV.S(C41:C61)</f>
        <v>9.0057504914722239E-3</v>
      </c>
      <c r="J61">
        <f>_xlfn.NORM.S.INV(0.99)*I61*SQRT(10)</f>
        <v>6.6251325030273062E-2</v>
      </c>
      <c r="K61">
        <f>LN(B70)-LN(B61)</f>
        <v>2.8932819492073492E-2</v>
      </c>
      <c r="L61">
        <f>IF(K61&lt;-(J61),1,0)</f>
        <v>0</v>
      </c>
      <c r="M61" s="72">
        <f t="shared" si="0"/>
        <v>9.9915872388967847E-2</v>
      </c>
      <c r="N61">
        <f>SQRT((N60^2)*0.72+(1-0.72)*(C60^2))</f>
        <v>1.3582859067807727E-2</v>
      </c>
      <c r="O61">
        <f>_xlfn.NORM.S.INV(0.99)*N61*SQRT(10)</f>
        <v>9.992308934095423E-2</v>
      </c>
      <c r="P61">
        <f>LN(B70)-LN(B61)</f>
        <v>2.8932819492073492E-2</v>
      </c>
      <c r="Q61">
        <f>IF(P61&lt;-(O61),1,0)</f>
        <v>0</v>
      </c>
    </row>
    <row r="62" spans="1:17">
      <c r="A62" s="64">
        <v>41382</v>
      </c>
      <c r="B62">
        <v>1541.6099850000001</v>
      </c>
      <c r="C62" s="68">
        <f>LN(B62)-LN(B61)</f>
        <v>-6.7235563486072181E-3</v>
      </c>
      <c r="D62" s="68"/>
      <c r="E62" s="68"/>
      <c r="F62" s="68"/>
      <c r="G62" s="68"/>
      <c r="H62" s="68"/>
      <c r="I62">
        <f>_xlfn.STDEV.S(C42:C62)</f>
        <v>9.1117800775341404E-3</v>
      </c>
      <c r="J62">
        <f>_xlfn.NORM.S.INV(0.99)*I62*SQRT(10)</f>
        <v>6.7031337820508047E-2</v>
      </c>
      <c r="K62">
        <f>LN(B71)-LN(B62)</f>
        <v>2.6304903263459245E-2</v>
      </c>
      <c r="L62">
        <f>IF(K62&lt;-(J62),1,0)</f>
        <v>0</v>
      </c>
      <c r="M62" s="72">
        <f t="shared" si="0"/>
        <v>0.10170366486812278</v>
      </c>
      <c r="N62">
        <f>SQRT((N61^2)*0.72+(1-0.72)*(C61^2))</f>
        <v>1.3825675713727125E-2</v>
      </c>
      <c r="O62">
        <f>_xlfn.NORM.S.INV(0.99)*N62*SQRT(10)</f>
        <v>0.10170938405862377</v>
      </c>
      <c r="P62">
        <f>LN(B71)-LN(B62)</f>
        <v>2.6304903263459245E-2</v>
      </c>
      <c r="Q62">
        <f>IF(P62&lt;-(O62),1,0)</f>
        <v>0</v>
      </c>
    </row>
    <row r="63" spans="1:17">
      <c r="A63" s="64">
        <v>41383</v>
      </c>
      <c r="B63">
        <v>1555.25</v>
      </c>
      <c r="C63" s="68">
        <f>LN(B63)-LN(B62)</f>
        <v>8.808989279104118E-3</v>
      </c>
      <c r="D63" s="68"/>
      <c r="E63" s="68"/>
      <c r="F63" s="68"/>
      <c r="G63" s="68"/>
      <c r="H63" s="68"/>
      <c r="I63">
        <f>_xlfn.STDEV.S(C43:C63)</f>
        <v>9.2038025526822043E-3</v>
      </c>
      <c r="J63">
        <f>_xlfn.NORM.S.INV(0.99)*I63*SQRT(10)</f>
        <v>6.7708306488127437E-2</v>
      </c>
      <c r="K63">
        <f>LN(B72)-LN(B63)</f>
        <v>2.6859918015746054E-2</v>
      </c>
      <c r="L63">
        <f>IF(K63&lt;-(J63),1,0)</f>
        <v>0</v>
      </c>
      <c r="M63" s="72">
        <f t="shared" si="0"/>
        <v>9.017480007825672E-2</v>
      </c>
      <c r="N63">
        <f>SQRT((N62^2)*0.72+(1-0.72)*(C62^2))</f>
        <v>1.2259088107605504E-2</v>
      </c>
      <c r="O63">
        <f>_xlfn.NORM.S.INV(0.99)*N63*SQRT(10)</f>
        <v>9.0184691610188633E-2</v>
      </c>
      <c r="P63">
        <f>LN(B72)-LN(B63)</f>
        <v>2.6859918015746054E-2</v>
      </c>
      <c r="Q63">
        <f>IF(P63&lt;-(O63),1,0)</f>
        <v>0</v>
      </c>
    </row>
    <row r="64" spans="1:17">
      <c r="A64" s="64">
        <v>41386</v>
      </c>
      <c r="B64">
        <v>1562.5</v>
      </c>
      <c r="C64" s="68">
        <f>LN(B64)-LN(B63)</f>
        <v>4.6507982154269101E-3</v>
      </c>
      <c r="D64" s="68"/>
      <c r="E64" s="68"/>
      <c r="F64" s="68"/>
      <c r="G64" s="68"/>
      <c r="H64" s="68"/>
      <c r="I64">
        <f>_xlfn.STDEV.S(C44:C64)</f>
        <v>9.0592359628882471E-3</v>
      </c>
      <c r="J64">
        <f>_xlfn.NORM.S.INV(0.99)*I64*SQRT(10)</f>
        <v>6.6644793998188137E-2</v>
      </c>
      <c r="K64">
        <f>LN(B73)-LN(B64)</f>
        <v>3.2688683669889862E-2</v>
      </c>
      <c r="L64">
        <f>IF(K64&lt;-(J64),1,0)</f>
        <v>0</v>
      </c>
      <c r="M64" s="72">
        <f t="shared" si="0"/>
        <v>8.3839593425069484E-2</v>
      </c>
      <c r="N64">
        <f>SQRT((N63^2)*0.72+(1-0.72)*(C63^2))</f>
        <v>1.1398811143231075E-2</v>
      </c>
      <c r="O64">
        <f>_xlfn.NORM.S.INV(0.99)*N64*SQRT(10)</f>
        <v>8.3856014301529419E-2</v>
      </c>
      <c r="P64">
        <f>LN(B73)-LN(B64)</f>
        <v>3.2688683669889862E-2</v>
      </c>
      <c r="Q64">
        <f>IF(P64&lt;-(O64),1,0)</f>
        <v>0</v>
      </c>
    </row>
    <row r="65" spans="1:17">
      <c r="A65" s="64">
        <v>41387</v>
      </c>
      <c r="B65">
        <v>1578.780029</v>
      </c>
      <c r="C65" s="68">
        <f>LN(B65)-LN(B64)</f>
        <v>1.0365312617512501E-2</v>
      </c>
      <c r="D65" s="68"/>
      <c r="E65" s="68"/>
      <c r="F65" s="68"/>
      <c r="G65" s="68"/>
      <c r="H65" s="68"/>
      <c r="I65">
        <f>_xlfn.STDEV.S(C45:C65)</f>
        <v>9.2031166789776284E-3</v>
      </c>
      <c r="J65">
        <f>_xlfn.NORM.S.INV(0.99)*I65*SQRT(10)</f>
        <v>6.7703260818499492E-2</v>
      </c>
      <c r="K65">
        <f>LN(B74)-LN(B65)</f>
        <v>2.4229332146987304E-2</v>
      </c>
      <c r="L65">
        <f>IF(K65&lt;-(J65),1,0)</f>
        <v>0</v>
      </c>
      <c r="M65" s="72">
        <f t="shared" si="0"/>
        <v>7.3400375563179826E-2</v>
      </c>
      <c r="N65">
        <f>SQRT((N64^2)*0.72+(1-0.72)*(C64^2))</f>
        <v>9.9803839343127632E-3</v>
      </c>
      <c r="O65">
        <f>_xlfn.NORM.S.INV(0.99)*N65*SQRT(10)</f>
        <v>7.3421272395364542E-2</v>
      </c>
      <c r="P65">
        <f>LN(B74)-LN(B65)</f>
        <v>2.4229332146987304E-2</v>
      </c>
      <c r="Q65">
        <f>IF(P65&lt;-(O65),1,0)</f>
        <v>0</v>
      </c>
    </row>
    <row r="66" spans="1:17">
      <c r="A66" s="64">
        <v>41388</v>
      </c>
      <c r="B66">
        <v>1578.790039</v>
      </c>
      <c r="C66" s="68">
        <f>LN(B66)-LN(B65)</f>
        <v>6.3403185261989847E-6</v>
      </c>
      <c r="D66" s="68"/>
      <c r="E66" s="68"/>
      <c r="F66" s="68"/>
      <c r="G66" s="68"/>
      <c r="H66" s="68"/>
      <c r="I66">
        <f>_xlfn.STDEV.S(C46:C66)</f>
        <v>9.1590438509667298E-3</v>
      </c>
      <c r="J66">
        <f>_xlfn.NORM.S.INV(0.99)*I66*SQRT(10)</f>
        <v>6.7379036506897888E-2</v>
      </c>
      <c r="K66">
        <f>LN(B75)-LN(B66)</f>
        <v>2.9439631026737523E-2</v>
      </c>
      <c r="L66">
        <f>IF(K66&lt;-(J66),1,0)</f>
        <v>0</v>
      </c>
      <c r="M66" s="72">
        <f t="shared" si="0"/>
        <v>7.4208569013054129E-2</v>
      </c>
      <c r="N66">
        <f>SQRT((N65^2)*0.72+(1-0.72)*(C65^2))</f>
        <v>1.0089644358815699E-2</v>
      </c>
      <c r="O66">
        <f>_xlfn.NORM.S.INV(0.99)*N66*SQRT(10)</f>
        <v>7.4225053035694752E-2</v>
      </c>
      <c r="P66">
        <f>LN(B75)-LN(B66)</f>
        <v>2.9439631026737523E-2</v>
      </c>
      <c r="Q66">
        <f>IF(P66&lt;-(O66),1,0)</f>
        <v>0</v>
      </c>
    </row>
    <row r="67" spans="1:17">
      <c r="A67" s="64">
        <v>41389</v>
      </c>
      <c r="B67">
        <v>1585.160034</v>
      </c>
      <c r="C67" s="68">
        <f>LN(B67)-LN(B66)</f>
        <v>4.0266144912219914E-3</v>
      </c>
      <c r="D67" s="68"/>
      <c r="E67" s="68"/>
      <c r="F67" s="68"/>
      <c r="G67" s="68"/>
      <c r="H67" s="68"/>
      <c r="I67">
        <f>_xlfn.STDEV.S(C47:C67)</f>
        <v>9.053512666089036E-3</v>
      </c>
      <c r="J67">
        <f>_xlfn.NORM.S.INV(0.99)*I67*SQRT(10)</f>
        <v>6.6602690233837983E-2</v>
      </c>
      <c r="K67">
        <f>LN(B76)-LN(B67)</f>
        <v>2.954355511495077E-2</v>
      </c>
      <c r="L67">
        <f>IF(K67&lt;-(J67),1,0)</f>
        <v>0</v>
      </c>
      <c r="M67" s="72">
        <f t="shared" si="0"/>
        <v>6.2957919864080669E-2</v>
      </c>
      <c r="N67">
        <f>SQRT((N66^2)*0.72+(1-0.72)*(C66^2))</f>
        <v>8.5613477924222636E-3</v>
      </c>
      <c r="O67">
        <f>_xlfn.NORM.S.INV(0.99)*N67*SQRT(10)</f>
        <v>6.298205083852533E-2</v>
      </c>
      <c r="P67">
        <f>LN(B76)-LN(B67)</f>
        <v>2.954355511495077E-2</v>
      </c>
      <c r="Q67">
        <f>IF(P67&lt;-(O67),1,0)</f>
        <v>0</v>
      </c>
    </row>
    <row r="68" spans="1:17">
      <c r="A68" s="64">
        <v>41390</v>
      </c>
      <c r="B68">
        <v>1582.23999</v>
      </c>
      <c r="C68" s="68">
        <f>LN(B68)-LN(B67)</f>
        <v>-1.8438118362897882E-3</v>
      </c>
      <c r="D68" s="68"/>
      <c r="E68" s="68"/>
      <c r="F68" s="68"/>
      <c r="G68" s="68"/>
      <c r="H68" s="68"/>
      <c r="I68">
        <f>_xlfn.STDEV.S(C48:C68)</f>
        <v>9.0662127628276211E-3</v>
      </c>
      <c r="J68">
        <f>_xlfn.NORM.S.INV(0.99)*I68*SQRT(10)</f>
        <v>6.6696119230981607E-2</v>
      </c>
      <c r="K68">
        <f>LN(B77)-LN(B68)</f>
        <v>2.7693449204909015E-2</v>
      </c>
      <c r="L68">
        <f>IF(K68&lt;-(J68),1,0)</f>
        <v>0</v>
      </c>
      <c r="M68" s="72">
        <f t="shared" si="0"/>
        <v>5.5673569961386178E-2</v>
      </c>
      <c r="N68">
        <f>SQRT((N67^2)*0.72+(1-0.72)*(C67^2))</f>
        <v>7.5705628277878438E-3</v>
      </c>
      <c r="O68">
        <f>_xlfn.NORM.S.INV(0.99)*N68*SQRT(10)</f>
        <v>5.5693283867992507E-2</v>
      </c>
      <c r="P68">
        <f>LN(B77)-LN(B68)</f>
        <v>2.7693449204909015E-2</v>
      </c>
      <c r="Q68">
        <f>IF(P68&lt;-(O68),1,0)</f>
        <v>0</v>
      </c>
    </row>
    <row r="69" spans="1:17">
      <c r="A69" s="64">
        <v>41393</v>
      </c>
      <c r="B69">
        <v>1593.6099850000001</v>
      </c>
      <c r="C69" s="68">
        <f>LN(B69)-LN(B68)</f>
        <v>7.1603152969279549E-3</v>
      </c>
      <c r="D69" s="68"/>
      <c r="E69" s="68"/>
      <c r="F69" s="68"/>
      <c r="G69" s="68"/>
      <c r="H69" s="68"/>
      <c r="I69">
        <f>_xlfn.STDEV.S(C49:C69)</f>
        <v>9.1506526129582315E-3</v>
      </c>
      <c r="J69">
        <f>_xlfn.NORM.S.INV(0.99)*I69*SQRT(10)</f>
        <v>6.7317305878536182E-2</v>
      </c>
      <c r="K69">
        <f>LN(B78)-LN(B69)</f>
        <v>2.4845477540740291E-2</v>
      </c>
      <c r="L69">
        <f>IF(K69&lt;-(J69),1,0)</f>
        <v>0</v>
      </c>
      <c r="M69" s="72">
        <f t="shared" si="0"/>
        <v>4.7779086292365873E-2</v>
      </c>
      <c r="N69">
        <f>SQRT((N68^2)*0.72+(1-0.72)*(C68^2))</f>
        <v>6.4975043890533593E-3</v>
      </c>
      <c r="O69">
        <f>_xlfn.NORM.S.INV(0.99)*N69*SQRT(10)</f>
        <v>4.7799267320632673E-2</v>
      </c>
      <c r="P69">
        <f>LN(B78)-LN(B69)</f>
        <v>2.4845477540740291E-2</v>
      </c>
      <c r="Q69">
        <f>IF(P69&lt;-(O69),1,0)</f>
        <v>0</v>
      </c>
    </row>
    <row r="70" spans="1:17">
      <c r="A70" s="64">
        <v>41394</v>
      </c>
      <c r="B70">
        <v>1597.5699460000001</v>
      </c>
      <c r="C70" s="68">
        <f>LN(B70)-LN(B69)</f>
        <v>2.4818174582508234E-3</v>
      </c>
      <c r="D70" s="68"/>
      <c r="E70" s="68"/>
      <c r="F70" s="68"/>
      <c r="G70" s="68"/>
      <c r="H70" s="68"/>
      <c r="I70">
        <f>_xlfn.STDEV.S(C50:C70)</f>
        <v>9.07797074280608E-3</v>
      </c>
      <c r="J70">
        <f>_xlfn.NORM.S.INV(0.99)*I70*SQRT(10)</f>
        <v>6.6782617491619622E-2</v>
      </c>
      <c r="K70">
        <f>LN(B79)-LN(B70)</f>
        <v>2.2406548923478375E-2</v>
      </c>
      <c r="L70">
        <f>IF(K70&lt;-(J70),1,0)</f>
        <v>0</v>
      </c>
      <c r="M70" s="72">
        <f t="shared" si="0"/>
        <v>4.9194819421345223E-2</v>
      </c>
      <c r="N70">
        <f>SQRT((N69^2)*0.72+(1-0.72)*(C69^2))</f>
        <v>6.6897143293380206E-3</v>
      </c>
      <c r="O70">
        <f>_xlfn.NORM.S.INV(0.99)*N70*SQRT(10)</f>
        <v>4.9213270877571845E-2</v>
      </c>
      <c r="P70">
        <f>LN(B79)-LN(B70)</f>
        <v>2.2406548923478375E-2</v>
      </c>
      <c r="Q70">
        <f>IF(P70&lt;-(O70),1,0)</f>
        <v>0</v>
      </c>
    </row>
    <row r="71" spans="1:17">
      <c r="A71" s="64">
        <v>41395</v>
      </c>
      <c r="B71">
        <v>1582.6999510000001</v>
      </c>
      <c r="C71" s="68">
        <f>LN(B71)-LN(B70)</f>
        <v>-9.3514725772214646E-3</v>
      </c>
      <c r="D71" s="68"/>
      <c r="E71" s="68"/>
      <c r="F71" s="68"/>
      <c r="G71" s="68"/>
      <c r="H71" s="68"/>
      <c r="I71">
        <f>_xlfn.STDEV.S(C51:C71)</f>
        <v>9.3004475829775463E-3</v>
      </c>
      <c r="J71">
        <f>_xlfn.NORM.S.INV(0.99)*I71*SQRT(10)</f>
        <v>6.8419281250388528E-2</v>
      </c>
      <c r="K71">
        <f>LN(B80)-LN(B71)</f>
        <v>4.184908829181655E-2</v>
      </c>
      <c r="L71">
        <f>IF(K71&lt;-(J71),1,0)</f>
        <v>0</v>
      </c>
      <c r="M71" s="72">
        <f t="shared" si="0"/>
        <v>4.2839981586877081E-2</v>
      </c>
      <c r="N71">
        <f>SQRT((N70^2)*0.72+(1-0.72)*(C70^2))</f>
        <v>5.826343367221873E-3</v>
      </c>
      <c r="O71">
        <f>_xlfn.NORM.S.INV(0.99)*N71*SQRT(10)</f>
        <v>4.2861832395346508E-2</v>
      </c>
      <c r="P71">
        <f>LN(B80)-LN(B71)</f>
        <v>4.184908829181655E-2</v>
      </c>
      <c r="Q71">
        <f>IF(P71&lt;-(O71),1,0)</f>
        <v>0</v>
      </c>
    </row>
    <row r="72" spans="1:17">
      <c r="A72" s="64">
        <v>41396</v>
      </c>
      <c r="B72">
        <v>1597.589966</v>
      </c>
      <c r="C72" s="68">
        <f>LN(B72)-LN(B71)</f>
        <v>9.3640040313909267E-3</v>
      </c>
      <c r="D72" s="68"/>
      <c r="E72" s="68"/>
      <c r="F72" s="68"/>
      <c r="G72" s="68"/>
      <c r="H72" s="68"/>
      <c r="I72">
        <f>_xlfn.STDEV.S(C52:C72)</f>
        <v>9.1412403872708596E-3</v>
      </c>
      <c r="J72">
        <f>_xlfn.NORM.S.INV(0.99)*I72*SQRT(10)</f>
        <v>6.7248064295187537E-2</v>
      </c>
      <c r="K72">
        <f>LN(B81)-LN(B72)</f>
        <v>3.758618746278497E-2</v>
      </c>
      <c r="L72">
        <f>IF(K72&lt;-(J72),1,0)</f>
        <v>0</v>
      </c>
      <c r="M72" s="72">
        <f t="shared" si="0"/>
        <v>5.1421393024606792E-2</v>
      </c>
      <c r="N72">
        <f>SQRT((N71^2)*0.72+(1-0.72)*(C71^2))</f>
        <v>6.9948073944249281E-3</v>
      </c>
      <c r="O72">
        <f>_xlfn.NORM.S.INV(0.99)*N72*SQRT(10)</f>
        <v>5.1457705679390411E-2</v>
      </c>
      <c r="P72">
        <f>LN(B81)-LN(B72)</f>
        <v>3.758618746278497E-2</v>
      </c>
      <c r="Q72">
        <f>IF(P72&lt;-(O72),1,0)</f>
        <v>0</v>
      </c>
    </row>
    <row r="73" spans="1:17">
      <c r="A73" s="64">
        <v>41397</v>
      </c>
      <c r="B73">
        <v>1614.420044</v>
      </c>
      <c r="C73" s="68">
        <f>LN(B73)-LN(B72)</f>
        <v>1.0479563869570718E-2</v>
      </c>
      <c r="D73" s="68"/>
      <c r="E73" s="68"/>
      <c r="F73" s="68"/>
      <c r="G73" s="68"/>
      <c r="H73" s="68"/>
      <c r="I73">
        <f>_xlfn.STDEV.S(C53:C73)</f>
        <v>9.3425925264583789E-3</v>
      </c>
      <c r="J73">
        <f>_xlfn.NORM.S.INV(0.99)*I73*SQRT(10)</f>
        <v>6.8729322967797324E-2</v>
      </c>
      <c r="K73">
        <f>LN(B82)-LN(B73)</f>
        <v>2.2084291966648628E-2</v>
      </c>
      <c r="L73">
        <f>IF(K73&lt;-(J73),1,0)</f>
        <v>0</v>
      </c>
      <c r="M73" s="72">
        <f t="shared" si="0"/>
        <v>5.6852082094566693E-2</v>
      </c>
      <c r="N73">
        <f>SQRT((N72^2)*0.72+(1-0.72)*(C72^2))</f>
        <v>7.7317111928244409E-3</v>
      </c>
      <c r="O73">
        <f>_xlfn.NORM.S.INV(0.99)*N73*SQRT(10)</f>
        <v>5.6878781147785711E-2</v>
      </c>
      <c r="P73">
        <f>LN(B82)-LN(B73)</f>
        <v>2.2084291966648628E-2</v>
      </c>
      <c r="Q73">
        <f>IF(P73&lt;-(O73),1,0)</f>
        <v>0</v>
      </c>
    </row>
    <row r="74" spans="1:17">
      <c r="A74" s="64">
        <v>41400</v>
      </c>
      <c r="B74">
        <v>1617.5</v>
      </c>
      <c r="C74" s="68">
        <f>LN(B74)-LN(B73)</f>
        <v>1.9059610946099426E-3</v>
      </c>
      <c r="D74" s="68"/>
      <c r="E74" s="68"/>
      <c r="F74" s="68"/>
      <c r="G74" s="68"/>
      <c r="H74" s="68"/>
      <c r="I74">
        <f>_xlfn.STDEV.S(C54:C74)</f>
        <v>9.243006207204604E-3</v>
      </c>
      <c r="J74">
        <f>_xlfn.NORM.S.INV(0.99)*I74*SQRT(10)</f>
        <v>6.7996710442977989E-2</v>
      </c>
      <c r="K74">
        <f>LN(B83)-LN(B74)</f>
        <v>3.0425742856767357E-2</v>
      </c>
      <c r="L74">
        <f>IF(K74&lt;-(J74),1,0)</f>
        <v>0</v>
      </c>
      <c r="M74" s="72">
        <f t="shared" si="0"/>
        <v>6.3173698091061839E-2</v>
      </c>
      <c r="N74">
        <f>SQRT((N73^2)*0.72+(1-0.72)*(C73^2))</f>
        <v>8.5901740511384866E-3</v>
      </c>
      <c r="O74">
        <f>_xlfn.NORM.S.INV(0.99)*N74*SQRT(10)</f>
        <v>6.3194112880153461E-2</v>
      </c>
      <c r="P74">
        <f>LN(B83)-LN(B74)</f>
        <v>3.0425742856767357E-2</v>
      </c>
      <c r="Q74">
        <f>IF(P74&lt;-(O74),1,0)</f>
        <v>0</v>
      </c>
    </row>
    <row r="75" spans="1:17">
      <c r="A75" s="64">
        <v>41401</v>
      </c>
      <c r="B75">
        <v>1625.959961</v>
      </c>
      <c r="C75" s="68">
        <f>LN(B75)-LN(B74)</f>
        <v>5.2166391982764182E-3</v>
      </c>
      <c r="D75" s="68"/>
      <c r="E75" s="68"/>
      <c r="F75" s="68"/>
      <c r="G75" s="68"/>
      <c r="H75" s="68"/>
      <c r="I75">
        <f>_xlfn.STDEV.S(C55:C75)</f>
        <v>9.220794817510666E-3</v>
      </c>
      <c r="J75">
        <f>_xlfn.NORM.S.INV(0.99)*I75*SQRT(10)</f>
        <v>6.7833311068391661E-2</v>
      </c>
      <c r="K75">
        <f>LN(B84)-LN(B75)</f>
        <v>2.4501235038235869E-2</v>
      </c>
      <c r="L75">
        <f>IF(K75&lt;-(J75),1,0)</f>
        <v>0</v>
      </c>
      <c r="M75" s="72">
        <f t="shared" si="0"/>
        <v>5.4107932597199856E-2</v>
      </c>
      <c r="N75">
        <f>SQRT((N74^2)*0.72+(1-0.72)*(C74^2))</f>
        <v>7.3584466784193548E-3</v>
      </c>
      <c r="O75">
        <f>_xlfn.NORM.S.INV(0.99)*N75*SQRT(10)</f>
        <v>5.4132839131122559E-2</v>
      </c>
      <c r="P75">
        <f>LN(B84)-LN(B75)</f>
        <v>2.4501235038235869E-2</v>
      </c>
      <c r="Q75">
        <f>IF(P75&lt;-(O75),1,0)</f>
        <v>0</v>
      </c>
    </row>
    <row r="76" spans="1:17">
      <c r="A76" s="64">
        <v>41402</v>
      </c>
      <c r="B76">
        <v>1632.6899410000001</v>
      </c>
      <c r="C76" s="68">
        <f>LN(B76)-LN(B75)</f>
        <v>4.1305385794352389E-3</v>
      </c>
      <c r="D76" s="68"/>
      <c r="E76" s="68"/>
      <c r="F76" s="68"/>
      <c r="G76" s="68"/>
      <c r="H76" s="68"/>
      <c r="I76">
        <f>_xlfn.STDEV.S(C56:C76)</f>
        <v>9.2270310858459069E-3</v>
      </c>
      <c r="J76">
        <f>_xlfn.NORM.S.INV(0.99)*I76*SQRT(10)</f>
        <v>6.7879188537553758E-2</v>
      </c>
      <c r="K76">
        <f>LN(B85)-LN(B76)</f>
        <v>2.2091601071660527E-2</v>
      </c>
      <c r="L76">
        <f>IF(K76&lt;-(J76),1,0)</f>
        <v>0</v>
      </c>
      <c r="M76" s="72">
        <f t="shared" si="0"/>
        <v>5.0199871859640262E-2</v>
      </c>
      <c r="N76">
        <f>SQRT((N75^2)*0.72+(1-0.72)*(C75^2))</f>
        <v>6.8268134499764772E-3</v>
      </c>
      <c r="O76">
        <f>_xlfn.NORM.S.INV(0.99)*N76*SQRT(10)</f>
        <v>5.0221848498213671E-2</v>
      </c>
      <c r="P76">
        <f>LN(B85)-LN(B76)</f>
        <v>2.2091601071660527E-2</v>
      </c>
      <c r="Q76">
        <f>IF(P76&lt;-(O76),1,0)</f>
        <v>0</v>
      </c>
    </row>
    <row r="77" spans="1:17">
      <c r="A77" s="64">
        <v>41403</v>
      </c>
      <c r="B77">
        <v>1626.670044</v>
      </c>
      <c r="C77" s="68">
        <f>LN(B77)-LN(B76)</f>
        <v>-3.6939177463315431E-3</v>
      </c>
      <c r="D77" s="68"/>
      <c r="E77" s="68"/>
      <c r="F77" s="68"/>
      <c r="G77" s="68"/>
      <c r="H77" s="68"/>
      <c r="I77">
        <f>_xlfn.STDEV.S(C57:C77)</f>
        <v>8.994460382890956E-3</v>
      </c>
      <c r="J77">
        <f>_xlfn.NORM.S.INV(0.99)*I77*SQRT(10)</f>
        <v>6.6168268692663776E-2</v>
      </c>
      <c r="K77">
        <f>LN(B86)-LN(B77)</f>
        <v>1.7477444910000806E-2</v>
      </c>
      <c r="L77">
        <f>IF(K77&lt;-(J77),1,0)</f>
        <v>0</v>
      </c>
      <c r="M77" s="72">
        <f t="shared" si="0"/>
        <v>4.5495468346451989E-2</v>
      </c>
      <c r="N77">
        <f>SQRT((N76^2)*0.72+(1-0.72)*(C76^2))</f>
        <v>6.1913692073642494E-3</v>
      </c>
      <c r="O77">
        <f>_xlfn.NORM.S.INV(0.99)*N77*SQRT(10)</f>
        <v>4.5547166127679083E-2</v>
      </c>
      <c r="P77">
        <f>LN(B86)-LN(B77)</f>
        <v>1.7477444910000806E-2</v>
      </c>
      <c r="Q77">
        <f>IF(P77&lt;-(O77),1,0)</f>
        <v>0</v>
      </c>
    </row>
    <row r="78" spans="1:17">
      <c r="A78" s="64">
        <v>41404</v>
      </c>
      <c r="B78">
        <v>1633.6999510000001</v>
      </c>
      <c r="C78" s="68">
        <f>LN(B78)-LN(B77)</f>
        <v>4.3123436327592302E-3</v>
      </c>
      <c r="D78" s="68"/>
      <c r="E78" s="68"/>
      <c r="F78" s="68"/>
      <c r="G78" s="68"/>
      <c r="H78" s="68"/>
      <c r="I78">
        <f>_xlfn.STDEV.S(C58:C78)</f>
        <v>9.0061989088928429E-3</v>
      </c>
      <c r="J78">
        <f>_xlfn.NORM.S.INV(0.99)*I78*SQRT(10)</f>
        <v>6.6254623838996524E-2</v>
      </c>
      <c r="K78">
        <f>LN(B87)-LN(B78)</f>
        <v>1.0236986064501075E-2</v>
      </c>
      <c r="L78">
        <f>IF(K78&lt;-(J78),1,0)</f>
        <v>0</v>
      </c>
      <c r="M78" s="72">
        <f t="shared" si="0"/>
        <v>4.1192029559287323E-2</v>
      </c>
      <c r="N78">
        <f>SQRT((N77^2)*0.72+(1-0.72)*(C77^2))</f>
        <v>5.6053907843461176E-3</v>
      </c>
      <c r="O78">
        <f>_xlfn.NORM.S.INV(0.99)*N78*SQRT(10)</f>
        <v>4.1236381923646058E-2</v>
      </c>
      <c r="P78">
        <f>LN(B87)-LN(B78)</f>
        <v>1.0236986064501075E-2</v>
      </c>
      <c r="Q78">
        <f>IF(P78&lt;-(O78),1,0)</f>
        <v>0</v>
      </c>
    </row>
    <row r="79" spans="1:17">
      <c r="A79" s="64">
        <v>41407</v>
      </c>
      <c r="B79">
        <v>1633.7700199999999</v>
      </c>
      <c r="C79" s="68">
        <f>LN(B79)-LN(B78)</f>
        <v>4.2888840988908328E-5</v>
      </c>
      <c r="D79" s="68"/>
      <c r="E79" s="68"/>
      <c r="F79" s="68"/>
      <c r="G79" s="68"/>
      <c r="H79" s="68"/>
      <c r="I79">
        <f>_xlfn.STDEV.S(C59:C79)</f>
        <v>8.9635463214098356E-3</v>
      </c>
      <c r="J79">
        <f>_xlfn.NORM.S.INV(0.99)*I79*SQRT(10)</f>
        <v>6.5940847609087125E-2</v>
      </c>
      <c r="K79">
        <f>LN(B88)-LN(B79)</f>
        <v>9.6425798335291191E-3</v>
      </c>
      <c r="L79">
        <f>IF(K79&lt;-(J79),1,0)</f>
        <v>0</v>
      </c>
      <c r="M79" s="72">
        <f t="shared" si="0"/>
        <v>3.8772517002742618E-2</v>
      </c>
      <c r="N79">
        <f>SQRT((N78^2)*0.72+(1-0.72)*(C78^2))</f>
        <v>5.275382293116495E-3</v>
      </c>
      <c r="O79">
        <f>_xlfn.NORM.S.INV(0.99)*N79*SQRT(10)</f>
        <v>3.880865534650995E-2</v>
      </c>
      <c r="P79">
        <f>LN(B88)-LN(B79)</f>
        <v>9.6425798335291191E-3</v>
      </c>
      <c r="Q79">
        <f>IF(P79&lt;-(O79),1,0)</f>
        <v>0</v>
      </c>
    </row>
    <row r="80" spans="1:17">
      <c r="A80" s="64">
        <v>41408</v>
      </c>
      <c r="B80">
        <v>1650.339966</v>
      </c>
      <c r="C80" s="68">
        <f>LN(B80)-LN(B79)</f>
        <v>1.009106679111671E-2</v>
      </c>
      <c r="D80" s="68"/>
      <c r="E80" s="68"/>
      <c r="F80" s="68"/>
      <c r="G80" s="68"/>
      <c r="H80" s="68"/>
      <c r="I80">
        <f>_xlfn.STDEV.S(C60:C80)</f>
        <v>7.1677699254583315E-3</v>
      </c>
      <c r="J80">
        <f>_xlfn.NORM.S.INV(0.99)*I80*SQRT(10)</f>
        <v>5.2730114555519451E-2</v>
      </c>
      <c r="K80">
        <f>LN(B89)-LN(B80)</f>
        <v>5.8724751452849944E-3</v>
      </c>
      <c r="L80">
        <f>IF(K80&lt;-(J80),1,0)</f>
        <v>0</v>
      </c>
      <c r="M80" s="72">
        <f t="shared" si="0"/>
        <v>3.2725276787738941E-2</v>
      </c>
      <c r="N80">
        <f>SQRT((N79^2)*0.72+(1-0.72)*(C79^2))</f>
        <v>4.476367841284969E-3</v>
      </c>
      <c r="O80">
        <f>_xlfn.NORM.S.INV(0.99)*N80*SQRT(10)</f>
        <v>3.2930659259198615E-2</v>
      </c>
      <c r="P80">
        <f>LN(B89)-LN(B80)</f>
        <v>5.8724751452849944E-3</v>
      </c>
      <c r="Q80">
        <f>IF(P80&lt;-(O80),1,0)</f>
        <v>0</v>
      </c>
    </row>
    <row r="81" spans="1:17">
      <c r="A81" s="64">
        <v>41409</v>
      </c>
      <c r="B81">
        <v>1658.780029</v>
      </c>
      <c r="C81" s="68">
        <f>LN(B81)-LN(B80)</f>
        <v>5.1011032023593472E-3</v>
      </c>
      <c r="D81" s="68"/>
      <c r="E81" s="68"/>
      <c r="F81" s="68"/>
      <c r="G81" s="68"/>
      <c r="H81" s="68"/>
      <c r="I81">
        <f>_xlfn.STDEV.S(C61:C81)</f>
        <v>6.7114764763172166E-3</v>
      </c>
      <c r="J81">
        <f>_xlfn.NORM.S.INV(0.99)*I81*SQRT(10)</f>
        <v>4.9373365372110699E-2</v>
      </c>
      <c r="K81">
        <f>LN(B90)-LN(B81)</f>
        <v>-6.3015647582407297E-3</v>
      </c>
      <c r="L81">
        <f>IF(K81&lt;-(J81),1,0)</f>
        <v>0</v>
      </c>
      <c r="M81" s="72">
        <f t="shared" si="0"/>
        <v>4.8060882993486417E-2</v>
      </c>
      <c r="N81">
        <f>SQRT((N80^2)*0.72+(1-0.72)*(C80^2))</f>
        <v>6.5528285367107662E-3</v>
      </c>
      <c r="O81">
        <f>_xlfn.NORM.S.INV(0.99)*N81*SQRT(10)</f>
        <v>4.8206262616798654E-2</v>
      </c>
      <c r="P81">
        <f>LN(B90)-LN(B81)</f>
        <v>-6.3015647582407297E-3</v>
      </c>
      <c r="Q81">
        <f>IF(P81&lt;-(O81),1,0)</f>
        <v>0</v>
      </c>
    </row>
    <row r="82" spans="1:17">
      <c r="A82" s="64">
        <v>41410</v>
      </c>
      <c r="B82">
        <v>1650.469971</v>
      </c>
      <c r="C82" s="68">
        <f>LN(B82)-LN(B81)</f>
        <v>-5.0223316265656237E-3</v>
      </c>
      <c r="D82" s="68"/>
      <c r="E82" s="68"/>
      <c r="F82" s="68"/>
      <c r="G82" s="68"/>
      <c r="H82" s="68"/>
      <c r="I82">
        <f>_xlfn.STDEV.S(C62:C82)</f>
        <v>5.7746731647570276E-3</v>
      </c>
      <c r="J82">
        <f>_xlfn.NORM.S.INV(0.99)*I82*SQRT(10)</f>
        <v>4.2481717558596359E-2</v>
      </c>
      <c r="K82">
        <f>LN(B91)-LN(B82)</f>
        <v>2.384392087307674E-3</v>
      </c>
      <c r="L82">
        <f>IF(K82&lt;-(J82),1,0)</f>
        <v>0</v>
      </c>
      <c r="M82" s="72">
        <f t="shared" si="0"/>
        <v>4.5309771047122013E-2</v>
      </c>
      <c r="N82">
        <f>SQRT((N81^2)*0.72+(1-0.72)*(C81^2))</f>
        <v>6.1808118888553882E-3</v>
      </c>
      <c r="O82">
        <f>_xlfn.NORM.S.INV(0.99)*N82*SQRT(10)</f>
        <v>4.5469500602674705E-2</v>
      </c>
      <c r="P82">
        <f>LN(B91)-LN(B82)</f>
        <v>2.384392087307674E-3</v>
      </c>
      <c r="Q82">
        <f>IF(P82&lt;-(O82),1,0)</f>
        <v>0</v>
      </c>
    </row>
    <row r="83" spans="1:17">
      <c r="A83" s="64">
        <v>41411</v>
      </c>
      <c r="B83">
        <v>1667.469971</v>
      </c>
      <c r="C83" s="68">
        <f>LN(B83)-LN(B82)</f>
        <v>1.0247411984728672E-2</v>
      </c>
      <c r="D83" s="68"/>
      <c r="E83" s="68"/>
      <c r="F83" s="68"/>
      <c r="G83" s="68"/>
      <c r="H83" s="68"/>
      <c r="I83">
        <f>_xlfn.STDEV.S(C63:C83)</f>
        <v>5.5389937608076581E-3</v>
      </c>
      <c r="J83">
        <f>_xlfn.NORM.S.INV(0.99)*I83*SQRT(10)</f>
        <v>4.0747928374810283E-2</v>
      </c>
      <c r="K83">
        <f>LN(B92)-LN(B83)</f>
        <v>-2.2273596854390121E-2</v>
      </c>
      <c r="L83">
        <f>IF(K83&lt;-(J83),1,0)</f>
        <v>0</v>
      </c>
      <c r="M83" s="72">
        <f t="shared" si="0"/>
        <v>4.3120832716668611E-2</v>
      </c>
      <c r="N83">
        <f>SQRT((N82^2)*0.72+(1-0.72)*(C82^2))</f>
        <v>5.8794916299554304E-3</v>
      </c>
      <c r="O83">
        <f>_xlfn.NORM.S.INV(0.99)*N83*SQRT(10)</f>
        <v>4.3252820668060646E-2</v>
      </c>
      <c r="P83">
        <f>LN(B92)-LN(B83)</f>
        <v>-2.2273596854390121E-2</v>
      </c>
      <c r="Q83">
        <f>IF(P83&lt;-(O83),1,0)</f>
        <v>0</v>
      </c>
    </row>
    <row r="84" spans="1:17">
      <c r="A84" s="64">
        <v>41414</v>
      </c>
      <c r="B84">
        <v>1666.290039</v>
      </c>
      <c r="C84" s="68">
        <f>LN(B84)-LN(B83)</f>
        <v>-7.0786862025506991E-4</v>
      </c>
      <c r="D84" s="68"/>
      <c r="E84" s="68"/>
      <c r="F84" s="68"/>
      <c r="G84" s="68"/>
      <c r="H84" s="68"/>
      <c r="I84">
        <f>_xlfn.STDEV.S(C64:C84)</f>
        <v>5.4924075427141379E-3</v>
      </c>
      <c r="J84">
        <f>_xlfn.NORM.S.INV(0.99)*I84*SQRT(10)</f>
        <v>4.0405214163510783E-2</v>
      </c>
      <c r="K84">
        <f>LN(B93)-LN(B84)</f>
        <v>-1.5647288197332188E-2</v>
      </c>
      <c r="L84">
        <f>IF(K84&lt;-(J84),1,0)</f>
        <v>0</v>
      </c>
      <c r="M84" s="72">
        <f t="shared" si="0"/>
        <v>5.4114364761944075E-2</v>
      </c>
      <c r="N84">
        <f>SQRT((N83^2)*0.72+(1-0.72)*(C83^2))</f>
        <v>7.3683044442373934E-3</v>
      </c>
      <c r="O84">
        <f>_xlfn.NORM.S.INV(0.99)*N84*SQRT(10)</f>
        <v>5.4205358356244508E-2</v>
      </c>
      <c r="P84">
        <f>LN(B93)-LN(B84)</f>
        <v>-1.5647288197332188E-2</v>
      </c>
      <c r="Q84">
        <f>IF(P84&lt;-(O84),1,0)</f>
        <v>0</v>
      </c>
    </row>
    <row r="85" spans="1:17">
      <c r="A85" s="64">
        <v>41415</v>
      </c>
      <c r="B85">
        <v>1669.160034</v>
      </c>
      <c r="C85" s="68">
        <f>LN(B85)-LN(B84)</f>
        <v>1.720904612859897E-3</v>
      </c>
      <c r="D85" s="68"/>
      <c r="E85" s="68"/>
      <c r="F85" s="68"/>
      <c r="G85" s="68"/>
      <c r="H85" s="68"/>
      <c r="I85">
        <f>_xlfn.STDEV.S(C65:C85)</f>
        <v>5.4931638266948035E-3</v>
      </c>
      <c r="J85">
        <f>_xlfn.NORM.S.INV(0.99)*I85*SQRT(10)</f>
        <v>4.0410777810412364E-2</v>
      </c>
      <c r="K85">
        <f>LN(B94)-LN(B85)</f>
        <v>-2.2894240777302066E-2</v>
      </c>
      <c r="L85">
        <f>IF(K85&lt;-(J85),1,0)</f>
        <v>0</v>
      </c>
      <c r="M85" s="72">
        <f t="shared" si="0"/>
        <v>4.5995173504289916E-2</v>
      </c>
      <c r="N85">
        <f>SQRT((N84^2)*0.72+(1-0.72)*(C84^2))</f>
        <v>6.2634237690842092E-3</v>
      </c>
      <c r="O85">
        <f>_xlfn.NORM.S.INV(0.99)*N85*SQRT(10)</f>
        <v>4.6077239683785624E-2</v>
      </c>
      <c r="P85">
        <f>LN(B94)-LN(B85)</f>
        <v>-2.2894240777302066E-2</v>
      </c>
      <c r="Q85">
        <f>IF(P85&lt;-(O85),1,0)</f>
        <v>0</v>
      </c>
    </row>
    <row r="86" spans="1:17">
      <c r="A86" s="64">
        <v>41416</v>
      </c>
      <c r="B86">
        <v>1655.349976</v>
      </c>
      <c r="C86" s="68">
        <f>LN(B86)-LN(B85)</f>
        <v>-8.3080739079912647E-3</v>
      </c>
      <c r="D86" s="68"/>
      <c r="E86" s="68"/>
      <c r="F86" s="68"/>
      <c r="G86" s="68"/>
      <c r="H86" s="68"/>
      <c r="I86">
        <f>_xlfn.STDEV.S(C66:C86)</f>
        <v>5.7702332508145476E-3</v>
      </c>
      <c r="J86">
        <f>_xlfn.NORM.S.INV(0.99)*I86*SQRT(10)</f>
        <v>4.2449055074554834E-2</v>
      </c>
      <c r="K86">
        <f>LN(B95)-LN(B86)</f>
        <v>-2.8461721742424118E-2</v>
      </c>
      <c r="L86">
        <f>IF(K86&lt;-(J86),1,0)</f>
        <v>0</v>
      </c>
      <c r="M86" s="72">
        <f t="shared" si="0"/>
        <v>3.957012735726384E-2</v>
      </c>
      <c r="N86">
        <f>SQRT((N85^2)*0.72+(1-0.72)*(C85^2))</f>
        <v>5.3921393913965538E-3</v>
      </c>
      <c r="O86">
        <f>_xlfn.NORM.S.INV(0.99)*N86*SQRT(10)</f>
        <v>3.9667585701627879E-2</v>
      </c>
      <c r="P86">
        <f>LN(B95)-LN(B86)</f>
        <v>-2.8461721742424118E-2</v>
      </c>
      <c r="Q86">
        <f>IF(P86&lt;-(O86),1,0)</f>
        <v>0</v>
      </c>
    </row>
    <row r="87" spans="1:17">
      <c r="A87" s="64">
        <v>41417</v>
      </c>
      <c r="B87">
        <v>1650.51001</v>
      </c>
      <c r="C87" s="68">
        <f>LN(B87)-LN(B86)</f>
        <v>-2.9281152127405008E-3</v>
      </c>
      <c r="D87" s="68"/>
      <c r="E87" s="68"/>
      <c r="F87" s="68"/>
      <c r="G87" s="68"/>
      <c r="H87" s="68"/>
      <c r="I87">
        <f>_xlfn.STDEV.S(C67:C87)</f>
        <v>5.8622154815133245E-3</v>
      </c>
      <c r="J87">
        <f>_xlfn.NORM.S.INV(0.99)*I87*SQRT(10)</f>
        <v>4.3125727681552414E-2</v>
      </c>
      <c r="K87">
        <f>LN(B96)-LN(B87)</f>
        <v>-1.7079151877719134E-2</v>
      </c>
      <c r="L87">
        <f>IF(K87&lt;-(J87),1,0)</f>
        <v>0</v>
      </c>
      <c r="M87" s="72">
        <f t="shared" si="0"/>
        <v>4.6618831629343049E-2</v>
      </c>
      <c r="N87">
        <f>SQRT((N86^2)*0.72+(1-0.72)*(C86^2))</f>
        <v>6.3451450868109351E-3</v>
      </c>
      <c r="O87">
        <f>_xlfn.NORM.S.INV(0.99)*N87*SQRT(10)</f>
        <v>4.6678427290275756E-2</v>
      </c>
      <c r="P87">
        <f>LN(B96)-LN(B87)</f>
        <v>-1.7079151877719134E-2</v>
      </c>
      <c r="Q87">
        <f>IF(P87&lt;-(O87),1,0)</f>
        <v>0</v>
      </c>
    </row>
    <row r="88" spans="1:17">
      <c r="A88" s="64">
        <v>41418</v>
      </c>
      <c r="B88">
        <v>1649.599976</v>
      </c>
      <c r="C88" s="68">
        <f>LN(B88)-LN(B87)</f>
        <v>-5.5151738998304722E-4</v>
      </c>
      <c r="D88" s="68"/>
      <c r="E88" s="68"/>
      <c r="F88" s="68"/>
      <c r="G88" s="68"/>
      <c r="H88" s="68"/>
      <c r="I88">
        <f>_xlfn.STDEV.S(C68:C88)</f>
        <v>5.8727080816804193E-3</v>
      </c>
      <c r="J88">
        <f>_xlfn.NORM.S.INV(0.99)*I88*SQRT(10)</f>
        <v>4.3202917102327633E-2</v>
      </c>
      <c r="K88">
        <f>LN(B97)-LN(B88)</f>
        <v>-3.7777201398574434E-3</v>
      </c>
      <c r="L88">
        <f>IF(K88&lt;-(J88),1,0)</f>
        <v>0</v>
      </c>
      <c r="M88" s="72">
        <f t="shared" si="0"/>
        <v>4.1162665659887493E-2</v>
      </c>
      <c r="N88">
        <f>SQRT((N87^2)*0.72+(1-0.72)*(C87^2))</f>
        <v>5.6025444291030249E-3</v>
      </c>
      <c r="O88">
        <f>_xlfn.NORM.S.INV(0.99)*N88*SQRT(10)</f>
        <v>4.1215442546462526E-2</v>
      </c>
      <c r="P88">
        <f>LN(B97)-LN(B88)</f>
        <v>-3.7777201398574434E-3</v>
      </c>
      <c r="Q88">
        <f>IF(P88&lt;-(O88),1,0)</f>
        <v>0</v>
      </c>
    </row>
    <row r="89" spans="1:17">
      <c r="A89" s="64">
        <v>41422</v>
      </c>
      <c r="B89">
        <v>1660.0600589999999</v>
      </c>
      <c r="C89" s="68">
        <f>LN(B89)-LN(B88)</f>
        <v>6.3209621028725849E-3</v>
      </c>
      <c r="D89" s="68"/>
      <c r="E89" s="68"/>
      <c r="F89" s="68"/>
      <c r="G89" s="68"/>
      <c r="H89" s="68"/>
      <c r="I89">
        <f>_xlfn.STDEV.S(C69:C89)</f>
        <v>5.8828955121124279E-3</v>
      </c>
      <c r="J89">
        <f>_xlfn.NORM.S.INV(0.99)*I89*SQRT(10)</f>
        <v>4.327786152427375E-2</v>
      </c>
      <c r="K89">
        <f>LN(B98)-LN(B89)</f>
        <v>-1.0445555670386852E-2</v>
      </c>
      <c r="L89">
        <f>IF(K89&lt;-(J89),1,0)</f>
        <v>0</v>
      </c>
      <c r="M89" s="72">
        <f t="shared" ref="M89:M152" si="1">EWMAV(B68:B88,0.72,0.99)*SQRT(10)</f>
        <v>3.4992568143523868E-2</v>
      </c>
      <c r="N89">
        <f>SQRT((N88^2)*0.72+(1-0.72)*(C88^2))</f>
        <v>4.7628658325067109E-3</v>
      </c>
      <c r="O89">
        <f>_xlfn.NORM.S.INV(0.99)*N89*SQRT(10)</f>
        <v>3.5038298323252788E-2</v>
      </c>
      <c r="P89">
        <f>LN(B98)-LN(B89)</f>
        <v>-1.0445555670386852E-2</v>
      </c>
      <c r="Q89">
        <f>IF(P89&lt;-(O89),1,0)</f>
        <v>0</v>
      </c>
    </row>
    <row r="90" spans="1:17">
      <c r="A90" s="64">
        <v>41423</v>
      </c>
      <c r="B90">
        <v>1648.3599850000001</v>
      </c>
      <c r="C90" s="68">
        <f>LN(B90)-LN(B89)</f>
        <v>-7.0729367011663768E-3</v>
      </c>
      <c r="D90" s="68"/>
      <c r="E90" s="68"/>
      <c r="F90" s="68"/>
      <c r="G90" s="68"/>
      <c r="H90" s="68"/>
      <c r="I90">
        <f>_xlfn.STDEV.S(C70:C90)</f>
        <v>6.108851971999593E-3</v>
      </c>
      <c r="J90">
        <f>_xlfn.NORM.S.INV(0.99)*I90*SQRT(10)</f>
        <v>4.4940123306992444E-2</v>
      </c>
      <c r="K90">
        <f>LN(B99)-LN(B90)</f>
        <v>-1.3577883329265461E-2</v>
      </c>
      <c r="L90">
        <f>IF(K90&lt;-(J90),1,0)</f>
        <v>0</v>
      </c>
      <c r="M90" s="72">
        <f t="shared" si="1"/>
        <v>3.8548412795238587E-2</v>
      </c>
      <c r="N90">
        <f>SQRT((N89^2)*0.72+(1-0.72)*(C89^2))</f>
        <v>5.245988830464423E-3</v>
      </c>
      <c r="O90">
        <f>_xlfn.NORM.S.INV(0.99)*N90*SQRT(10)</f>
        <v>3.8592420636279899E-2</v>
      </c>
      <c r="P90">
        <f>LN(B99)-LN(B90)</f>
        <v>-1.3577883329265461E-2</v>
      </c>
      <c r="Q90">
        <f>IF(P90&lt;-(O90),1,0)</f>
        <v>0</v>
      </c>
    </row>
    <row r="91" spans="1:17">
      <c r="A91" s="64">
        <v>41424</v>
      </c>
      <c r="B91">
        <v>1654.410034</v>
      </c>
      <c r="C91" s="68">
        <f>LN(B91)-LN(B90)</f>
        <v>3.66362521898278E-3</v>
      </c>
      <c r="D91" s="68"/>
      <c r="E91" s="68"/>
      <c r="F91" s="68"/>
      <c r="G91" s="68"/>
      <c r="H91" s="68"/>
      <c r="I91">
        <f>_xlfn.STDEV.S(C71:C91)</f>
        <v>6.1227271025316912E-3</v>
      </c>
      <c r="J91">
        <f>_xlfn.NORM.S.INV(0.99)*I91*SQRT(10)</f>
        <v>4.5042196508286433E-2</v>
      </c>
      <c r="K91">
        <f>LN(B100)-LN(B91)</f>
        <v>-2.5646285237670874E-2</v>
      </c>
      <c r="L91">
        <f>IF(K91&lt;-(J91),1,0)</f>
        <v>0</v>
      </c>
      <c r="M91" s="72">
        <f t="shared" si="1"/>
        <v>4.2753253004264705E-2</v>
      </c>
      <c r="N91">
        <f>SQRT((N90^2)*0.72+(1-0.72)*(C90^2))</f>
        <v>5.8156761038399615E-3</v>
      </c>
      <c r="O91">
        <f>_xlfn.NORM.S.INV(0.99)*N91*SQRT(10)</f>
        <v>4.2783358054516413E-2</v>
      </c>
      <c r="P91">
        <f>LN(B100)-LN(B91)</f>
        <v>-2.5646285237670874E-2</v>
      </c>
      <c r="Q91">
        <f>IF(P91&lt;-(O91),1,0)</f>
        <v>0</v>
      </c>
    </row>
    <row r="92" spans="1:17">
      <c r="A92" s="64">
        <v>41425</v>
      </c>
      <c r="B92">
        <v>1630.73999</v>
      </c>
      <c r="C92" s="68">
        <f>LN(B92)-LN(B91)</f>
        <v>-1.4410576956969123E-2</v>
      </c>
      <c r="D92" s="68"/>
      <c r="E92" s="68"/>
      <c r="F92" s="68"/>
      <c r="G92" s="68"/>
      <c r="H92" s="68"/>
      <c r="I92">
        <f>_xlfn.STDEV.S(C72:C92)</f>
        <v>6.6543084871237973E-3</v>
      </c>
      <c r="J92">
        <f>_xlfn.NORM.S.INV(0.99)*I92*SQRT(10)</f>
        <v>4.8952805748904746E-2</v>
      </c>
      <c r="K92">
        <f>LN(B101)-LN(B92)</f>
        <v>3.4403603111199388E-3</v>
      </c>
      <c r="L92">
        <f>IF(K92&lt;-(J92),1,0)</f>
        <v>0</v>
      </c>
      <c r="M92" s="72">
        <f t="shared" si="1"/>
        <v>3.8956100071604959E-2</v>
      </c>
      <c r="N92">
        <f>SQRT((N91^2)*0.72+(1-0.72)*(C91^2))</f>
        <v>5.301896423062673E-3</v>
      </c>
      <c r="O92">
        <f>_xlfn.NORM.S.INV(0.99)*N92*SQRT(10)</f>
        <v>3.900370807894158E-2</v>
      </c>
      <c r="P92">
        <f>LN(B101)-LN(B92)</f>
        <v>3.4403603111199388E-3</v>
      </c>
      <c r="Q92">
        <f>IF(P92&lt;-(O92),1,0)</f>
        <v>0</v>
      </c>
    </row>
    <row r="93" spans="1:17">
      <c r="A93" s="64">
        <v>41428</v>
      </c>
      <c r="B93">
        <v>1640.420044</v>
      </c>
      <c r="C93" s="68">
        <f>LN(B93)-LN(B92)</f>
        <v>5.9184400368028633E-3</v>
      </c>
      <c r="D93" s="68"/>
      <c r="E93" s="68"/>
      <c r="F93" s="68"/>
      <c r="G93" s="68"/>
      <c r="H93" s="68"/>
      <c r="I93">
        <f>_xlfn.STDEV.S(C73:C93)</f>
        <v>6.4891704554911238E-3</v>
      </c>
      <c r="J93">
        <f>_xlfn.NORM.S.INV(0.99)*I93*SQRT(10)</f>
        <v>4.7737958255748496E-2</v>
      </c>
      <c r="K93">
        <f>LN(B102)-LN(B93)</f>
        <v>-8.3804808614518222E-3</v>
      </c>
      <c r="L93">
        <f>IF(K93&lt;-(J93),1,0)</f>
        <v>0</v>
      </c>
      <c r="M93" s="72">
        <f t="shared" si="1"/>
        <v>6.5096853817632999E-2</v>
      </c>
      <c r="N93">
        <f>SQRT((N92^2)*0.72+(1-0.72)*(C92^2))</f>
        <v>8.8535529588635378E-3</v>
      </c>
      <c r="O93">
        <f>_xlfn.NORM.S.INV(0.99)*N93*SQRT(10)</f>
        <v>6.5131675067595124E-2</v>
      </c>
      <c r="P93">
        <f>LN(B102)-LN(B93)</f>
        <v>-8.3804808614518222E-3</v>
      </c>
      <c r="Q93">
        <f>IF(P93&lt;-(O93),1,0)</f>
        <v>0</v>
      </c>
    </row>
    <row r="94" spans="1:17">
      <c r="A94" s="64">
        <v>41429</v>
      </c>
      <c r="B94">
        <v>1631.380005</v>
      </c>
      <c r="C94" s="68">
        <f>LN(B94)-LN(B93)</f>
        <v>-5.5260479671099816E-3</v>
      </c>
      <c r="D94" s="68"/>
      <c r="E94" s="68"/>
      <c r="F94" s="68"/>
      <c r="G94" s="68"/>
      <c r="H94" s="68"/>
      <c r="I94">
        <f>_xlfn.STDEV.S(C74:C94)</f>
        <v>6.2890054692544958E-3</v>
      </c>
      <c r="J94">
        <f>_xlfn.NORM.S.INV(0.99)*I94*SQRT(10)</f>
        <v>4.6265432942572168E-2</v>
      </c>
      <c r="K94">
        <f>LN(B103)-LN(B94)</f>
        <v>4.6844429183954261E-3</v>
      </c>
      <c r="L94">
        <f>IF(K94&lt;-(J94),1,0)</f>
        <v>0</v>
      </c>
      <c r="M94" s="72">
        <f t="shared" si="1"/>
        <v>5.9829161589276016E-2</v>
      </c>
      <c r="N94">
        <f>SQRT((N93^2)*0.72+(1-0.72)*(C93^2))</f>
        <v>8.1391221325197993E-3</v>
      </c>
      <c r="O94">
        <f>_xlfn.NORM.S.INV(0.99)*N94*SQRT(10)</f>
        <v>5.9875923319579735E-2</v>
      </c>
      <c r="P94">
        <f>LN(B103)-LN(B94)</f>
        <v>4.6844429183954261E-3</v>
      </c>
      <c r="Q94">
        <f>IF(P94&lt;-(O94),1,0)</f>
        <v>0</v>
      </c>
    </row>
    <row r="95" spans="1:17">
      <c r="A95" s="64">
        <v>41430</v>
      </c>
      <c r="B95">
        <v>1608.900024</v>
      </c>
      <c r="C95" s="68">
        <f>LN(B95)-LN(B94)</f>
        <v>-1.3875554873113316E-2</v>
      </c>
      <c r="D95" s="68"/>
      <c r="E95" s="68"/>
      <c r="F95" s="68"/>
      <c r="G95" s="68"/>
      <c r="H95" s="68"/>
      <c r="I95">
        <f>_xlfn.STDEV.S(C75:C95)</f>
        <v>7.0134778322859795E-3</v>
      </c>
      <c r="J95">
        <f>_xlfn.NORM.S.INV(0.99)*I95*SQRT(10)</f>
        <v>5.1595055836755013E-2</v>
      </c>
      <c r="K95">
        <f>LN(B104)-LN(B95)</f>
        <v>2.6320961504366913E-2</v>
      </c>
      <c r="L95">
        <f>IF(K95&lt;-(J95),1,0)</f>
        <v>0</v>
      </c>
      <c r="M95" s="72">
        <f t="shared" si="1"/>
        <v>5.5135496702063462E-2</v>
      </c>
      <c r="N95">
        <f>SQRT((N94^2)*0.72+(1-0.72)*(C94^2))</f>
        <v>7.4998026814815022E-3</v>
      </c>
      <c r="O95">
        <f>_xlfn.NORM.S.INV(0.99)*N95*SQRT(10)</f>
        <v>5.5172732753838251E-2</v>
      </c>
      <c r="P95">
        <f>LN(B104)-LN(B95)</f>
        <v>2.6320961504366913E-2</v>
      </c>
      <c r="Q95">
        <f>IF(P95&lt;-(O95),1,0)</f>
        <v>0</v>
      </c>
    </row>
    <row r="96" spans="1:17">
      <c r="A96" s="64">
        <v>41431</v>
      </c>
      <c r="B96">
        <v>1622.5600589999999</v>
      </c>
      <c r="C96" s="68">
        <f>LN(B96)-LN(B95)</f>
        <v>8.4544546519644825E-3</v>
      </c>
      <c r="D96" s="68"/>
      <c r="E96" s="68"/>
      <c r="F96" s="68"/>
      <c r="G96" s="68"/>
      <c r="H96" s="68"/>
      <c r="I96">
        <f>_xlfn.STDEV.S(C76:C96)</f>
        <v>7.173515816894383E-3</v>
      </c>
      <c r="J96">
        <f>_xlfn.NORM.S.INV(0.99)*I96*SQRT(10)</f>
        <v>5.2772384538624026E-2</v>
      </c>
      <c r="K96">
        <f>LN(B105)-LN(B96)</f>
        <v>3.9182054554336432E-3</v>
      </c>
      <c r="L96">
        <f>IF(K96&lt;-(J96),1,0)</f>
        <v>0</v>
      </c>
      <c r="M96" s="72">
        <f t="shared" si="1"/>
        <v>7.1453815452407088E-2</v>
      </c>
      <c r="N96">
        <f>SQRT((N95^2)*0.72+(1-0.72)*(C95^2))</f>
        <v>9.71630358924273E-3</v>
      </c>
      <c r="O96">
        <f>_xlfn.NORM.S.INV(0.99)*N96*SQRT(10)</f>
        <v>7.1478550043472991E-2</v>
      </c>
      <c r="P96">
        <f>LN(B105)-LN(B96)</f>
        <v>3.9182054554336432E-3</v>
      </c>
      <c r="Q96">
        <f>IF(P96&lt;-(O96),1,0)</f>
        <v>0</v>
      </c>
    </row>
    <row r="97" spans="1:17">
      <c r="A97" s="64">
        <v>41432</v>
      </c>
      <c r="B97">
        <v>1643.380005</v>
      </c>
      <c r="C97" s="68">
        <f>LN(B97)-LN(B96)</f>
        <v>1.2749914347878644E-2</v>
      </c>
      <c r="D97" s="68"/>
      <c r="E97" s="68"/>
      <c r="F97" s="68"/>
      <c r="G97" s="68"/>
      <c r="H97" s="68"/>
      <c r="I97">
        <f>_xlfn.STDEV.S(C77:C97)</f>
        <v>7.6578915254084E-3</v>
      </c>
      <c r="J97">
        <f>_xlfn.NORM.S.INV(0.99)*I97*SQRT(10)</f>
        <v>5.6335722489405396E-2</v>
      </c>
      <c r="K97">
        <f>LN(B106)-LN(B97)</f>
        <v>-3.4160133717993091E-2</v>
      </c>
      <c r="L97">
        <f>IF(K97&lt;-(J97),1,0)</f>
        <v>0</v>
      </c>
      <c r="M97" s="72">
        <f t="shared" si="1"/>
        <v>6.8984265623346933E-2</v>
      </c>
      <c r="N97">
        <f>SQRT((N96^2)*0.72+(1-0.72)*(C96^2))</f>
        <v>9.3801122000215491E-3</v>
      </c>
      <c r="O97">
        <f>_xlfn.NORM.S.INV(0.99)*N97*SQRT(10)</f>
        <v>6.9005338619198858E-2</v>
      </c>
      <c r="P97">
        <f>LN(B106)-LN(B97)</f>
        <v>-3.4160133717993091E-2</v>
      </c>
      <c r="Q97">
        <f>IF(P97&lt;-(O97),1,0)</f>
        <v>0</v>
      </c>
    </row>
    <row r="98" spans="1:17">
      <c r="A98" s="64">
        <v>41435</v>
      </c>
      <c r="B98">
        <v>1642.8100589999999</v>
      </c>
      <c r="C98" s="68">
        <f>LN(B98)-LN(B97)</f>
        <v>-3.4687342765682416E-4</v>
      </c>
      <c r="D98" s="68"/>
      <c r="E98" s="68"/>
      <c r="F98" s="68"/>
      <c r="G98" s="68"/>
      <c r="H98" s="68"/>
      <c r="I98">
        <f>_xlfn.STDEV.S(C78:C98)</f>
        <v>7.605023207218526E-3</v>
      </c>
      <c r="J98">
        <f>_xlfn.NORM.S.INV(0.99)*I98*SQRT(10)</f>
        <v>5.5946793644938965E-2</v>
      </c>
      <c r="K98">
        <f>LN(B107)-LN(B98)</f>
        <v>-3.1147040799494263E-2</v>
      </c>
      <c r="L98">
        <f>IF(K98&lt;-(J98),1,0)</f>
        <v>0</v>
      </c>
      <c r="M98" s="72">
        <f t="shared" si="1"/>
        <v>7.6742380334036728E-2</v>
      </c>
      <c r="N98">
        <f>SQRT((N97^2)*0.72+(1-0.72)*(C97^2))</f>
        <v>1.0433943260488946E-2</v>
      </c>
      <c r="O98">
        <f>_xlfn.NORM.S.INV(0.99)*N98*SQRT(10)</f>
        <v>7.6757907844843626E-2</v>
      </c>
      <c r="P98">
        <f>LN(B107)-LN(B98)</f>
        <v>-3.1147040799494263E-2</v>
      </c>
      <c r="Q98">
        <f>IF(P98&lt;-(O98),1,0)</f>
        <v>0</v>
      </c>
    </row>
    <row r="99" spans="1:17">
      <c r="A99" s="64">
        <v>41436</v>
      </c>
      <c r="B99">
        <v>1626.130005</v>
      </c>
      <c r="C99" s="68">
        <f>LN(B99)-LN(B98)</f>
        <v>-1.0205264360044985E-2</v>
      </c>
      <c r="D99" s="68"/>
      <c r="E99" s="68"/>
      <c r="F99" s="68"/>
      <c r="G99" s="68"/>
      <c r="H99" s="68"/>
      <c r="I99">
        <f>_xlfn.STDEV.S(C79:C99)</f>
        <v>7.8926973817888477E-3</v>
      </c>
      <c r="J99">
        <f>_xlfn.NORM.S.INV(0.99)*I99*SQRT(10)</f>
        <v>5.8063085369911935E-2</v>
      </c>
      <c r="K99">
        <f>LN(B108)-LN(B99)</f>
        <v>-3.3161145466372943E-2</v>
      </c>
      <c r="L99">
        <f>IF(K99&lt;-(J99),1,0)</f>
        <v>0</v>
      </c>
      <c r="M99" s="72">
        <f t="shared" si="1"/>
        <v>6.5129034935439728E-2</v>
      </c>
      <c r="N99">
        <f>SQRT((N98^2)*0.72+(1-0.72)*(C98^2))</f>
        <v>8.8553968709698134E-3</v>
      </c>
      <c r="O99">
        <f>_xlfn.NORM.S.INV(0.99)*N99*SQRT(10)</f>
        <v>6.514523991378933E-2</v>
      </c>
      <c r="P99">
        <f>LN(B108)-LN(B99)</f>
        <v>-3.3161145466372943E-2</v>
      </c>
      <c r="Q99">
        <f>IF(P99&lt;-(O99),1,0)</f>
        <v>0</v>
      </c>
    </row>
    <row r="100" spans="1:17">
      <c r="A100" s="64">
        <v>41437</v>
      </c>
      <c r="B100">
        <v>1612.5200199999999</v>
      </c>
      <c r="C100" s="68">
        <f>LN(B100)-LN(B99)</f>
        <v>-8.4047766894226328E-3</v>
      </c>
      <c r="D100" s="68"/>
      <c r="E100" s="68"/>
      <c r="F100" s="68"/>
      <c r="G100" s="68"/>
      <c r="H100" s="68"/>
      <c r="I100">
        <f>_xlfn.STDEV.S(C80:C100)</f>
        <v>8.0913442498410978E-3</v>
      </c>
      <c r="J100">
        <f>_xlfn.NORM.S.INV(0.99)*I100*SQRT(10)</f>
        <v>5.9524442558747837E-2</v>
      </c>
      <c r="K100">
        <f>LN(B109)-LN(B100)</f>
        <v>-1.5303912518819018E-2</v>
      </c>
      <c r="L100">
        <f>IF(K100&lt;-(J100),1,0)</f>
        <v>0</v>
      </c>
      <c r="M100" s="72">
        <f t="shared" si="1"/>
        <v>6.8060760995843017E-2</v>
      </c>
      <c r="N100">
        <f>SQRT((N99^2)*0.72+(1-0.72)*(C99^2))</f>
        <v>9.2532305968709237E-3</v>
      </c>
      <c r="O100">
        <f>_xlfn.NORM.S.INV(0.99)*N100*SQRT(10)</f>
        <v>6.8071926757671694E-2</v>
      </c>
      <c r="P100">
        <f>LN(B109)-LN(B100)</f>
        <v>-1.5303912518819018E-2</v>
      </c>
      <c r="Q100">
        <f>IF(P100&lt;-(O100),1,0)</f>
        <v>0</v>
      </c>
    </row>
    <row r="101" spans="1:17">
      <c r="A101" s="64">
        <v>41438</v>
      </c>
      <c r="B101">
        <v>1636.3599850000001</v>
      </c>
      <c r="C101" s="68">
        <f>LN(B101)-LN(B100)</f>
        <v>1.4676068591821689E-2</v>
      </c>
      <c r="D101" s="68"/>
      <c r="E101" s="68"/>
      <c r="F101" s="68"/>
      <c r="G101" s="68"/>
      <c r="H101" s="68"/>
      <c r="I101">
        <f>_xlfn.STDEV.S(C81:C101)</f>
        <v>8.4488762648221617E-3</v>
      </c>
      <c r="J101">
        <f>_xlfn.NORM.S.INV(0.99)*I101*SQRT(10)</f>
        <v>6.2154647532299864E-2</v>
      </c>
      <c r="K101">
        <f>LN(B110)-LN(B101)</f>
        <v>-2.0435191111318751E-2</v>
      </c>
      <c r="L101">
        <f>IF(K101&lt;-(J101),1,0)</f>
        <v>0</v>
      </c>
      <c r="M101" s="72">
        <f t="shared" si="1"/>
        <v>6.6358895655855996E-2</v>
      </c>
      <c r="N101">
        <f>SQRT((N100^2)*0.72+(1-0.72)*(C100^2))</f>
        <v>9.0237084948773978E-3</v>
      </c>
      <c r="O101">
        <f>_xlfn.NORM.S.INV(0.99)*N101*SQRT(10)</f>
        <v>6.6383434122304588E-2</v>
      </c>
      <c r="P101">
        <f>LN(B110)-LN(B101)</f>
        <v>-2.0435191111318751E-2</v>
      </c>
      <c r="Q101">
        <f>IF(P101&lt;-(O101),1,0)</f>
        <v>0</v>
      </c>
    </row>
    <row r="102" spans="1:17">
      <c r="A102" s="64">
        <v>41439</v>
      </c>
      <c r="B102">
        <v>1626.7299800000001</v>
      </c>
      <c r="C102" s="68">
        <f>LN(B102)-LN(B101)</f>
        <v>-5.9024011357688977E-3</v>
      </c>
      <c r="D102" s="68"/>
      <c r="E102" s="68"/>
      <c r="F102" s="68"/>
      <c r="G102" s="68"/>
      <c r="H102" s="68"/>
      <c r="I102">
        <f>_xlfn.STDEV.S(C82:C102)</f>
        <v>8.4315085291748453E-3</v>
      </c>
      <c r="J102">
        <f>_xlfn.NORM.S.INV(0.99)*I102*SQRT(10)</f>
        <v>6.202688077921252E-2</v>
      </c>
      <c r="K102">
        <f>LN(B111)-LN(B102)</f>
        <v>-8.3520989279826097E-3</v>
      </c>
      <c r="L102">
        <f>IF(K102&lt;-(J102),1,0)</f>
        <v>0</v>
      </c>
      <c r="M102" s="72">
        <f t="shared" si="1"/>
        <v>8.0210935058183094E-2</v>
      </c>
      <c r="N102">
        <f>SQRT((N101^2)*0.72+(1-0.72)*(C101^2))</f>
        <v>1.0905779376445116E-2</v>
      </c>
      <c r="O102">
        <f>_xlfn.NORM.S.INV(0.99)*N102*SQRT(10)</f>
        <v>8.0228997556782075E-2</v>
      </c>
      <c r="P102">
        <f>LN(B111)-LN(B102)</f>
        <v>-8.3520989279826097E-3</v>
      </c>
      <c r="Q102">
        <f>IF(P102&lt;-(O102),1,0)</f>
        <v>0</v>
      </c>
    </row>
    <row r="103" spans="1:17">
      <c r="A103" s="64">
        <v>41442</v>
      </c>
      <c r="B103">
        <v>1639.040039</v>
      </c>
      <c r="C103" s="68">
        <f>LN(B103)-LN(B102)</f>
        <v>7.5388758127372668E-3</v>
      </c>
      <c r="D103" s="68"/>
      <c r="E103" s="68"/>
      <c r="F103" s="68"/>
      <c r="G103" s="68"/>
      <c r="H103" s="68"/>
      <c r="I103">
        <f>_xlfn.STDEV.S(C83:C103)</f>
        <v>8.5710110867098094E-3</v>
      </c>
      <c r="J103">
        <f>_xlfn.NORM.S.INV(0.99)*I103*SQRT(10)</f>
        <v>6.3053139422571E-2</v>
      </c>
      <c r="K103">
        <f>LN(B112)-LN(B103)</f>
        <v>-2.0189763799466576E-2</v>
      </c>
      <c r="L103">
        <f>IF(K103&lt;-(J103),1,0)</f>
        <v>0</v>
      </c>
      <c r="M103" s="72">
        <f t="shared" si="1"/>
        <v>7.1831134999333357E-2</v>
      </c>
      <c r="N103">
        <f>SQRT((N102^2)*0.72+(1-0.72)*(C102^2))</f>
        <v>9.7667124514059546E-3</v>
      </c>
      <c r="O103">
        <f>_xlfn.NORM.S.INV(0.99)*N103*SQRT(10)</f>
        <v>7.1849385757247697E-2</v>
      </c>
      <c r="P103">
        <f>LN(B112)-LN(B103)</f>
        <v>-2.0189763799466576E-2</v>
      </c>
      <c r="Q103">
        <f>IF(P103&lt;-(O103),1,0)</f>
        <v>0</v>
      </c>
    </row>
    <row r="104" spans="1:17">
      <c r="A104" s="64">
        <v>41443</v>
      </c>
      <c r="B104">
        <v>1651.8100589999999</v>
      </c>
      <c r="C104" s="68">
        <f>LN(B104)-LN(B103)</f>
        <v>7.760963712858171E-3</v>
      </c>
      <c r="D104" s="68"/>
      <c r="E104" s="68"/>
      <c r="F104" s="68"/>
      <c r="G104" s="68"/>
      <c r="H104" s="68"/>
      <c r="I104">
        <f>_xlfn.STDEV.S(C84:C104)</f>
        <v>8.4336459705940687E-3</v>
      </c>
      <c r="J104">
        <f>_xlfn.NORM.S.INV(0.99)*I104*SQRT(10)</f>
        <v>6.2042604990796245E-2</v>
      </c>
      <c r="K104">
        <f>LN(B113)-LN(B104)</f>
        <v>-2.2561527679412663E-2</v>
      </c>
      <c r="L104">
        <f>IF(K104&lt;-(J104),1,0)</f>
        <v>0</v>
      </c>
      <c r="M104" s="72">
        <f t="shared" si="1"/>
        <v>6.7631316139281195E-2</v>
      </c>
      <c r="N104">
        <f>SQRT((N103^2)*0.72+(1-0.72)*(C103^2))</f>
        <v>9.1974749525969152E-3</v>
      </c>
      <c r="O104">
        <f>_xlfn.NORM.S.INV(0.99)*N104*SQRT(10)</f>
        <v>6.7661757131656911E-2</v>
      </c>
      <c r="P104">
        <f>LN(B113)-LN(B104)</f>
        <v>-2.2561527679412663E-2</v>
      </c>
      <c r="Q104">
        <f>IF(P104&lt;-(O104),1,0)</f>
        <v>0</v>
      </c>
    </row>
    <row r="105" spans="1:17">
      <c r="A105" s="64">
        <v>41444</v>
      </c>
      <c r="B105">
        <v>1628.9300539999999</v>
      </c>
      <c r="C105" s="68">
        <f>LN(B105)-LN(B104)</f>
        <v>-1.3948301396968787E-2</v>
      </c>
      <c r="D105" s="68"/>
      <c r="E105" s="68"/>
      <c r="F105" s="68"/>
      <c r="G105" s="68"/>
      <c r="H105" s="68"/>
      <c r="I105">
        <f>_xlfn.STDEV.S(C85:C105)</f>
        <v>8.9340225807873971E-3</v>
      </c>
      <c r="J105">
        <f>_xlfn.NORM.S.INV(0.99)*I105*SQRT(10)</f>
        <v>6.5723654501423437E-2</v>
      </c>
      <c r="K105">
        <f>LN(B114)-LN(B105)</f>
        <v>-9.1582830450773756E-3</v>
      </c>
      <c r="L105">
        <f>IF(K105&lt;-(J105),1,0)</f>
        <v>0</v>
      </c>
      <c r="M105" s="72">
        <f t="shared" si="1"/>
        <v>6.4853588830783598E-2</v>
      </c>
      <c r="N105">
        <f>SQRT((N104^2)*0.72+(1-0.72)*(C104^2))</f>
        <v>8.8188700485533084E-3</v>
      </c>
      <c r="O105">
        <f>_xlfn.NORM.S.INV(0.99)*N105*SQRT(10)</f>
        <v>6.4876528229346087E-2</v>
      </c>
      <c r="P105">
        <f>LN(B114)-LN(B105)</f>
        <v>-9.1582830450773756E-3</v>
      </c>
      <c r="Q105">
        <f>IF(P105&lt;-(O105),1,0)</f>
        <v>0</v>
      </c>
    </row>
    <row r="106" spans="1:17">
      <c r="A106" s="64">
        <v>41445</v>
      </c>
      <c r="B106">
        <v>1588.1899410000001</v>
      </c>
      <c r="C106" s="68">
        <f>LN(B106)-LN(B105)</f>
        <v>-2.532842482554809E-2</v>
      </c>
      <c r="D106" s="68"/>
      <c r="E106" s="68"/>
      <c r="F106" s="68"/>
      <c r="G106" s="68"/>
      <c r="H106" s="68"/>
      <c r="I106">
        <f>_xlfn.STDEV.S(C86:C106)</f>
        <v>1.0348054624502922E-2</v>
      </c>
      <c r="J106">
        <f>_xlfn.NORM.S.INV(0.99)*I106*SQRT(10)</f>
        <v>7.6126063120241824E-2</v>
      </c>
      <c r="K106">
        <f>LN(B115)-LN(B106)</f>
        <v>1.6993849597694677E-2</v>
      </c>
      <c r="L106">
        <f>IF(K106&lt;-(J106),1,0)</f>
        <v>0</v>
      </c>
      <c r="M106" s="72">
        <f t="shared" si="1"/>
        <v>7.730718776201255E-2</v>
      </c>
      <c r="N106">
        <f>SQRT((N105^2)*0.72+(1-0.72)*(C105^2))</f>
        <v>1.0510547509665976E-2</v>
      </c>
      <c r="O106">
        <f>_xlfn.NORM.S.INV(0.99)*N106*SQRT(10)</f>
        <v>7.7321451440208966E-2</v>
      </c>
      <c r="P106">
        <f>LN(B115)-LN(B106)</f>
        <v>1.6993849597694677E-2</v>
      </c>
      <c r="Q106">
        <f>IF(P106&lt;-(O106),1,0)</f>
        <v>0</v>
      </c>
    </row>
    <row r="107" spans="1:17">
      <c r="A107" s="64">
        <v>41446</v>
      </c>
      <c r="B107">
        <v>1592.4300539999999</v>
      </c>
      <c r="C107" s="68">
        <f>LN(B107)-LN(B106)</f>
        <v>2.6662194908420034E-3</v>
      </c>
      <c r="D107" s="68"/>
      <c r="E107" s="68"/>
      <c r="F107" s="68"/>
      <c r="G107" s="68"/>
      <c r="H107" s="68"/>
      <c r="I107">
        <f>_xlfn.STDEV.S(C87:C107)</f>
        <v>1.0310106747136583E-2</v>
      </c>
      <c r="J107">
        <f>_xlfn.NORM.S.INV(0.99)*I107*SQRT(10)</f>
        <v>7.5846897362764204E-2</v>
      </c>
      <c r="K107">
        <f>LN(B116)-LN(B107)</f>
        <v>2.4477676136744897E-2</v>
      </c>
      <c r="L107">
        <f>IF(K107&lt;-(J107),1,0)</f>
        <v>0</v>
      </c>
      <c r="M107" s="72">
        <f t="shared" si="1"/>
        <v>0.11841802498489153</v>
      </c>
      <c r="N107">
        <f>SQRT((N106^2)*0.72+(1-0.72)*(C106^2))</f>
        <v>1.6098686518045014E-2</v>
      </c>
      <c r="O107">
        <f>_xlfn.NORM.S.INV(0.99)*N107*SQRT(10)</f>
        <v>0.11843091967487078</v>
      </c>
      <c r="P107">
        <f>LN(B116)-LN(B107)</f>
        <v>2.4477676136744897E-2</v>
      </c>
      <c r="Q107">
        <f>IF(P107&lt;-(O107),1,0)</f>
        <v>0</v>
      </c>
    </row>
    <row r="108" spans="1:17">
      <c r="A108" s="64">
        <v>41449</v>
      </c>
      <c r="B108">
        <v>1573.089966</v>
      </c>
      <c r="C108" s="68">
        <f>LN(B108)-LN(B107)</f>
        <v>-1.2219369026923665E-2</v>
      </c>
      <c r="D108" s="68"/>
      <c r="E108" s="68"/>
      <c r="F108" s="68"/>
      <c r="G108" s="68"/>
      <c r="H108" s="68"/>
      <c r="I108">
        <f>_xlfn.STDEV.S(C88:C108)</f>
        <v>1.0555339982482384E-2</v>
      </c>
      <c r="J108">
        <f>_xlfn.NORM.S.INV(0.99)*I108*SQRT(10)</f>
        <v>7.765096986049827E-2</v>
      </c>
      <c r="K108">
        <f>LN(B117)-LN(B108)</f>
        <v>4.193485020017107E-2</v>
      </c>
      <c r="L108">
        <f>IF(K108&lt;-(J108),1,0)</f>
        <v>0</v>
      </c>
      <c r="M108" s="72">
        <f t="shared" si="1"/>
        <v>0.10101472767134254</v>
      </c>
      <c r="N108">
        <f>SQRT((N107^2)*0.72+(1-0.72)*(C107^2))</f>
        <v>1.3732850864298407E-2</v>
      </c>
      <c r="O108">
        <f>_xlfn.NORM.S.INV(0.99)*N108*SQRT(10)</f>
        <v>0.10102651267814176</v>
      </c>
      <c r="P108">
        <f>LN(B117)-LN(B108)</f>
        <v>4.193485020017107E-2</v>
      </c>
      <c r="Q108">
        <f>IF(P108&lt;-(O108),1,0)</f>
        <v>0</v>
      </c>
    </row>
    <row r="109" spans="1:17">
      <c r="A109" s="64">
        <v>41450</v>
      </c>
      <c r="B109">
        <v>1588.030029</v>
      </c>
      <c r="C109" s="68">
        <f>LN(B109)-LN(B108)</f>
        <v>9.4524562581312921E-3</v>
      </c>
      <c r="D109" s="68"/>
      <c r="E109" s="68"/>
      <c r="F109" s="68"/>
      <c r="G109" s="68"/>
      <c r="H109" s="68"/>
      <c r="I109">
        <f>_xlfn.STDEV.S(C89:C109)</f>
        <v>1.0858996440497726E-2</v>
      </c>
      <c r="J109">
        <f>_xlfn.NORM.S.INV(0.99)*I109*SQRT(10)</f>
        <v>7.9884836179198282E-2</v>
      </c>
      <c r="K109">
        <f>LN(B118)-LN(B109)</f>
        <v>3.9686055663859854E-2</v>
      </c>
      <c r="L109">
        <f>IF(K109&lt;-(J109),1,0)</f>
        <v>0</v>
      </c>
      <c r="M109" s="72">
        <f t="shared" si="1"/>
        <v>9.8027754830204678E-2</v>
      </c>
      <c r="N109">
        <f>SQRT((N108^2)*0.72+(1-0.72)*(C108^2))</f>
        <v>1.3326413362059721E-2</v>
      </c>
      <c r="O109">
        <f>_xlfn.NORM.S.INV(0.99)*N109*SQRT(10)</f>
        <v>9.8036531655371323E-2</v>
      </c>
      <c r="P109">
        <f>LN(B118)-LN(B109)</f>
        <v>3.9686055663859854E-2</v>
      </c>
      <c r="Q109">
        <f>IF(P109&lt;-(O109),1,0)</f>
        <v>0</v>
      </c>
    </row>
    <row r="110" spans="1:17">
      <c r="A110" s="64">
        <v>41451</v>
      </c>
      <c r="B110">
        <v>1603.26001</v>
      </c>
      <c r="C110" s="68">
        <f>LN(B110)-LN(B109)</f>
        <v>9.5447899993219565E-3</v>
      </c>
      <c r="D110" s="68"/>
      <c r="E110" s="68"/>
      <c r="F110" s="68"/>
      <c r="G110" s="68"/>
      <c r="H110" s="68"/>
      <c r="I110">
        <f>_xlfn.STDEV.S(C90:C110)</f>
        <v>1.1001564984237551E-2</v>
      </c>
      <c r="J110">
        <f>_xlfn.NORM.S.INV(0.99)*I110*SQRT(10)</f>
        <v>8.0933649927629789E-2</v>
      </c>
      <c r="K110">
        <f>LN(B119)-LN(B110)</f>
        <v>3.0322841733199546E-2</v>
      </c>
      <c r="L110">
        <f>IF(K110&lt;-(J110),1,0)</f>
        <v>0</v>
      </c>
      <c r="M110" s="72">
        <f t="shared" si="1"/>
        <v>9.0949877406619181E-2</v>
      </c>
      <c r="N110">
        <f>SQRT((N109^2)*0.72+(1-0.72)*(C109^2))</f>
        <v>1.2364662196631022E-2</v>
      </c>
      <c r="O110">
        <f>_xlfn.NORM.S.INV(0.99)*N110*SQRT(10)</f>
        <v>9.0961353510096682E-2</v>
      </c>
      <c r="P110">
        <f>LN(B119)-LN(B110)</f>
        <v>3.0322841733199546E-2</v>
      </c>
      <c r="Q110">
        <f>IF(P110&lt;-(O110),1,0)</f>
        <v>0</v>
      </c>
    </row>
    <row r="111" spans="1:17">
      <c r="A111" s="64">
        <v>41452</v>
      </c>
      <c r="B111">
        <v>1613.1999510000001</v>
      </c>
      <c r="C111" s="68">
        <f>LN(B111)-LN(B110)</f>
        <v>6.1806910475672439E-3</v>
      </c>
      <c r="D111" s="68"/>
      <c r="E111" s="68"/>
      <c r="F111" s="68"/>
      <c r="G111" s="68"/>
      <c r="H111" s="68"/>
      <c r="I111">
        <f>_xlfn.STDEV.S(C91:C111)</f>
        <v>1.1055413473092957E-2</v>
      </c>
      <c r="J111">
        <f>_xlfn.NORM.S.INV(0.99)*I111*SQRT(10)</f>
        <v>8.1329789454360701E-2</v>
      </c>
      <c r="K111">
        <f>LN(B120)-LN(B111)</f>
        <v>3.7605363801743508E-2</v>
      </c>
      <c r="L111">
        <f>IF(K111&lt;-(J111),1,0)</f>
        <v>0</v>
      </c>
      <c r="M111" s="72">
        <f t="shared" si="1"/>
        <v>8.5645799148682131E-2</v>
      </c>
      <c r="N111">
        <f>SQRT((N110^2)*0.72+(1-0.72)*(C110^2))</f>
        <v>1.1644138087776919E-2</v>
      </c>
      <c r="O111">
        <f>_xlfn.NORM.S.INV(0.99)*N111*SQRT(10)</f>
        <v>8.5660776176420483E-2</v>
      </c>
      <c r="P111">
        <f>LN(B120)-LN(B111)</f>
        <v>3.7605363801743508E-2</v>
      </c>
      <c r="Q111">
        <f>IF(P111&lt;-(O111),1,0)</f>
        <v>0</v>
      </c>
    </row>
    <row r="112" spans="1:17">
      <c r="A112" s="64">
        <v>41453</v>
      </c>
      <c r="B112">
        <v>1606.280029</v>
      </c>
      <c r="C112" s="68">
        <f>LN(B112)-LN(B111)</f>
        <v>-4.2987890587466993E-3</v>
      </c>
      <c r="D112" s="68"/>
      <c r="E112" s="68"/>
      <c r="F112" s="68"/>
      <c r="G112" s="68"/>
      <c r="H112" s="68"/>
      <c r="I112">
        <f>_xlfn.STDEV.S(C92:C112)</f>
        <v>1.1023001884501863E-2</v>
      </c>
      <c r="J112">
        <f>_xlfn.NORM.S.INV(0.99)*I112*SQRT(10)</f>
        <v>8.1091351725874949E-2</v>
      </c>
      <c r="K112">
        <f>LN(B121)-LN(B112)</f>
        <v>4.498588255948377E-2</v>
      </c>
      <c r="L112">
        <f>IF(K112&lt;-(J112),1,0)</f>
        <v>0</v>
      </c>
      <c r="M112" s="72">
        <f t="shared" si="1"/>
        <v>7.6550189472963936E-2</v>
      </c>
      <c r="N112">
        <f>SQRT((N111^2)*0.72+(1-0.72)*(C111^2))</f>
        <v>1.0407600540582354E-2</v>
      </c>
      <c r="O112">
        <f>_xlfn.NORM.S.INV(0.99)*N112*SQRT(10)</f>
        <v>7.6564116100294899E-2</v>
      </c>
      <c r="P112">
        <f>LN(B121)-LN(B112)</f>
        <v>4.498588255948377E-2</v>
      </c>
      <c r="Q112">
        <f>IF(P112&lt;-(O112),1,0)</f>
        <v>0</v>
      </c>
    </row>
    <row r="113" spans="1:17">
      <c r="A113" s="64">
        <v>41456</v>
      </c>
      <c r="B113">
        <v>1614.959961</v>
      </c>
      <c r="C113" s="68">
        <f>LN(B113)-LN(B112)</f>
        <v>5.3891998329120838E-3</v>
      </c>
      <c r="D113" s="68"/>
      <c r="E113" s="68"/>
      <c r="F113" s="68"/>
      <c r="G113" s="68"/>
      <c r="H113" s="68"/>
      <c r="I113">
        <f>_xlfn.STDEV.S(C93:C113)</f>
        <v>1.0696995550102929E-2</v>
      </c>
      <c r="J113">
        <f>_xlfn.NORM.S.INV(0.99)*I113*SQRT(10)</f>
        <v>7.8693067247236154E-2</v>
      </c>
      <c r="K113">
        <f>LN(B122)-LN(B113)</f>
        <v>4.0970618119915869E-2</v>
      </c>
      <c r="L113">
        <f>IF(K113&lt;-(J113),1,0)</f>
        <v>0</v>
      </c>
      <c r="M113" s="72">
        <f t="shared" si="1"/>
        <v>6.7043021052665741E-2</v>
      </c>
      <c r="N113">
        <f>SQRT((N112^2)*0.72+(1-0.72)*(C112^2))</f>
        <v>9.1193942645839028E-3</v>
      </c>
      <c r="O113">
        <f>_xlfn.NORM.S.INV(0.99)*N113*SQRT(10)</f>
        <v>6.7087352028491351E-2</v>
      </c>
      <c r="P113">
        <f>LN(B122)-LN(B113)</f>
        <v>4.0970618119915869E-2</v>
      </c>
      <c r="Q113">
        <f>IF(P113&lt;-(O113),1,0)</f>
        <v>0</v>
      </c>
    </row>
    <row r="114" spans="1:17">
      <c r="A114" s="64">
        <v>41457</v>
      </c>
      <c r="B114">
        <v>1614.079956</v>
      </c>
      <c r="C114" s="68">
        <f>LN(B114)-LN(B113)</f>
        <v>-5.4505676263350011E-4</v>
      </c>
      <c r="D114" s="68"/>
      <c r="E114" s="68"/>
      <c r="F114" s="68"/>
      <c r="G114" s="68"/>
      <c r="H114" s="68"/>
      <c r="I114">
        <f>_xlfn.STDEV.S(C94:C114)</f>
        <v>1.0596717446018878E-2</v>
      </c>
      <c r="J114">
        <f>_xlfn.NORM.S.INV(0.99)*I114*SQRT(10)</f>
        <v>7.7955365567250343E-2</v>
      </c>
      <c r="K114">
        <f>LN(B123)-LN(B114)</f>
        <v>3.7800019604662616E-2</v>
      </c>
      <c r="L114">
        <f>IF(K114&lt;-(J114),1,0)</f>
        <v>0</v>
      </c>
      <c r="M114" s="72">
        <f t="shared" si="1"/>
        <v>6.0626665923474266E-2</v>
      </c>
      <c r="N114">
        <f>SQRT((N113^2)*0.72+(1-0.72)*(C113^2))</f>
        <v>8.2468046064547492E-3</v>
      </c>
      <c r="O114">
        <f>_xlfn.NORM.S.INV(0.99)*N114*SQRT(10)</f>
        <v>6.0668095675174505E-2</v>
      </c>
      <c r="P114">
        <f>LN(B123)-LN(B114)</f>
        <v>3.7800019604662616E-2</v>
      </c>
      <c r="Q114">
        <f>IF(P114&lt;-(O114),1,0)</f>
        <v>0</v>
      </c>
    </row>
    <row r="115" spans="1:17">
      <c r="A115" s="64">
        <v>41458</v>
      </c>
      <c r="B115">
        <v>1615.410034</v>
      </c>
      <c r="C115" s="68">
        <f>LN(B115)-LN(B114)</f>
        <v>8.2370781722396202E-4</v>
      </c>
      <c r="D115" s="68"/>
      <c r="E115" s="68"/>
      <c r="F115" s="68"/>
      <c r="G115" s="68"/>
      <c r="H115" s="68"/>
      <c r="I115">
        <f>_xlfn.STDEV.S(C95:C115)</f>
        <v>1.0544711401199955E-2</v>
      </c>
      <c r="J115">
        <f>_xlfn.NORM.S.INV(0.99)*I115*SQRT(10)</f>
        <v>7.757278008677318E-2</v>
      </c>
      <c r="K115">
        <f>LN(B124)-LN(B115)</f>
        <v>3.9746518189117452E-2</v>
      </c>
      <c r="L115">
        <f>IF(K115&lt;-(J115),1,0)</f>
        <v>0</v>
      </c>
      <c r="M115" s="72">
        <f t="shared" si="1"/>
        <v>5.1480869462120875E-2</v>
      </c>
      <c r="N115">
        <f>SQRT((N114^2)*0.72+(1-0.72)*(C114^2))</f>
        <v>7.0035869667713167E-3</v>
      </c>
      <c r="O115">
        <f>_xlfn.NORM.S.INV(0.99)*N115*SQRT(10)</f>
        <v>5.1522293111797977E-2</v>
      </c>
      <c r="P115">
        <f>LN(B124)-LN(B115)</f>
        <v>3.9746518189117452E-2</v>
      </c>
      <c r="Q115">
        <f>IF(P115&lt;-(O115),1,0)</f>
        <v>0</v>
      </c>
    </row>
    <row r="116" spans="1:17">
      <c r="A116" s="64">
        <v>41460</v>
      </c>
      <c r="B116">
        <v>1631.8900149999999</v>
      </c>
      <c r="C116" s="68">
        <f>LN(B116)-LN(B115)</f>
        <v>1.0150046029892223E-2</v>
      </c>
      <c r="D116" s="68"/>
      <c r="E116" s="68"/>
      <c r="F116" s="68"/>
      <c r="G116" s="68"/>
      <c r="H116" s="68"/>
      <c r="I116">
        <f>_xlfn.STDEV.S(C96:C116)</f>
        <v>1.0318269463215039E-2</v>
      </c>
      <c r="J116">
        <f>_xlfn.NORM.S.INV(0.99)*I116*SQRT(10)</f>
        <v>7.5906946856313426E-2</v>
      </c>
      <c r="K116">
        <f>LN(B125)-LN(B116)</f>
        <v>3.4616813908763255E-2</v>
      </c>
      <c r="L116">
        <f>IF(K116&lt;-(J116),1,0)</f>
        <v>0</v>
      </c>
      <c r="M116" s="72">
        <f t="shared" si="1"/>
        <v>4.3753783751697223E-2</v>
      </c>
      <c r="N116">
        <f>SQRT((N115^2)*0.72+(1-0.72)*(C115^2))</f>
        <v>5.9587032454970056E-3</v>
      </c>
      <c r="O116">
        <f>_xlfn.NORM.S.INV(0.99)*N116*SQRT(10)</f>
        <v>4.38355455050842E-2</v>
      </c>
      <c r="P116">
        <f>LN(B125)-LN(B116)</f>
        <v>3.4616813908763255E-2</v>
      </c>
      <c r="Q116">
        <f>IF(P116&lt;-(O116),1,0)</f>
        <v>0</v>
      </c>
    </row>
    <row r="117" spans="1:17">
      <c r="A117" s="64">
        <v>41463</v>
      </c>
      <c r="B117">
        <v>1640.459961</v>
      </c>
      <c r="C117" s="68">
        <f>LN(B117)-LN(B116)</f>
        <v>5.2378050365025075E-3</v>
      </c>
      <c r="D117" s="68"/>
      <c r="E117" s="68"/>
      <c r="F117" s="68"/>
      <c r="G117" s="68"/>
      <c r="H117" s="68"/>
      <c r="I117">
        <f>_xlfn.STDEV.S(C97:C117)</f>
        <v>1.0220431217994765E-2</v>
      </c>
      <c r="J117">
        <f>_xlfn.NORM.S.INV(0.99)*I117*SQRT(10)</f>
        <v>7.5187194139355762E-2</v>
      </c>
      <c r="K117">
        <f>LN(B126)-LN(B117)</f>
        <v>3.0987764627466774E-2</v>
      </c>
      <c r="L117">
        <f>IF(K117&lt;-(J117),1,0)</f>
        <v>0</v>
      </c>
      <c r="M117" s="72">
        <f t="shared" si="1"/>
        <v>5.4203234692274872E-2</v>
      </c>
      <c r="N117">
        <f>SQRT((N116^2)*0.72+(1-0.72)*(C116^2))</f>
        <v>7.3763802491049876E-3</v>
      </c>
      <c r="O117">
        <f>_xlfn.NORM.S.INV(0.99)*N117*SQRT(10)</f>
        <v>5.4264768482437838E-2</v>
      </c>
      <c r="P117">
        <f>LN(B126)-LN(B117)</f>
        <v>3.0987764627466774E-2</v>
      </c>
      <c r="Q117">
        <f>IF(P117&lt;-(O117),1,0)</f>
        <v>0</v>
      </c>
    </row>
    <row r="118" spans="1:17">
      <c r="A118" s="64">
        <v>41464</v>
      </c>
      <c r="B118">
        <v>1652.3199460000001</v>
      </c>
      <c r="C118" s="68">
        <f>LN(B118)-LN(B117)</f>
        <v>7.203661721820076E-3</v>
      </c>
      <c r="D118" s="68"/>
      <c r="E118" s="68"/>
      <c r="F118" s="68"/>
      <c r="G118" s="68"/>
      <c r="H118" s="68"/>
      <c r="I118">
        <f>_xlfn.STDEV.S(C98:C118)</f>
        <v>9.9569252338011453E-3</v>
      </c>
      <c r="J118">
        <f>_xlfn.NORM.S.INV(0.99)*I118*SQRT(10)</f>
        <v>7.3248697106513855E-2</v>
      </c>
      <c r="K118">
        <f>LN(B127)-LN(B118)</f>
        <v>2.5815065166788109E-2</v>
      </c>
      <c r="L118">
        <f>IF(K118&lt;-(J118),1,0)</f>
        <v>0</v>
      </c>
      <c r="M118" s="72">
        <f t="shared" si="1"/>
        <v>5.0275494378949674E-2</v>
      </c>
      <c r="N118">
        <f>SQRT((N117^2)*0.72+(1-0.72)*(C117^2))</f>
        <v>6.8452609932180908E-3</v>
      </c>
      <c r="O118">
        <f>_xlfn.NORM.S.INV(0.99)*N118*SQRT(10)</f>
        <v>5.0357558918402129E-2</v>
      </c>
      <c r="P118">
        <f>LN(B127)-LN(B118)</f>
        <v>2.5815065166788109E-2</v>
      </c>
      <c r="Q118">
        <f>IF(P118&lt;-(O118),1,0)</f>
        <v>0</v>
      </c>
    </row>
    <row r="119" spans="1:17">
      <c r="A119" s="64">
        <v>41465</v>
      </c>
      <c r="B119">
        <v>1652.619995</v>
      </c>
      <c r="C119" s="68">
        <f>LN(B119)-LN(B118)</f>
        <v>1.8157606866164855E-4</v>
      </c>
      <c r="D119" s="68"/>
      <c r="E119" s="68"/>
      <c r="F119" s="68"/>
      <c r="G119" s="68"/>
      <c r="H119" s="68"/>
      <c r="I119">
        <f>_xlfn.STDEV.S(C99:C119)</f>
        <v>9.9559869152543012E-3</v>
      </c>
      <c r="J119">
        <f>_xlfn.NORM.S.INV(0.99)*I119*SQRT(10)</f>
        <v>7.3241794311784222E-2</v>
      </c>
      <c r="K119">
        <f>LN(B128)-LN(B119)</f>
        <v>2.3779835612613986E-2</v>
      </c>
      <c r="L119">
        <f>IF(K119&lt;-(J119),1,0)</f>
        <v>0</v>
      </c>
      <c r="M119" s="72">
        <f t="shared" si="1"/>
        <v>5.1051289941598715E-2</v>
      </c>
      <c r="N119">
        <f>SQRT((N118^2)*0.72+(1-0.72)*(C118^2))</f>
        <v>6.9474771265311168E-3</v>
      </c>
      <c r="O119">
        <f>_xlfn.NORM.S.INV(0.99)*N119*SQRT(10)</f>
        <v>5.1109517822645764E-2</v>
      </c>
      <c r="P119">
        <f>LN(B128)-LN(B119)</f>
        <v>2.3779835612613986E-2</v>
      </c>
      <c r="Q119">
        <f>IF(P119&lt;-(O119),1,0)</f>
        <v>0</v>
      </c>
    </row>
    <row r="120" spans="1:17">
      <c r="A120" s="64">
        <v>41466</v>
      </c>
      <c r="B120">
        <v>1675.0200199999999</v>
      </c>
      <c r="C120" s="68">
        <f>LN(B120)-LN(B119)</f>
        <v>1.3463213116111206E-2</v>
      </c>
      <c r="D120" s="68"/>
      <c r="E120" s="68"/>
      <c r="F120" s="68"/>
      <c r="G120" s="68"/>
      <c r="H120" s="68"/>
      <c r="I120">
        <f>_xlfn.STDEV.S(C100:C120)</f>
        <v>1.0048501699791566E-2</v>
      </c>
      <c r="J120">
        <f>_xlfn.NORM.S.INV(0.99)*I120*SQRT(10)</f>
        <v>7.3922384681935821E-2</v>
      </c>
      <c r="K120">
        <f>LN(B129)-LN(B120)</f>
        <v>6.4981193180893015E-3</v>
      </c>
      <c r="L120">
        <f>IF(K120&lt;-(J120),1,0)</f>
        <v>0</v>
      </c>
      <c r="M120" s="72">
        <f t="shared" si="1"/>
        <v>4.3298685021015075E-2</v>
      </c>
      <c r="N120">
        <f>SQRT((N119^2)*0.72+(1-0.72)*(C119^2))</f>
        <v>5.8959127561628299E-3</v>
      </c>
      <c r="O120">
        <f>_xlfn.NORM.S.INV(0.99)*N120*SQRT(10)</f>
        <v>4.3373623633983338E-2</v>
      </c>
      <c r="P120">
        <f>LN(B129)-LN(B120)</f>
        <v>6.4981193180893015E-3</v>
      </c>
      <c r="Q120">
        <f>IF(P120&lt;-(O120),1,0)</f>
        <v>0</v>
      </c>
    </row>
    <row r="121" spans="1:17">
      <c r="A121" s="64">
        <v>41467</v>
      </c>
      <c r="B121">
        <v>1680.1899410000001</v>
      </c>
      <c r="C121" s="68">
        <f>LN(B121)-LN(B120)</f>
        <v>3.0817296989935627E-3</v>
      </c>
      <c r="D121" s="68"/>
      <c r="E121" s="68"/>
      <c r="F121" s="68"/>
      <c r="G121" s="68"/>
      <c r="H121" s="68"/>
      <c r="I121">
        <f>_xlfn.STDEV.S(C101:C121)</f>
        <v>9.7969801986067875E-3</v>
      </c>
      <c r="J121">
        <f>_xlfn.NORM.S.INV(0.99)*I121*SQRT(10)</f>
        <v>7.2072052192392155E-2</v>
      </c>
      <c r="K121">
        <f>LN(B130)-LN(B121)</f>
        <v>5.9695998452484744E-3</v>
      </c>
      <c r="L121">
        <f>IF(K121&lt;-(J121),1,0)</f>
        <v>0</v>
      </c>
      <c r="M121" s="72">
        <f t="shared" si="1"/>
        <v>6.3992168884760614E-2</v>
      </c>
      <c r="N121">
        <f>SQRT((N120^2)*0.72+(1-0.72)*(C120^2))</f>
        <v>8.7052143499810643E-3</v>
      </c>
      <c r="O121">
        <f>_xlfn.NORM.S.INV(0.99)*N121*SQRT(10)</f>
        <v>6.4040413500786528E-2</v>
      </c>
      <c r="P121">
        <f>LN(B130)-LN(B121)</f>
        <v>5.9695998452484744E-3</v>
      </c>
      <c r="Q121">
        <f>IF(P121&lt;-(O121),1,0)</f>
        <v>0</v>
      </c>
    </row>
    <row r="122" spans="1:17">
      <c r="A122" s="64">
        <v>41470</v>
      </c>
      <c r="B122">
        <v>1682.5</v>
      </c>
      <c r="C122" s="68">
        <f>LN(B122)-LN(B121)</f>
        <v>1.3739353933441834E-3</v>
      </c>
      <c r="D122" s="68"/>
      <c r="E122" s="68"/>
      <c r="F122" s="68"/>
      <c r="G122" s="68"/>
      <c r="H122" s="68"/>
      <c r="I122">
        <f>_xlfn.STDEV.S(C102:C122)</f>
        <v>9.3535298615040081E-3</v>
      </c>
      <c r="J122">
        <f>_xlfn.NORM.S.INV(0.99)*I122*SQRT(10)</f>
        <v>6.8809784106461908E-2</v>
      </c>
      <c r="K122">
        <f>LN(B131)-LN(B122)</f>
        <v>5.4236156450446771E-3</v>
      </c>
      <c r="L122">
        <f>IF(K122&lt;-(J122),1,0)</f>
        <v>0</v>
      </c>
      <c r="M122" s="72">
        <f t="shared" si="1"/>
        <v>5.5567394123775864E-2</v>
      </c>
      <c r="N122">
        <f>SQRT((N121^2)*0.72+(1-0.72)*(C121^2))</f>
        <v>7.5644775877457791E-3</v>
      </c>
      <c r="O122">
        <f>_xlfn.NORM.S.INV(0.99)*N122*SQRT(10)</f>
        <v>5.5648517447215481E-2</v>
      </c>
      <c r="P122">
        <f>LN(B131)-LN(B122)</f>
        <v>5.4236156450446771E-3</v>
      </c>
      <c r="Q122">
        <f>IF(P122&lt;-(O122),1,0)</f>
        <v>0</v>
      </c>
    </row>
    <row r="123" spans="1:17">
      <c r="A123" s="64">
        <v>41471</v>
      </c>
      <c r="B123">
        <v>1676.26001</v>
      </c>
      <c r="C123" s="68">
        <f>LN(B123)-LN(B122)</f>
        <v>-3.7156552778867535E-3</v>
      </c>
      <c r="D123" s="68"/>
      <c r="E123" s="68"/>
      <c r="F123" s="68"/>
      <c r="G123" s="68"/>
      <c r="H123" s="68"/>
      <c r="I123">
        <f>_xlfn.STDEV.S(C103:C123)</f>
        <v>9.2809467059948546E-3</v>
      </c>
      <c r="J123">
        <f>_xlfn.NORM.S.INV(0.99)*I123*SQRT(10)</f>
        <v>6.8275821919533311E-2</v>
      </c>
      <c r="K123">
        <f>LN(B132)-LN(B123)</f>
        <v>5.3962369598830051E-3</v>
      </c>
      <c r="L123">
        <f>IF(K123&lt;-(J123),1,0)</f>
        <v>0</v>
      </c>
      <c r="M123" s="72">
        <f t="shared" si="1"/>
        <v>4.7445066203198924E-2</v>
      </c>
      <c r="N123">
        <f>SQRT((N122^2)*0.72+(1-0.72)*(C122^2))</f>
        <v>6.4597141435662128E-3</v>
      </c>
      <c r="O123">
        <f>_xlfn.NORM.S.INV(0.99)*N123*SQRT(10)</f>
        <v>4.7521261191203083E-2</v>
      </c>
      <c r="P123">
        <f>LN(B132)-LN(B123)</f>
        <v>5.3962369598830051E-3</v>
      </c>
      <c r="Q123">
        <f>IF(P123&lt;-(O123),1,0)</f>
        <v>0</v>
      </c>
    </row>
    <row r="124" spans="1:17">
      <c r="A124" s="64">
        <v>41472</v>
      </c>
      <c r="B124">
        <v>1680.910034</v>
      </c>
      <c r="C124" s="68">
        <f>LN(B124)-LN(B123)</f>
        <v>2.7702064016787986E-3</v>
      </c>
      <c r="D124" s="68"/>
      <c r="E124" s="68"/>
      <c r="F124" s="68"/>
      <c r="G124" s="68"/>
      <c r="H124" s="68"/>
      <c r="I124">
        <f>_xlfn.STDEV.S(C104:C124)</f>
        <v>9.1817691065450256E-3</v>
      </c>
      <c r="J124">
        <f>_xlfn.NORM.S.INV(0.99)*I124*SQRT(10)</f>
        <v>6.7546216165621439E-2</v>
      </c>
      <c r="K124">
        <f>LN(B133)-LN(B124)</f>
        <v>2.9997777130583714E-3</v>
      </c>
      <c r="L124">
        <f>IF(K124&lt;-(J124),1,0)</f>
        <v>0</v>
      </c>
      <c r="M124" s="72">
        <f t="shared" si="1"/>
        <v>4.2763833699495012E-2</v>
      </c>
      <c r="N124">
        <f>SQRT((N123^2)*0.72+(1-0.72)*(C123^2))</f>
        <v>5.823212109161824E-3</v>
      </c>
      <c r="O124">
        <f>_xlfn.NORM.S.INV(0.99)*N124*SQRT(10)</f>
        <v>4.2838797114090776E-2</v>
      </c>
      <c r="P124">
        <f>LN(B133)-LN(B124)</f>
        <v>2.9997777130583714E-3</v>
      </c>
      <c r="Q124">
        <f>IF(P124&lt;-(O124),1,0)</f>
        <v>0</v>
      </c>
    </row>
    <row r="125" spans="1:17">
      <c r="A125" s="64">
        <v>41473</v>
      </c>
      <c r="B125">
        <v>1689.369995</v>
      </c>
      <c r="C125" s="68">
        <f>LN(B125)-LN(B124)</f>
        <v>5.0203417495380265E-3</v>
      </c>
      <c r="D125" s="68"/>
      <c r="E125" s="68"/>
      <c r="F125" s="68"/>
      <c r="G125" s="68"/>
      <c r="H125" s="68"/>
      <c r="I125">
        <f>_xlfn.STDEV.S(C105:C125)</f>
        <v>9.1030082938002438E-3</v>
      </c>
      <c r="J125">
        <f>_xlfn.NORM.S.INV(0.99)*I125*SQRT(10)</f>
        <v>6.6966807685479329E-2</v>
      </c>
      <c r="K125">
        <f>LN(B134)-LN(B125)</f>
        <v>-2.1569828676177849E-3</v>
      </c>
      <c r="L125">
        <f>IF(K125&lt;-(J125),1,0)</f>
        <v>0</v>
      </c>
      <c r="M125" s="72">
        <f t="shared" si="1"/>
        <v>3.7837871372042566E-2</v>
      </c>
      <c r="N125">
        <f>SQRT((N124^2)*0.72+(1-0.72)*(C124^2))</f>
        <v>5.1540069514292106E-3</v>
      </c>
      <c r="O125">
        <f>_xlfn.NORM.S.INV(0.99)*N125*SQRT(10)</f>
        <v>3.7915750616315698E-2</v>
      </c>
      <c r="P125">
        <f>LN(B134)-LN(B125)</f>
        <v>-2.1569828676177849E-3</v>
      </c>
      <c r="Q125">
        <f>IF(P125&lt;-(O125),1,0)</f>
        <v>0</v>
      </c>
    </row>
    <row r="126" spans="1:17">
      <c r="A126" s="64">
        <v>41474</v>
      </c>
      <c r="B126">
        <v>1692.089966</v>
      </c>
      <c r="C126" s="68">
        <f>LN(B126)-LN(B125)</f>
        <v>1.6087557552060261E-3</v>
      </c>
      <c r="D126" s="68"/>
      <c r="E126" s="68"/>
      <c r="F126" s="68"/>
      <c r="G126" s="68"/>
      <c r="H126" s="68"/>
      <c r="I126">
        <f>_xlfn.STDEV.S(C106:C126)</f>
        <v>8.4276049515667438E-3</v>
      </c>
      <c r="J126">
        <f>_xlfn.NORM.S.INV(0.99)*I126*SQRT(10)</f>
        <v>6.1998163884475085E-2</v>
      </c>
      <c r="K126">
        <f>LN(B135)-LN(B126)</f>
        <v>8.6968498170056918E-3</v>
      </c>
      <c r="L126">
        <f>IF(K126&lt;-(J126),1,0)</f>
        <v>0</v>
      </c>
      <c r="M126" s="72">
        <f t="shared" si="1"/>
        <v>3.7531536045598363E-2</v>
      </c>
      <c r="N126">
        <f>SQRT((N125^2)*0.72+(1-0.72)*(C125^2))</f>
        <v>5.1169326623356414E-3</v>
      </c>
      <c r="O126">
        <f>_xlfn.NORM.S.INV(0.99)*N126*SQRT(10)</f>
        <v>3.7643011461557838E-2</v>
      </c>
      <c r="P126">
        <f>LN(B135)-LN(B126)</f>
        <v>8.6968498170056918E-3</v>
      </c>
      <c r="Q126">
        <f>IF(P126&lt;-(O126),1,0)</f>
        <v>0</v>
      </c>
    </row>
    <row r="127" spans="1:17">
      <c r="A127" s="64">
        <v>41477</v>
      </c>
      <c r="B127">
        <v>1695.530029</v>
      </c>
      <c r="C127" s="68">
        <f>LN(B127)-LN(B126)</f>
        <v>2.0309622611414113E-3</v>
      </c>
      <c r="D127" s="68"/>
      <c r="E127" s="68"/>
      <c r="F127" s="68"/>
      <c r="G127" s="68"/>
      <c r="H127" s="68"/>
      <c r="I127">
        <f>_xlfn.STDEV.S(C107:C127)</f>
        <v>5.6935040684936806E-3</v>
      </c>
      <c r="J127">
        <f>_xlfn.NORM.S.INV(0.99)*I127*SQRT(10)</f>
        <v>4.1884592401281742E-2</v>
      </c>
      <c r="K127">
        <f>LN(B136)-LN(B127)</f>
        <v>8.3050017444552537E-3</v>
      </c>
      <c r="L127">
        <f>IF(K127&lt;-(J127),1,0)</f>
        <v>0</v>
      </c>
      <c r="M127" s="72">
        <f t="shared" si="1"/>
        <v>3.2245863148774243E-2</v>
      </c>
      <c r="N127">
        <f>SQRT((N126^2)*0.72+(1-0.72)*(C126^2))</f>
        <v>4.4245255711099747E-3</v>
      </c>
      <c r="O127">
        <f>_xlfn.NORM.S.INV(0.99)*N127*SQRT(10)</f>
        <v>3.2549278596373993E-2</v>
      </c>
      <c r="P127">
        <f>LN(B136)-LN(B127)</f>
        <v>8.3050017444552537E-3</v>
      </c>
      <c r="Q127">
        <f>IF(P127&lt;-(O127),1,0)</f>
        <v>0</v>
      </c>
    </row>
    <row r="128" spans="1:17">
      <c r="A128" s="64">
        <v>41478</v>
      </c>
      <c r="B128">
        <v>1692.3900149999999</v>
      </c>
      <c r="C128" s="68">
        <f>LN(B128)-LN(B127)</f>
        <v>-1.8536534855124742E-3</v>
      </c>
      <c r="D128" s="68"/>
      <c r="E128" s="68"/>
      <c r="F128" s="68"/>
      <c r="G128" s="68"/>
      <c r="H128" s="68"/>
      <c r="I128">
        <f>_xlfn.STDEV.S(C108:C128)</f>
        <v>5.7958036140248791E-3</v>
      </c>
      <c r="J128">
        <f>_xlfn.NORM.S.INV(0.99)*I128*SQRT(10)</f>
        <v>4.2637164932338927E-2</v>
      </c>
      <c r="K128">
        <f>LN(B137)-LN(B128)</f>
        <v>8.677724526353181E-3</v>
      </c>
      <c r="L128">
        <f>IF(K128&lt;-(J128),1,0)</f>
        <v>0</v>
      </c>
      <c r="M128" s="72">
        <f t="shared" si="1"/>
        <v>2.8478173632339086E-2</v>
      </c>
      <c r="N128">
        <f>SQRT((N127^2)*0.72+(1-0.72)*(C127^2))</f>
        <v>3.9051214141051917E-3</v>
      </c>
      <c r="O128">
        <f>_xlfn.NORM.S.INV(0.99)*N128*SQRT(10)</f>
        <v>2.8728251835707718E-2</v>
      </c>
      <c r="P128">
        <f>LN(B137)-LN(B128)</f>
        <v>8.677724526353181E-3</v>
      </c>
      <c r="Q128">
        <f>IF(P128&lt;-(O128),1,0)</f>
        <v>0</v>
      </c>
    </row>
    <row r="129" spans="1:17">
      <c r="A129" s="64">
        <v>41479</v>
      </c>
      <c r="B129">
        <v>1685.9399410000001</v>
      </c>
      <c r="C129" s="68">
        <f>LN(B129)-LN(B128)</f>
        <v>-3.8185031784134793E-3</v>
      </c>
      <c r="D129" s="68"/>
      <c r="E129" s="68"/>
      <c r="F129" s="68"/>
      <c r="G129" s="68"/>
      <c r="H129" s="68"/>
      <c r="I129">
        <f>_xlfn.STDEV.S(C109:C129)</f>
        <v>4.9245538938103416E-3</v>
      </c>
      <c r="J129">
        <f>_xlfn.NORM.S.INV(0.99)*I129*SQRT(10)</f>
        <v>3.6227765909889242E-2</v>
      </c>
      <c r="K129">
        <f>LN(B138)-LN(B129)</f>
        <v>6.7567545992357481E-3</v>
      </c>
      <c r="L129">
        <f>IF(K129&lt;-(J129),1,0)</f>
        <v>0</v>
      </c>
      <c r="M129" s="72">
        <f t="shared" si="1"/>
        <v>2.5155921537561726E-2</v>
      </c>
      <c r="N129">
        <f>SQRT((N128^2)*0.72+(1-0.72)*(C128^2))</f>
        <v>3.4557299510854177E-3</v>
      </c>
      <c r="O129">
        <f>_xlfn.NORM.S.INV(0.99)*N129*SQRT(10)</f>
        <v>2.542227751290746E-2</v>
      </c>
      <c r="P129">
        <f>LN(B138)-LN(B129)</f>
        <v>6.7567545992357481E-3</v>
      </c>
      <c r="Q129">
        <f>IF(P129&lt;-(O129),1,0)</f>
        <v>0</v>
      </c>
    </row>
    <row r="130" spans="1:17">
      <c r="A130" s="64">
        <v>41480</v>
      </c>
      <c r="B130">
        <v>1690.25</v>
      </c>
      <c r="C130" s="68">
        <f>LN(B130)-LN(B129)</f>
        <v>2.5532102261527356E-3</v>
      </c>
      <c r="D130" s="68"/>
      <c r="E130" s="68"/>
      <c r="F130" s="68"/>
      <c r="G130" s="68"/>
      <c r="H130" s="68"/>
      <c r="I130">
        <f>_xlfn.STDEV.S(C110:C130)</f>
        <v>4.7193788918589719E-3</v>
      </c>
      <c r="J130">
        <f>_xlfn.NORM.S.INV(0.99)*I130*SQRT(10)</f>
        <v>3.4718384125968095E-2</v>
      </c>
      <c r="K130">
        <f>LN(B139)-LN(B130)</f>
        <v>3.9041867391453877E-4</v>
      </c>
      <c r="L130">
        <f>IF(K130&lt;-(J130),1,0)</f>
        <v>0</v>
      </c>
      <c r="M130" s="72">
        <f t="shared" si="1"/>
        <v>2.597465535081768E-2</v>
      </c>
      <c r="N130">
        <f>SQRT((N129^2)*0.72+(1-0.72)*(C129^2))</f>
        <v>3.5610336509041625E-3</v>
      </c>
      <c r="O130">
        <f>_xlfn.NORM.S.INV(0.99)*N130*SQRT(10)</f>
        <v>2.6196950278957128E-2</v>
      </c>
      <c r="P130">
        <f>LN(B139)-LN(B130)</f>
        <v>3.9041867391453877E-4</v>
      </c>
      <c r="Q130">
        <f>IF(P130&lt;-(O130),1,0)</f>
        <v>0</v>
      </c>
    </row>
    <row r="131" spans="1:17">
      <c r="A131" s="64">
        <v>41481</v>
      </c>
      <c r="B131">
        <v>1691.650024</v>
      </c>
      <c r="C131" s="68">
        <f>LN(B131)-LN(B130)</f>
        <v>8.2795119314038601E-4</v>
      </c>
      <c r="D131" s="68"/>
      <c r="E131" s="68"/>
      <c r="F131" s="68"/>
      <c r="G131" s="68"/>
      <c r="H131" s="68"/>
      <c r="I131">
        <f>_xlfn.STDEV.S(C111:C131)</f>
        <v>4.4900061668234027E-3</v>
      </c>
      <c r="J131">
        <f>_xlfn.NORM.S.INV(0.99)*I131*SQRT(10)</f>
        <v>3.3030990390842896E-2</v>
      </c>
      <c r="K131">
        <f>LN(B140)-LN(B131)</f>
        <v>3.4403883849432049E-3</v>
      </c>
      <c r="L131">
        <f>IF(K131&lt;-(J131),1,0)</f>
        <v>0</v>
      </c>
      <c r="M131" s="72">
        <f t="shared" si="1"/>
        <v>2.4137504608877938E-2</v>
      </c>
      <c r="N131">
        <f>SQRT((N130^2)*0.72+(1-0.72)*(C130^2))</f>
        <v>3.3099212627747459E-3</v>
      </c>
      <c r="O131">
        <f>_xlfn.NORM.S.INV(0.99)*N131*SQRT(10)</f>
        <v>2.4349627453297721E-2</v>
      </c>
      <c r="P131">
        <f>LN(B140)-LN(B131)</f>
        <v>3.4403883849432049E-3</v>
      </c>
      <c r="Q131">
        <f>IF(P131&lt;-(O131),1,0)</f>
        <v>0</v>
      </c>
    </row>
    <row r="132" spans="1:17">
      <c r="A132" s="64">
        <v>41484</v>
      </c>
      <c r="B132">
        <v>1685.329956</v>
      </c>
      <c r="C132" s="68">
        <f>LN(B132)-LN(B131)</f>
        <v>-3.7430339630484255E-3</v>
      </c>
      <c r="D132" s="68"/>
      <c r="E132" s="68"/>
      <c r="F132" s="68"/>
      <c r="G132" s="68"/>
      <c r="H132" s="68"/>
      <c r="I132">
        <f>_xlfn.STDEV.S(C112:C132)</f>
        <v>4.6100050605628858E-3</v>
      </c>
      <c r="J132">
        <f>_xlfn.NORM.S.INV(0.99)*I132*SQRT(10)</f>
        <v>3.3913769201996478E-2</v>
      </c>
      <c r="K132">
        <f>LN(B141)-LN(B132)</f>
        <v>3.6070746150418387E-3</v>
      </c>
      <c r="L132">
        <f>IF(K132&lt;-(J132),1,0)</f>
        <v>0</v>
      </c>
      <c r="M132" s="72">
        <f t="shared" si="1"/>
        <v>2.0713812248325379E-2</v>
      </c>
      <c r="N132">
        <f>SQRT((N131^2)*0.72+(1-0.72)*(C131^2))</f>
        <v>2.8425266227874715E-3</v>
      </c>
      <c r="O132">
        <f>_xlfn.NORM.S.INV(0.99)*N132*SQRT(10)</f>
        <v>2.0911211716538591E-2</v>
      </c>
      <c r="P132">
        <f>LN(B141)-LN(B132)</f>
        <v>3.6070746150418387E-3</v>
      </c>
      <c r="Q132">
        <f>IF(P132&lt;-(O132),1,0)</f>
        <v>0</v>
      </c>
    </row>
    <row r="133" spans="1:17">
      <c r="A133" s="64">
        <v>41485</v>
      </c>
      <c r="B133">
        <v>1685.959961</v>
      </c>
      <c r="C133" s="68">
        <f>LN(B133)-LN(B132)</f>
        <v>3.7374715485416488E-4</v>
      </c>
      <c r="D133" s="68"/>
      <c r="E133" s="68"/>
      <c r="F133" s="68"/>
      <c r="G133" s="68"/>
      <c r="H133" s="68"/>
      <c r="I133">
        <f>_xlfn.STDEV.S(C113:C133)</f>
        <v>4.3943043692940241E-3</v>
      </c>
      <c r="J133">
        <f>_xlfn.NORM.S.INV(0.99)*I133*SQRT(10)</f>
        <v>3.2326954575048965E-2</v>
      </c>
      <c r="K133">
        <f>LN(B142)-LN(B133)</f>
        <v>2.0797417430511445E-3</v>
      </c>
      <c r="L133">
        <f>IF(K133&lt;-(J133),1,0)</f>
        <v>0</v>
      </c>
      <c r="M133" s="72">
        <f t="shared" si="1"/>
        <v>2.282179953210187E-2</v>
      </c>
      <c r="N133">
        <f>SQRT((N132^2)*0.72+(1-0.72)*(C132^2))</f>
        <v>3.1209701027875157E-3</v>
      </c>
      <c r="O133">
        <f>_xlfn.NORM.S.INV(0.99)*N133*SQRT(10)</f>
        <v>2.2959597302338625E-2</v>
      </c>
      <c r="P133">
        <f>LN(B142)-LN(B133)</f>
        <v>2.0797417430511445E-3</v>
      </c>
      <c r="Q133">
        <f>IF(P133&lt;-(O133),1,0)</f>
        <v>0</v>
      </c>
    </row>
    <row r="134" spans="1:17">
      <c r="A134" s="64">
        <v>41486</v>
      </c>
      <c r="B134">
        <v>1685.7299800000001</v>
      </c>
      <c r="C134" s="68">
        <f>LN(B134)-LN(B133)</f>
        <v>-1.364188311381298E-4</v>
      </c>
      <c r="D134" s="68"/>
      <c r="E134" s="68"/>
      <c r="F134" s="68"/>
      <c r="G134" s="68"/>
      <c r="H134" s="68"/>
      <c r="I134">
        <f>_xlfn.STDEV.S(C114:C134)</f>
        <v>4.3657607690318284E-3</v>
      </c>
      <c r="J134">
        <f>_xlfn.NORM.S.INV(0.99)*I134*SQRT(10)</f>
        <v>3.211697192670715E-2</v>
      </c>
      <c r="K134">
        <f>LN(B143)-LN(B134)</f>
        <v>4.9883702996735835E-3</v>
      </c>
      <c r="L134">
        <f>IF(K134&lt;-(J134),1,0)</f>
        <v>0</v>
      </c>
      <c r="M134" s="72">
        <f t="shared" si="1"/>
        <v>1.9403625839618344E-2</v>
      </c>
      <c r="N134">
        <f>SQRT((N133^2)*0.72+(1-0.72)*(C133^2))</f>
        <v>2.655605297744485E-3</v>
      </c>
      <c r="O134">
        <f>_xlfn.NORM.S.INV(0.99)*N134*SQRT(10)</f>
        <v>1.9536114163898336E-2</v>
      </c>
      <c r="P134">
        <f>LN(B143)-LN(B134)</f>
        <v>4.9883702996735835E-3</v>
      </c>
      <c r="Q134">
        <f>IF(P134&lt;-(O134),1,0)</f>
        <v>0</v>
      </c>
    </row>
    <row r="135" spans="1:17">
      <c r="A135" s="64">
        <v>41487</v>
      </c>
      <c r="B135">
        <v>1706.869995</v>
      </c>
      <c r="C135" s="68">
        <f>LN(B135)-LN(B134)</f>
        <v>1.2462588439829503E-2</v>
      </c>
      <c r="D135" s="68"/>
      <c r="E135" s="68"/>
      <c r="F135" s="68"/>
      <c r="G135" s="68"/>
      <c r="H135" s="68"/>
      <c r="I135">
        <f>_xlfn.STDEV.S(C115:C135)</f>
        <v>4.873540643481989E-3</v>
      </c>
      <c r="J135">
        <f>_xlfn.NORM.S.INV(0.99)*I135*SQRT(10)</f>
        <v>3.5852483979576528E-2</v>
      </c>
      <c r="K135">
        <f>LN(B144)-LN(B135)</f>
        <v>-1.2664281053356596E-2</v>
      </c>
      <c r="L135">
        <f>IF(K135&lt;-(J135),1,0)</f>
        <v>0</v>
      </c>
      <c r="M135" s="72">
        <f t="shared" si="1"/>
        <v>1.647289274013939E-2</v>
      </c>
      <c r="N135">
        <f>SQRT((N134^2)*0.72+(1-0.72)*(C134^2))</f>
        <v>2.2545117576608731E-3</v>
      </c>
      <c r="O135">
        <f>_xlfn.NORM.S.INV(0.99)*N135*SQRT(10)</f>
        <v>1.6585446308200486E-2</v>
      </c>
      <c r="P135">
        <f>LN(B144)-LN(B135)</f>
        <v>-1.2664281053356596E-2</v>
      </c>
      <c r="Q135">
        <f>IF(P135&lt;-(O135),1,0)</f>
        <v>0</v>
      </c>
    </row>
    <row r="136" spans="1:17">
      <c r="A136" s="64">
        <v>41488</v>
      </c>
      <c r="B136">
        <v>1709.670044</v>
      </c>
      <c r="C136" s="68">
        <f>LN(B136)-LN(B135)</f>
        <v>1.6391141885909732E-3</v>
      </c>
      <c r="D136" s="68"/>
      <c r="E136" s="68"/>
      <c r="F136" s="68"/>
      <c r="G136" s="68"/>
      <c r="H136" s="68"/>
      <c r="I136">
        <f>_xlfn.STDEV.S(C116:C136)</f>
        <v>4.8613976204464338E-3</v>
      </c>
      <c r="J136">
        <f>_xlfn.NORM.S.INV(0.99)*I136*SQRT(10)</f>
        <v>3.5763153127390424E-2</v>
      </c>
      <c r="K136">
        <f>LN(B145)-LN(B136)</f>
        <v>-2.8687960572499449E-2</v>
      </c>
      <c r="L136">
        <f>IF(K136&lt;-(J136),1,0)</f>
        <v>0</v>
      </c>
      <c r="M136" s="72">
        <f t="shared" si="1"/>
        <v>5.048677403821094E-2</v>
      </c>
      <c r="N136">
        <f>SQRT((N135^2)*0.72+(1-0.72)*(C135^2))</f>
        <v>6.8664505914533859E-3</v>
      </c>
      <c r="O136">
        <f>_xlfn.NORM.S.INV(0.99)*N136*SQRT(10)</f>
        <v>5.0513441424949117E-2</v>
      </c>
      <c r="P136">
        <f>LN(B145)-LN(B136)</f>
        <v>-2.8687960572499449E-2</v>
      </c>
      <c r="Q136">
        <f>IF(P136&lt;-(O136),1,0)</f>
        <v>0</v>
      </c>
    </row>
    <row r="137" spans="1:17">
      <c r="A137" s="64">
        <v>41491</v>
      </c>
      <c r="B137">
        <v>1707.1400149999999</v>
      </c>
      <c r="C137" s="68">
        <f>LN(B137)-LN(B136)</f>
        <v>-1.4809307036145469E-3</v>
      </c>
      <c r="D137" s="68"/>
      <c r="E137" s="68"/>
      <c r="F137" s="68"/>
      <c r="G137" s="68"/>
      <c r="H137" s="68"/>
      <c r="I137">
        <f>_xlfn.STDEV.S(C117:C137)</f>
        <v>4.6271571861102988E-3</v>
      </c>
      <c r="J137">
        <f>_xlfn.NORM.S.INV(0.99)*I137*SQRT(10)</f>
        <v>3.4039949806897507E-2</v>
      </c>
      <c r="K137">
        <f>LN(B146)-LN(B137)</f>
        <v>-3.0517097351394185E-2</v>
      </c>
      <c r="L137">
        <f>IF(K137&lt;-(J137),1,0)</f>
        <v>0</v>
      </c>
      <c r="M137" s="72">
        <f t="shared" si="1"/>
        <v>4.3286746405967198E-2</v>
      </c>
      <c r="N137">
        <f>SQRT((N136^2)*0.72+(1-0.72)*(C136^2))</f>
        <v>5.8905804614158407E-3</v>
      </c>
      <c r="O137">
        <f>_xlfn.NORM.S.INV(0.99)*N137*SQRT(10)</f>
        <v>4.3334396298874006E-2</v>
      </c>
      <c r="P137">
        <f>LN(B146)-LN(B137)</f>
        <v>-3.0517097351394185E-2</v>
      </c>
      <c r="Q137">
        <f>IF(P137&lt;-(O137),1,0)</f>
        <v>0</v>
      </c>
    </row>
    <row r="138" spans="1:17">
      <c r="A138" s="64">
        <v>41492</v>
      </c>
      <c r="B138">
        <v>1697.369995</v>
      </c>
      <c r="C138" s="68">
        <f>LN(B138)-LN(B137)</f>
        <v>-5.7394731055309123E-3</v>
      </c>
      <c r="D138" s="68"/>
      <c r="E138" s="68"/>
      <c r="F138" s="68"/>
      <c r="G138" s="68"/>
      <c r="H138" s="68"/>
      <c r="I138">
        <f>_xlfn.STDEV.S(C118:C138)</f>
        <v>4.8739626663671523E-3</v>
      </c>
      <c r="J138">
        <f>_xlfn.NORM.S.INV(0.99)*I138*SQRT(10)</f>
        <v>3.5855588615371359E-2</v>
      </c>
      <c r="K138">
        <f>LN(B147)-LN(B138)</f>
        <v>-3.0695401923188648E-2</v>
      </c>
      <c r="L138">
        <f>IF(K138&lt;-(J138),1,0)</f>
        <v>0</v>
      </c>
      <c r="M138" s="72">
        <f t="shared" si="1"/>
        <v>3.7171835849297508E-2</v>
      </c>
      <c r="N138">
        <f>SQRT((N137^2)*0.72+(1-0.72)*(C137^2))</f>
        <v>5.0593793190303925E-3</v>
      </c>
      <c r="O138">
        <f>_xlfn.NORM.S.INV(0.99)*N138*SQRT(10)</f>
        <v>3.7219616958511635E-2</v>
      </c>
      <c r="P138">
        <f>LN(B147)-LN(B138)</f>
        <v>-3.0695401923188648E-2</v>
      </c>
      <c r="Q138">
        <f>IF(P138&lt;-(O138),1,0)</f>
        <v>0</v>
      </c>
    </row>
    <row r="139" spans="1:17">
      <c r="A139" s="64">
        <v>41493</v>
      </c>
      <c r="B139">
        <v>1690.910034</v>
      </c>
      <c r="C139" s="68">
        <f>LN(B139)-LN(B138)</f>
        <v>-3.8131256991684737E-3</v>
      </c>
      <c r="D139" s="68"/>
      <c r="E139" s="68"/>
      <c r="F139" s="68"/>
      <c r="G139" s="68"/>
      <c r="H139" s="68"/>
      <c r="I139">
        <f>_xlfn.STDEV.S(C119:C139)</f>
        <v>4.8361127933023813E-3</v>
      </c>
      <c r="J139">
        <f>_xlfn.NORM.S.INV(0.99)*I139*SQRT(10)</f>
        <v>3.5577143832213845E-2</v>
      </c>
      <c r="K139">
        <f>LN(B148)-LN(B139)</f>
        <v>-2.3068363121860891E-2</v>
      </c>
      <c r="L139">
        <f>IF(K139&lt;-(J139),1,0)</f>
        <v>0</v>
      </c>
      <c r="M139" s="72">
        <f t="shared" si="1"/>
        <v>3.8638424178429991E-2</v>
      </c>
      <c r="N139">
        <f>SQRT((N138^2)*0.72+(1-0.72)*(C138^2))</f>
        <v>5.2586789382611009E-3</v>
      </c>
      <c r="O139">
        <f>_xlfn.NORM.S.INV(0.99)*N139*SQRT(10)</f>
        <v>3.8685776149193898E-2</v>
      </c>
      <c r="P139">
        <f>LN(B148)-LN(B139)</f>
        <v>-2.3068363121860891E-2</v>
      </c>
      <c r="Q139">
        <f>IF(P139&lt;-(O139),1,0)</f>
        <v>0</v>
      </c>
    </row>
    <row r="140" spans="1:17">
      <c r="A140" s="64">
        <v>41494</v>
      </c>
      <c r="B140">
        <v>1697.4799800000001</v>
      </c>
      <c r="C140" s="68">
        <f>LN(B140)-LN(B139)</f>
        <v>3.8779209041690521E-3</v>
      </c>
      <c r="D140" s="68"/>
      <c r="E140" s="68"/>
      <c r="F140" s="68"/>
      <c r="G140" s="68"/>
      <c r="H140" s="68"/>
      <c r="I140">
        <f>_xlfn.STDEV.S(C120:C140)</f>
        <v>4.8681988605210197E-3</v>
      </c>
      <c r="J140">
        <f>_xlfn.NORM.S.INV(0.99)*I140*SQRT(10)</f>
        <v>3.5813186843871574E-2</v>
      </c>
      <c r="K140">
        <f>LN(B149)-LN(B140)</f>
        <v>-3.2742653639343366E-2</v>
      </c>
      <c r="L140">
        <f>IF(K140&lt;-(J140),1,0)</f>
        <v>0</v>
      </c>
      <c r="M140" s="72">
        <f t="shared" si="1"/>
        <v>3.5989377338490884E-2</v>
      </c>
      <c r="N140">
        <f>SQRT((N139^2)*0.72+(1-0.72)*(C139^2))</f>
        <v>4.8971263751159599E-3</v>
      </c>
      <c r="O140">
        <f>_xlfn.NORM.S.INV(0.99)*N140*SQRT(10)</f>
        <v>3.602599378023541E-2</v>
      </c>
      <c r="P140">
        <f>LN(B149)-LN(B140)</f>
        <v>-3.2742653639343366E-2</v>
      </c>
      <c r="Q140">
        <f>IF(P140&lt;-(O140),1,0)</f>
        <v>0</v>
      </c>
    </row>
    <row r="141" spans="1:17">
      <c r="A141" s="64">
        <v>41495</v>
      </c>
      <c r="B141">
        <v>1691.420044</v>
      </c>
      <c r="C141" s="68">
        <f>LN(B141)-LN(B140)</f>
        <v>-3.5763477329497917E-3</v>
      </c>
      <c r="D141" s="68"/>
      <c r="E141" s="68"/>
      <c r="F141" s="68"/>
      <c r="G141" s="68"/>
      <c r="H141" s="68"/>
      <c r="I141">
        <f>_xlfn.STDEV.S(C121:C141)</f>
        <v>4.0936353037612522E-3</v>
      </c>
      <c r="J141">
        <f>_xlfn.NORM.S.INV(0.99)*I141*SQRT(10)</f>
        <v>3.0115065182152428E-2</v>
      </c>
      <c r="K141">
        <f>LN(B150)-LN(B141)</f>
        <v>-2.0583864229883453E-2</v>
      </c>
      <c r="L141">
        <f>IF(K141&lt;-(J141),1,0)</f>
        <v>0</v>
      </c>
      <c r="M141" s="72">
        <f t="shared" si="1"/>
        <v>3.4008806903533299E-2</v>
      </c>
      <c r="N141">
        <f>SQRT((N140^2)*0.72+(1-0.72)*(C140^2))</f>
        <v>4.6343980622400322E-3</v>
      </c>
      <c r="O141">
        <f>_xlfn.NORM.S.INV(0.99)*N141*SQRT(10)</f>
        <v>3.4093217731478498E-2</v>
      </c>
      <c r="P141">
        <f>LN(B150)-LN(B141)</f>
        <v>-2.0583864229883453E-2</v>
      </c>
      <c r="Q141">
        <f>IF(P141&lt;-(O141),1,0)</f>
        <v>0</v>
      </c>
    </row>
    <row r="142" spans="1:17">
      <c r="A142" s="64">
        <v>41498</v>
      </c>
      <c r="B142">
        <v>1689.469971</v>
      </c>
      <c r="C142" s="68">
        <f>LN(B142)-LN(B141)</f>
        <v>-1.1535857171365294E-3</v>
      </c>
      <c r="D142" s="68"/>
      <c r="E142" s="68"/>
      <c r="F142" s="68"/>
      <c r="G142" s="68"/>
      <c r="H142" s="68"/>
      <c r="I142">
        <f>_xlfn.STDEV.S(C122:C142)</f>
        <v>4.0624291716700768E-3</v>
      </c>
      <c r="J142">
        <f>_xlfn.NORM.S.INV(0.99)*I142*SQRT(10)</f>
        <v>2.9885495464218557E-2</v>
      </c>
      <c r="K142">
        <f>LN(B151)-LN(B142)</f>
        <v>-1.5491036640253419E-2</v>
      </c>
      <c r="L142">
        <f>IF(K142&lt;-(J142),1,0)</f>
        <v>0</v>
      </c>
      <c r="M142" s="72">
        <f t="shared" si="1"/>
        <v>3.2036920472355103E-2</v>
      </c>
      <c r="N142">
        <f>SQRT((N141^2)*0.72+(1-0.72)*(C141^2))</f>
        <v>4.3640781795752509E-3</v>
      </c>
      <c r="O142">
        <f>_xlfn.NORM.S.INV(0.99)*N142*SQRT(10)</f>
        <v>3.2104593859927949E-2</v>
      </c>
      <c r="P142">
        <f>LN(B151)-LN(B142)</f>
        <v>-1.5491036640253419E-2</v>
      </c>
      <c r="Q142">
        <f>IF(P142&lt;-(O142),1,0)</f>
        <v>0</v>
      </c>
    </row>
    <row r="143" spans="1:17">
      <c r="A143" s="64">
        <v>41499</v>
      </c>
      <c r="B143">
        <v>1694.160034</v>
      </c>
      <c r="C143" s="68">
        <f>LN(B143)-LN(B142)</f>
        <v>2.7722097254843092E-3</v>
      </c>
      <c r="D143" s="68"/>
      <c r="E143" s="68"/>
      <c r="F143" s="68"/>
      <c r="G143" s="68"/>
      <c r="H143" s="68"/>
      <c r="I143">
        <f>_xlfn.STDEV.S(C123:C143)</f>
        <v>4.0929052325226045E-3</v>
      </c>
      <c r="J143">
        <f>_xlfn.NORM.S.INV(0.99)*I143*SQRT(10)</f>
        <v>3.0109694370805531E-2</v>
      </c>
      <c r="K143">
        <f>LN(B152)-LN(B143)</f>
        <v>-2.2311085774983752E-2</v>
      </c>
      <c r="L143">
        <f>IF(K143&lt;-(J143),1,0)</f>
        <v>0</v>
      </c>
      <c r="M143" s="72">
        <f t="shared" si="1"/>
        <v>2.7551907253731679E-2</v>
      </c>
      <c r="N143">
        <f>SQRT((N142^2)*0.72+(1-0.72)*(C142^2))</f>
        <v>3.7530176151010898E-3</v>
      </c>
      <c r="O143">
        <f>_xlfn.NORM.S.INV(0.99)*N143*SQRT(10)</f>
        <v>2.7609291429720198E-2</v>
      </c>
      <c r="P143">
        <f>LN(B152)-LN(B143)</f>
        <v>-2.2311085774983752E-2</v>
      </c>
      <c r="Q143">
        <f>IF(P143&lt;-(O143),1,0)</f>
        <v>0</v>
      </c>
    </row>
    <row r="144" spans="1:17">
      <c r="A144" s="64">
        <v>41500</v>
      </c>
      <c r="B144">
        <v>1685.3900149999999</v>
      </c>
      <c r="C144" s="68">
        <f>LN(B144)-LN(B143)</f>
        <v>-5.190062913200677E-3</v>
      </c>
      <c r="D144" s="68"/>
      <c r="E144" s="68"/>
      <c r="F144" s="68"/>
      <c r="G144" s="68"/>
      <c r="H144" s="68"/>
      <c r="I144">
        <f>_xlfn.STDEV.S(C124:C144)</f>
        <v>4.1775254881220771E-3</v>
      </c>
      <c r="J144">
        <f>_xlfn.NORM.S.INV(0.99)*I144*SQRT(10)</f>
        <v>3.0732208181639409E-2</v>
      </c>
      <c r="K144">
        <f>LN(B153)-LN(B144)</f>
        <v>-3.3122562199270789E-2</v>
      </c>
      <c r="L144">
        <f>IF(K144&lt;-(J144),1,0)</f>
        <v>1</v>
      </c>
      <c r="M144" s="72">
        <f t="shared" si="1"/>
        <v>2.5743340734665398E-2</v>
      </c>
      <c r="N144">
        <f>SQRT((N143^2)*0.72+(1-0.72)*(C143^2))</f>
        <v>3.5061578360430484E-3</v>
      </c>
      <c r="O144">
        <f>_xlfn.NORM.S.INV(0.99)*N144*SQRT(10)</f>
        <v>2.579325316897086E-2</v>
      </c>
      <c r="P144">
        <f>LN(B153)-LN(B144)</f>
        <v>-3.3122562199270789E-2</v>
      </c>
      <c r="Q144">
        <f>IF(P144&lt;-(O144),1,0)</f>
        <v>1</v>
      </c>
    </row>
    <row r="145" spans="1:17">
      <c r="A145" s="64">
        <v>41501</v>
      </c>
      <c r="B145">
        <v>1661.3199460000001</v>
      </c>
      <c r="C145" s="68">
        <f>LN(B145)-LN(B144)</f>
        <v>-1.4384565330551879E-2</v>
      </c>
      <c r="D145" s="68"/>
      <c r="E145" s="68"/>
      <c r="F145" s="68"/>
      <c r="G145" s="68"/>
      <c r="H145" s="68"/>
      <c r="I145">
        <f>_xlfn.STDEV.S(C125:C145)</f>
        <v>5.2112232694686445E-3</v>
      </c>
      <c r="J145">
        <f>_xlfn.NORM.S.INV(0.99)*I145*SQRT(10)</f>
        <v>3.8336665773476171E-2</v>
      </c>
      <c r="K145">
        <f>LN(B154)-LN(B145)</f>
        <v>-1.5994119234030713E-2</v>
      </c>
      <c r="L145">
        <f>IF(K145&lt;-(J145),1,0)</f>
        <v>0</v>
      </c>
      <c r="M145" s="72">
        <f t="shared" si="1"/>
        <v>2.9751906279164842E-2</v>
      </c>
      <c r="N145">
        <f>SQRT((N144^2)*0.72+(1-0.72)*(C144^2))</f>
        <v>4.0488706632012686E-3</v>
      </c>
      <c r="O145">
        <f>_xlfn.NORM.S.INV(0.99)*N145*SQRT(10)</f>
        <v>2.9785751511469328E-2</v>
      </c>
      <c r="P145">
        <f>LN(B154)-LN(B145)</f>
        <v>-1.5994119234030713E-2</v>
      </c>
      <c r="Q145">
        <f>IF(P145&lt;-(O145),1,0)</f>
        <v>0</v>
      </c>
    </row>
    <row r="146" spans="1:17">
      <c r="A146" s="64">
        <v>41502</v>
      </c>
      <c r="B146">
        <v>1655.829956</v>
      </c>
      <c r="C146" s="68">
        <f>LN(B146)-LN(B145)</f>
        <v>-3.3100674825092824E-3</v>
      </c>
      <c r="D146" s="68"/>
      <c r="E146" s="68"/>
      <c r="F146" s="68"/>
      <c r="G146" s="68"/>
      <c r="H146" s="68"/>
      <c r="I146">
        <f>_xlfn.STDEV.S(C126:C146)</f>
        <v>5.0807700856252691E-3</v>
      </c>
      <c r="J146">
        <f>_xlfn.NORM.S.INV(0.99)*I146*SQRT(10)</f>
        <v>3.7376979371745916E-2</v>
      </c>
      <c r="K146">
        <f>LN(B155)-LN(B146)</f>
        <v>-1.0722575107269705E-2</v>
      </c>
      <c r="L146">
        <f>IF(K146&lt;-(J146),1,0)</f>
        <v>0</v>
      </c>
      <c r="M146" s="72">
        <f t="shared" si="1"/>
        <v>6.1418630909288029E-2</v>
      </c>
      <c r="N146">
        <f>SQRT((N145^2)*0.72+(1-0.72)*(C145^2))</f>
        <v>8.3510248566134194E-3</v>
      </c>
      <c r="O146">
        <f>_xlfn.NORM.S.INV(0.99)*N146*SQRT(10)</f>
        <v>6.1434797981055243E-2</v>
      </c>
      <c r="P146">
        <f>LN(B155)-LN(B146)</f>
        <v>-1.0722575107269705E-2</v>
      </c>
      <c r="Q146">
        <f>IF(P146&lt;-(O146),1,0)</f>
        <v>0</v>
      </c>
    </row>
    <row r="147" spans="1:17">
      <c r="A147" s="64">
        <v>41505</v>
      </c>
      <c r="B147">
        <v>1646.0600589999999</v>
      </c>
      <c r="C147" s="68">
        <f>LN(B147)-LN(B146)</f>
        <v>-5.9177776773253754E-3</v>
      </c>
      <c r="D147" s="68"/>
      <c r="E147" s="68"/>
      <c r="F147" s="68"/>
      <c r="G147" s="68"/>
      <c r="H147" s="68"/>
      <c r="I147">
        <f>_xlfn.STDEV.S(C127:C147)</f>
        <v>5.155795123900987E-3</v>
      </c>
      <c r="J147">
        <f>_xlfn.NORM.S.INV(0.99)*I147*SQRT(10)</f>
        <v>3.7928905410660713E-2</v>
      </c>
      <c r="K147">
        <f>LN(B156)-LN(B147)</f>
        <v>-7.9841644741618367E-3</v>
      </c>
      <c r="L147">
        <f>IF(K147&lt;-(J147),1,0)</f>
        <v>0</v>
      </c>
      <c r="M147" s="72">
        <f t="shared" si="1"/>
        <v>5.3684184234163233E-2</v>
      </c>
      <c r="N147">
        <f>SQRT((N146^2)*0.72+(1-0.72)*(C146^2))</f>
        <v>7.2993394714187957E-3</v>
      </c>
      <c r="O147">
        <f>_xlfn.NORM.S.INV(0.99)*N147*SQRT(10)</f>
        <v>5.3698013539814668E-2</v>
      </c>
      <c r="P147">
        <f>LN(B156)-LN(B147)</f>
        <v>-7.9841644741618367E-3</v>
      </c>
      <c r="Q147">
        <f>IF(P147&lt;-(O147),1,0)</f>
        <v>0</v>
      </c>
    </row>
    <row r="148" spans="1:17">
      <c r="A148" s="64">
        <v>41506</v>
      </c>
      <c r="B148">
        <v>1652.349976</v>
      </c>
      <c r="C148" s="68">
        <f>LN(B148)-LN(B147)</f>
        <v>3.8139131021592831E-3</v>
      </c>
      <c r="D148" s="68"/>
      <c r="E148" s="68"/>
      <c r="F148" s="68"/>
      <c r="G148" s="68"/>
      <c r="H148" s="68"/>
      <c r="I148">
        <f>_xlfn.STDEV.S(C128:C148)</f>
        <v>5.2277978464233786E-3</v>
      </c>
      <c r="J148">
        <f>_xlfn.NORM.S.INV(0.99)*I148*SQRT(10)</f>
        <v>3.8458597608708241E-2</v>
      </c>
      <c r="K148">
        <f>LN(B157)-LN(B148)</f>
        <v>-7.6425022452992764E-3</v>
      </c>
      <c r="L148">
        <f>IF(K148&lt;-(J148),1,0)</f>
        <v>0</v>
      </c>
      <c r="M148" s="72">
        <f t="shared" si="1"/>
        <v>5.1045239652614573E-2</v>
      </c>
      <c r="N148">
        <f>SQRT((N147^2)*0.72+(1-0.72)*(C147^2))</f>
        <v>6.9402797332959922E-3</v>
      </c>
      <c r="O148">
        <f>_xlfn.NORM.S.INV(0.99)*N148*SQRT(10)</f>
        <v>5.1056569782497147E-2</v>
      </c>
      <c r="P148">
        <f>LN(B157)-LN(B148)</f>
        <v>-7.6425022452992764E-3</v>
      </c>
      <c r="Q148">
        <f>IF(P148&lt;-(O148),1,0)</f>
        <v>0</v>
      </c>
    </row>
    <row r="149" spans="1:17">
      <c r="A149" s="64">
        <v>41507</v>
      </c>
      <c r="B149">
        <v>1642.8000489999999</v>
      </c>
      <c r="C149" s="68">
        <f>LN(B149)-LN(B148)</f>
        <v>-5.7963696133134235E-3</v>
      </c>
      <c r="D149" s="68"/>
      <c r="E149" s="68"/>
      <c r="F149" s="68"/>
      <c r="G149" s="68"/>
      <c r="H149" s="68"/>
      <c r="I149">
        <f>_xlfn.STDEV.S(C129:C149)</f>
        <v>5.3213362420018121E-3</v>
      </c>
      <c r="J149">
        <f>_xlfn.NORM.S.INV(0.99)*I149*SQRT(10)</f>
        <v>3.9146718232763417E-2</v>
      </c>
      <c r="K149">
        <f>LN(B158)-LN(B149)</f>
        <v>6.2380549776293037E-3</v>
      </c>
      <c r="L149">
        <f>IF(K149&lt;-(J149),1,0)</f>
        <v>0</v>
      </c>
      <c r="M149" s="72">
        <f t="shared" si="1"/>
        <v>4.5786349983465834E-2</v>
      </c>
      <c r="N149">
        <f>SQRT((N148^2)*0.72+(1-0.72)*(C148^2))</f>
        <v>6.2252268136380037E-3</v>
      </c>
      <c r="O149">
        <f>_xlfn.NORM.S.INV(0.99)*N149*SQRT(10)</f>
        <v>4.5796241568988899E-2</v>
      </c>
      <c r="P149">
        <f>LN(B158)-LN(B149)</f>
        <v>6.2380549776293037E-3</v>
      </c>
      <c r="Q149">
        <f>IF(P149&lt;-(O149),1,0)</f>
        <v>0</v>
      </c>
    </row>
    <row r="150" spans="1:17">
      <c r="A150" s="64">
        <v>41508</v>
      </c>
      <c r="B150">
        <v>1656.959961</v>
      </c>
      <c r="C150" s="68">
        <f>LN(B150)-LN(B149)</f>
        <v>8.5824416765101219E-3</v>
      </c>
      <c r="D150" s="68"/>
      <c r="E150" s="68"/>
      <c r="F150" s="68"/>
      <c r="G150" s="68"/>
      <c r="H150" s="68"/>
      <c r="I150">
        <f>_xlfn.STDEV.S(C130:C150)</f>
        <v>5.7149385029404524E-3</v>
      </c>
      <c r="J150">
        <f>_xlfn.NORM.S.INV(0.99)*I150*SQRT(10)</f>
        <v>4.2042276059597379E-2</v>
      </c>
      <c r="K150">
        <f>LN(B159)-LN(B150)</f>
        <v>-1.135255159373294E-3</v>
      </c>
      <c r="L150">
        <f>IF(K150&lt;-(J150),1,0)</f>
        <v>0</v>
      </c>
      <c r="M150" s="72">
        <f t="shared" si="1"/>
        <v>4.492449446810861E-2</v>
      </c>
      <c r="N150">
        <f>SQRT((N149^2)*0.72+(1-0.72)*(C149^2))</f>
        <v>6.1081826584386909E-3</v>
      </c>
      <c r="O150">
        <f>_xlfn.NORM.S.INV(0.99)*N150*SQRT(10)</f>
        <v>4.4935199463020478E-2</v>
      </c>
      <c r="P150">
        <f>LN(B159)-LN(B150)</f>
        <v>-1.135255159373294E-3</v>
      </c>
      <c r="Q150">
        <f>IF(P150&lt;-(O150),1,0)</f>
        <v>0</v>
      </c>
    </row>
    <row r="151" spans="1:17">
      <c r="A151" s="64">
        <v>41509</v>
      </c>
      <c r="B151">
        <v>1663.5</v>
      </c>
      <c r="C151" s="68">
        <f>LN(B151)-LN(B150)</f>
        <v>3.9392418724935041E-3</v>
      </c>
      <c r="D151" s="68"/>
      <c r="E151" s="68"/>
      <c r="F151" s="68"/>
      <c r="G151" s="68"/>
      <c r="H151" s="68"/>
      <c r="I151">
        <f>_xlfn.STDEV.S(C131:C151)</f>
        <v>5.7637074067136236E-3</v>
      </c>
      <c r="J151">
        <f>_xlfn.NORM.S.INV(0.99)*I151*SQRT(10)</f>
        <v>4.2401047324502623E-2</v>
      </c>
      <c r="K151">
        <f>LN(B160)-LN(B151)</f>
        <v>-5.0200673060016854E-3</v>
      </c>
      <c r="L151">
        <f>IF(K151&lt;-(J151),1,0)</f>
        <v>0</v>
      </c>
      <c r="M151" s="72">
        <f t="shared" si="1"/>
        <v>5.068668073681673E-2</v>
      </c>
      <c r="N151">
        <f>SQRT((N150^2)*0.72+(1-0.72)*(C150^2))</f>
        <v>6.8911138516620256E-3</v>
      </c>
      <c r="O151">
        <f>_xlfn.NORM.S.INV(0.99)*N151*SQRT(10)</f>
        <v>5.0694878126969239E-2</v>
      </c>
      <c r="P151">
        <f>LN(B160)-LN(B151)</f>
        <v>-5.0200673060016854E-3</v>
      </c>
      <c r="Q151">
        <f>IF(P151&lt;-(O151),1,0)</f>
        <v>0</v>
      </c>
    </row>
    <row r="152" spans="1:17">
      <c r="A152" s="64">
        <v>41512</v>
      </c>
      <c r="B152">
        <v>1656.780029</v>
      </c>
      <c r="C152" s="68">
        <f>LN(B152)-LN(B151)</f>
        <v>-4.0478394092460235E-3</v>
      </c>
      <c r="D152" s="68"/>
      <c r="E152" s="68"/>
      <c r="F152" s="68"/>
      <c r="G152" s="68"/>
      <c r="H152" s="68"/>
      <c r="I152">
        <f>_xlfn.STDEV.S(C132:C152)</f>
        <v>5.7946791066130036E-3</v>
      </c>
      <c r="J152">
        <f>_xlfn.NORM.S.INV(0.99)*I152*SQRT(10)</f>
        <v>4.2628892428441145E-2</v>
      </c>
      <c r="K152">
        <f>LN(B161)-LN(B152)</f>
        <v>8.9710542465608611E-3</v>
      </c>
      <c r="L152">
        <f>IF(K152&lt;-(J152),1,0)</f>
        <v>0</v>
      </c>
      <c r="M152" s="72">
        <f t="shared" si="1"/>
        <v>4.5660806752245632E-2</v>
      </c>
      <c r="N152">
        <f>SQRT((N151^2)*0.72+(1-0.72)*(C151^2))</f>
        <v>6.2077290140864598E-3</v>
      </c>
      <c r="O152">
        <f>_xlfn.NORM.S.INV(0.99)*N152*SQRT(10)</f>
        <v>4.5667517993257856E-2</v>
      </c>
      <c r="P152">
        <f>LN(B161)-LN(B152)</f>
        <v>8.9710542465608611E-3</v>
      </c>
      <c r="Q152">
        <f>IF(P152&lt;-(O152),1,0)</f>
        <v>0</v>
      </c>
    </row>
    <row r="153" spans="1:17">
      <c r="A153" s="64">
        <v>41513</v>
      </c>
      <c r="B153">
        <v>1630.4799800000001</v>
      </c>
      <c r="C153" s="68">
        <f>LN(B153)-LN(B152)</f>
        <v>-1.6001539337487714E-2</v>
      </c>
      <c r="D153" s="68"/>
      <c r="E153" s="68"/>
      <c r="F153" s="68"/>
      <c r="G153" s="68"/>
      <c r="H153" s="68"/>
      <c r="I153">
        <f>_xlfn.STDEV.S(C133:C153)</f>
        <v>6.6412823339335545E-3</v>
      </c>
      <c r="J153">
        <f>_xlfn.NORM.S.INV(0.99)*I153*SQRT(10)</f>
        <v>4.8856978098591977E-2</v>
      </c>
      <c r="K153">
        <f>LN(B162)-LN(B153)</f>
        <v>3.2291533892285784E-2</v>
      </c>
      <c r="L153">
        <f>IF(K153&lt;-(J153),1,0)</f>
        <v>0</v>
      </c>
      <c r="M153" s="72">
        <f t="shared" ref="M153:M216" si="2">EWMAV(B132:B152,0.72,0.99)*SQRT(10)</f>
        <v>4.1822530382146783E-2</v>
      </c>
      <c r="N153">
        <f>SQRT((N152^2)*0.72+(1-0.72)*(C152^2))</f>
        <v>5.6862684368688453E-3</v>
      </c>
      <c r="O153">
        <f>_xlfn.NORM.S.INV(0.99)*N153*SQRT(10)</f>
        <v>4.1831363058204764E-2</v>
      </c>
      <c r="P153">
        <f>LN(B162)-LN(B153)</f>
        <v>3.2291533892285784E-2</v>
      </c>
      <c r="Q153">
        <f>IF(P153&lt;-(O153),1,0)</f>
        <v>0</v>
      </c>
    </row>
    <row r="154" spans="1:17">
      <c r="A154" s="64">
        <v>41514</v>
      </c>
      <c r="B154">
        <v>1634.959961</v>
      </c>
      <c r="C154" s="68">
        <f>LN(B154)-LN(B153)</f>
        <v>2.7438776346881966E-3</v>
      </c>
      <c r="D154" s="68"/>
      <c r="E154" s="68"/>
      <c r="F154" s="68"/>
      <c r="G154" s="68"/>
      <c r="H154" s="68"/>
      <c r="I154">
        <f>_xlfn.STDEV.S(C134:C154)</f>
        <v>6.6959797661613422E-3</v>
      </c>
      <c r="J154">
        <f>_xlfn.NORM.S.INV(0.99)*I154*SQRT(10)</f>
        <v>4.925936292640571E-2</v>
      </c>
      <c r="K154">
        <f>LN(B163)-LN(B154)</f>
        <v>3.2595291079971389E-2</v>
      </c>
      <c r="L154">
        <f>IF(K154&lt;-(J154),1,0)</f>
        <v>0</v>
      </c>
      <c r="M154" s="72">
        <f t="shared" si="2"/>
        <v>7.1689320996570147E-2</v>
      </c>
      <c r="N154">
        <f>SQRT((N153^2)*0.72+(1-0.72)*(C153^2))</f>
        <v>9.7454615189523433E-3</v>
      </c>
      <c r="O154">
        <f>_xlfn.NORM.S.INV(0.99)*N154*SQRT(10)</f>
        <v>7.1693052041971683E-2</v>
      </c>
      <c r="P154">
        <f>LN(B163)-LN(B154)</f>
        <v>3.2595291079971389E-2</v>
      </c>
      <c r="Q154">
        <f>IF(P154&lt;-(O154),1,0)</f>
        <v>0</v>
      </c>
    </row>
    <row r="155" spans="1:17">
      <c r="A155" s="64">
        <v>41515</v>
      </c>
      <c r="B155">
        <v>1638.170044</v>
      </c>
      <c r="C155" s="68">
        <f>LN(B155)-LN(B154)</f>
        <v>1.9614766442517251E-3</v>
      </c>
      <c r="D155" s="68"/>
      <c r="E155" s="68"/>
      <c r="F155" s="68"/>
      <c r="G155" s="68"/>
      <c r="H155" s="68"/>
      <c r="I155">
        <f>_xlfn.STDEV.S(C135:C155)</f>
        <v>6.7323075702378074E-3</v>
      </c>
      <c r="J155">
        <f>_xlfn.NORM.S.INV(0.99)*I155*SQRT(10)</f>
        <v>4.9526610520904915E-2</v>
      </c>
      <c r="K155">
        <f>LN(B164)-LN(B155)</f>
        <v>2.7247672571026449E-2</v>
      </c>
      <c r="L155">
        <f>IF(K155&lt;-(J155),1,0)</f>
        <v>0</v>
      </c>
      <c r="M155" s="72">
        <f t="shared" si="2"/>
        <v>6.1761032020990904E-2</v>
      </c>
      <c r="N155">
        <f>SQRT((N154^2)*0.72+(1-0.72)*(C154^2))</f>
        <v>8.3957951743282803E-3</v>
      </c>
      <c r="O155">
        <f>_xlfn.NORM.S.INV(0.99)*N155*SQRT(10)</f>
        <v>6.1764153416056976E-2</v>
      </c>
      <c r="P155">
        <f>LN(B164)-LN(B155)</f>
        <v>2.7247672571026449E-2</v>
      </c>
      <c r="Q155">
        <f>IF(P155&lt;-(O155),1,0)</f>
        <v>0</v>
      </c>
    </row>
    <row r="156" spans="1:17">
      <c r="A156" s="64">
        <v>41516</v>
      </c>
      <c r="B156">
        <v>1632.969971</v>
      </c>
      <c r="C156" s="68">
        <f>LN(B156)-LN(B155)</f>
        <v>-3.179367044217507E-3</v>
      </c>
      <c r="D156" s="68"/>
      <c r="E156" s="68"/>
      <c r="F156" s="68"/>
      <c r="G156" s="68"/>
      <c r="H156" s="68"/>
      <c r="I156">
        <f>_xlfn.STDEV.S(C136:C156)</f>
        <v>5.9455307409880523E-3</v>
      </c>
      <c r="J156">
        <f>_xlfn.NORM.S.INV(0.99)*I156*SQRT(10)</f>
        <v>4.3738641212819854E-2</v>
      </c>
      <c r="K156">
        <f>LN(B165)-LN(B156)</f>
        <v>3.3138041097013016E-2</v>
      </c>
      <c r="L156">
        <f>IF(K156&lt;-(J156),1,0)</f>
        <v>0</v>
      </c>
      <c r="M156" s="72">
        <f t="shared" si="2"/>
        <v>5.2928138084367637E-2</v>
      </c>
      <c r="N156">
        <f>SQRT((N155^2)*0.72+(1-0.72)*(C155^2))</f>
        <v>7.1992791676626835E-3</v>
      </c>
      <c r="O156">
        <f>_xlfn.NORM.S.INV(0.99)*N156*SQRT(10)</f>
        <v>5.2961914120554572E-2</v>
      </c>
      <c r="P156">
        <f>LN(B165)-LN(B156)</f>
        <v>3.3138041097013016E-2</v>
      </c>
      <c r="Q156">
        <f>IF(P156&lt;-(O156),1,0)</f>
        <v>0</v>
      </c>
    </row>
    <row r="157" spans="1:17">
      <c r="A157" s="64">
        <v>41520</v>
      </c>
      <c r="B157">
        <v>1639.7700199999999</v>
      </c>
      <c r="C157" s="68">
        <f>LN(B157)-LN(B156)</f>
        <v>4.1555753310218435E-3</v>
      </c>
      <c r="D157" s="68"/>
      <c r="E157" s="68"/>
      <c r="F157" s="68"/>
      <c r="G157" s="68"/>
      <c r="H157" s="68"/>
      <c r="I157">
        <f>_xlfn.STDEV.S(C137:C157)</f>
        <v>6.049276665880168E-3</v>
      </c>
      <c r="J157">
        <f>_xlfn.NORM.S.INV(0.99)*I157*SQRT(10)</f>
        <v>4.4501854117408132E-2</v>
      </c>
      <c r="K157">
        <f>LN(B166)-LN(B157)</f>
        <v>3.4659474444571181E-2</v>
      </c>
      <c r="L157">
        <f>IF(K157&lt;-(J157),1,0)</f>
        <v>0</v>
      </c>
      <c r="M157" s="72">
        <f t="shared" si="2"/>
        <v>4.6584519225128469E-2</v>
      </c>
      <c r="N157">
        <f>SQRT((N156^2)*0.72+(1-0.72)*(C156^2))</f>
        <v>6.3362190404813151E-3</v>
      </c>
      <c r="O157">
        <f>_xlfn.NORM.S.INV(0.99)*N157*SQRT(10)</f>
        <v>4.661276231352797E-2</v>
      </c>
      <c r="P157">
        <f>LN(B166)-LN(B157)</f>
        <v>3.4659474444571181E-2</v>
      </c>
      <c r="Q157">
        <f>IF(P157&lt;-(O157),1,0)</f>
        <v>0</v>
      </c>
    </row>
    <row r="158" spans="1:17">
      <c r="A158" s="64">
        <v>41521</v>
      </c>
      <c r="B158">
        <v>1653.079956</v>
      </c>
      <c r="C158" s="68">
        <f>LN(B158)-LN(B157)</f>
        <v>8.0841876096151566E-3</v>
      </c>
      <c r="D158" s="68"/>
      <c r="E158" s="68"/>
      <c r="F158" s="68"/>
      <c r="G158" s="68"/>
      <c r="H158" s="68"/>
      <c r="I158">
        <f>_xlfn.STDEV.S(C138:C158)</f>
        <v>6.4370287629523281E-3</v>
      </c>
      <c r="J158">
        <f>_xlfn.NORM.S.INV(0.99)*I158*SQRT(10)</f>
        <v>4.7354374874964467E-2</v>
      </c>
      <c r="K158">
        <f>LN(B167)-LN(B158)</f>
        <v>3.0784156325080581E-2</v>
      </c>
      <c r="L158">
        <f>IF(K158&lt;-(J158),1,0)</f>
        <v>0</v>
      </c>
      <c r="M158" s="72">
        <f t="shared" si="2"/>
        <v>4.270968797357453E-2</v>
      </c>
      <c r="N158">
        <f>SQRT((N157^2)*0.72+(1-0.72)*(C157^2))</f>
        <v>5.8087511065420053E-3</v>
      </c>
      <c r="O158">
        <f>_xlfn.NORM.S.INV(0.99)*N158*SQRT(10)</f>
        <v>4.2732413910854528E-2</v>
      </c>
      <c r="P158">
        <f>LN(B167)-LN(B158)</f>
        <v>3.0784156325080581E-2</v>
      </c>
      <c r="Q158">
        <f>IF(P158&lt;-(O158),1,0)</f>
        <v>0</v>
      </c>
    </row>
    <row r="159" spans="1:17">
      <c r="A159" s="64">
        <v>41522</v>
      </c>
      <c r="B159">
        <v>1655.079956</v>
      </c>
      <c r="C159" s="68">
        <f>LN(B159)-LN(B158)</f>
        <v>1.2091315395075242E-3</v>
      </c>
      <c r="D159" s="68"/>
      <c r="E159" s="68"/>
      <c r="F159" s="68"/>
      <c r="G159" s="68"/>
      <c r="H159" s="68"/>
      <c r="I159">
        <f>_xlfn.STDEV.S(C139:C159)</f>
        <v>6.388361988650137E-3</v>
      </c>
      <c r="J159">
        <f>_xlfn.NORM.S.INV(0.99)*I159*SQRT(10)</f>
        <v>4.6996354931426995E-2</v>
      </c>
      <c r="K159">
        <f>LN(B168)-LN(B159)</f>
        <v>4.1679146478163176E-2</v>
      </c>
      <c r="L159">
        <f>IF(K159&lt;-(J159),1,0)</f>
        <v>0</v>
      </c>
      <c r="M159" s="72">
        <f t="shared" si="2"/>
        <v>4.7989533110916381E-2</v>
      </c>
      <c r="N159">
        <f>SQRT((N158^2)*0.72+(1-0.72)*(C158^2))</f>
        <v>6.5263381299829693E-3</v>
      </c>
      <c r="O159">
        <f>_xlfn.NORM.S.INV(0.99)*N159*SQRT(10)</f>
        <v>4.8011384405596894E-2</v>
      </c>
      <c r="P159">
        <f>LN(B168)-LN(B159)</f>
        <v>4.1679146478163176E-2</v>
      </c>
      <c r="Q159">
        <f>IF(P159&lt;-(O159),1,0)</f>
        <v>0</v>
      </c>
    </row>
    <row r="160" spans="1:17">
      <c r="A160" s="64">
        <v>41523</v>
      </c>
      <c r="B160">
        <v>1655.170044</v>
      </c>
      <c r="C160" s="68">
        <f>LN(B160)-LN(B159)</f>
        <v>5.4429725865112744E-5</v>
      </c>
      <c r="D160" s="68"/>
      <c r="E160" s="68"/>
      <c r="F160" s="68"/>
      <c r="G160" s="68"/>
      <c r="H160" s="68"/>
      <c r="I160">
        <f>_xlfn.STDEV.S(C140:C160)</f>
        <v>6.3650120134651714E-3</v>
      </c>
      <c r="J160">
        <f>_xlfn.NORM.S.INV(0.99)*I160*SQRT(10)</f>
        <v>4.6824579486738314E-2</v>
      </c>
      <c r="K160">
        <f>LN(B169)-LN(B160)</f>
        <v>3.9780062436486574E-2</v>
      </c>
      <c r="L160">
        <f>IF(K160&lt;-(J160),1,0)</f>
        <v>0</v>
      </c>
      <c r="M160" s="72">
        <f t="shared" si="2"/>
        <v>4.0987826175322983E-2</v>
      </c>
      <c r="N160">
        <f>SQRT((N159^2)*0.72+(1-0.72)*(C159^2))</f>
        <v>5.5746196373294412E-3</v>
      </c>
      <c r="O160">
        <f>_xlfn.NORM.S.INV(0.99)*N160*SQRT(10)</f>
        <v>4.1010012198603542E-2</v>
      </c>
      <c r="P160">
        <f>LN(B169)-LN(B160)</f>
        <v>3.9780062436486574E-2</v>
      </c>
      <c r="Q160">
        <f>IF(P160&lt;-(O160),1,0)</f>
        <v>0</v>
      </c>
    </row>
    <row r="161" spans="1:17">
      <c r="A161" s="64">
        <v>41526</v>
      </c>
      <c r="B161">
        <v>1671.709961</v>
      </c>
      <c r="C161" s="68">
        <f>LN(B161)-LN(B160)</f>
        <v>9.943282143316523E-3</v>
      </c>
      <c r="D161" s="68"/>
      <c r="E161" s="68"/>
      <c r="F161" s="68"/>
      <c r="G161" s="68"/>
      <c r="H161" s="68"/>
      <c r="I161">
        <f>_xlfn.STDEV.S(C141:C161)</f>
        <v>6.7256478774175852E-3</v>
      </c>
      <c r="J161">
        <f>_xlfn.NORM.S.INV(0.99)*I161*SQRT(10)</f>
        <v>4.9477618104997748E-2</v>
      </c>
      <c r="K161">
        <f>LN(B170)-LN(B161)</f>
        <v>2.2593726120909707E-2</v>
      </c>
      <c r="L161">
        <f>IF(K161&lt;-(J161),1,0)</f>
        <v>0</v>
      </c>
      <c r="M161" s="72">
        <f t="shared" si="2"/>
        <v>3.4775376954136065E-2</v>
      </c>
      <c r="N161">
        <f>SQRT((N160^2)*0.72+(1-0.72)*(C160^2))</f>
        <v>4.7303093005916083E-3</v>
      </c>
      <c r="O161">
        <f>_xlfn.NORM.S.INV(0.99)*N161*SQRT(10)</f>
        <v>3.4798794310810024E-2</v>
      </c>
      <c r="P161">
        <f>LN(B170)-LN(B161)</f>
        <v>2.2593726120909707E-2</v>
      </c>
      <c r="Q161">
        <f>IF(P161&lt;-(O161),1,0)</f>
        <v>0</v>
      </c>
    </row>
    <row r="162" spans="1:17">
      <c r="A162" s="64">
        <v>41527</v>
      </c>
      <c r="B162">
        <v>1683.98999</v>
      </c>
      <c r="C162" s="68">
        <f>LN(B162)-LN(B161)</f>
        <v>7.3189403082372095E-3</v>
      </c>
      <c r="D162" s="68"/>
      <c r="E162" s="68"/>
      <c r="F162" s="68"/>
      <c r="G162" s="68"/>
      <c r="H162" s="68"/>
      <c r="I162">
        <f>_xlfn.STDEV.S(C142:C162)</f>
        <v>6.9126129097391679E-3</v>
      </c>
      <c r="J162">
        <f>_xlfn.NORM.S.INV(0.99)*I162*SQRT(10)</f>
        <v>5.0853037192764169E-2</v>
      </c>
      <c r="K162">
        <f>LN(B171)-LN(B162)</f>
        <v>1.0544027081391683E-2</v>
      </c>
      <c r="L162">
        <f>IF(K162&lt;-(J162),1,0)</f>
        <v>0</v>
      </c>
      <c r="M162" s="72">
        <f t="shared" si="2"/>
        <v>4.8668609885419524E-2</v>
      </c>
      <c r="N162">
        <f>SQRT((N161^2)*0.72+(1-0.72)*(C161^2))</f>
        <v>6.6176941237803457E-3</v>
      </c>
      <c r="O162">
        <f>_xlfn.NORM.S.INV(0.99)*N162*SQRT(10)</f>
        <v>4.8683450064562775E-2</v>
      </c>
      <c r="P162">
        <f>LN(B171)-LN(B162)</f>
        <v>1.0544027081391683E-2</v>
      </c>
      <c r="Q162">
        <f>IF(P162&lt;-(O162),1,0)</f>
        <v>0</v>
      </c>
    </row>
    <row r="163" spans="1:17">
      <c r="A163" s="64">
        <v>41528</v>
      </c>
      <c r="B163">
        <v>1689.130005</v>
      </c>
      <c r="C163" s="68">
        <f>LN(B163)-LN(B162)</f>
        <v>3.0476348223738015E-3</v>
      </c>
      <c r="D163" s="68"/>
      <c r="E163" s="68"/>
      <c r="F163" s="68"/>
      <c r="G163" s="68"/>
      <c r="H163" s="68"/>
      <c r="I163">
        <f>_xlfn.STDEV.S(C143:C163)</f>
        <v>6.9446478425856028E-3</v>
      </c>
      <c r="J163">
        <f>_xlfn.NORM.S.INV(0.99)*I163*SQRT(10)</f>
        <v>5.10887040314515E-2</v>
      </c>
      <c r="K163">
        <f>LN(B172)-LN(B163)</f>
        <v>4.8958706879194125E-3</v>
      </c>
      <c r="L163">
        <f>IF(K163&lt;-(J163),1,0)</f>
        <v>0</v>
      </c>
      <c r="M163" s="72">
        <f t="shared" si="2"/>
        <v>5.0170741138432291E-2</v>
      </c>
      <c r="N163">
        <f>SQRT((N162^2)*0.72+(1-0.72)*(C162^2))</f>
        <v>6.8213135683247413E-3</v>
      </c>
      <c r="O163">
        <f>_xlfn.NORM.S.INV(0.99)*N163*SQRT(10)</f>
        <v>5.0181388300334299E-2</v>
      </c>
      <c r="P163">
        <f>LN(B172)-LN(B163)</f>
        <v>4.8958706879194125E-3</v>
      </c>
      <c r="Q163">
        <f>IF(P163&lt;-(O163),1,0)</f>
        <v>0</v>
      </c>
    </row>
    <row r="164" spans="1:17">
      <c r="A164" s="64">
        <v>41529</v>
      </c>
      <c r="B164">
        <v>1683.420044</v>
      </c>
      <c r="C164" s="68">
        <f>LN(B164)-LN(B163)</f>
        <v>-3.3861418646932151E-3</v>
      </c>
      <c r="D164" s="68"/>
      <c r="E164" s="68"/>
      <c r="F164" s="68"/>
      <c r="G164" s="68"/>
      <c r="H164" s="68"/>
      <c r="I164">
        <f>_xlfn.STDEV.S(C144:C164)</f>
        <v>6.9513289506405607E-3</v>
      </c>
      <c r="J164">
        <f>_xlfn.NORM.S.INV(0.99)*I164*SQRT(10)</f>
        <v>5.1137853989773184E-2</v>
      </c>
      <c r="K164">
        <f>LN(B173)-LN(B164)</f>
        <v>5.538787642930032E-3</v>
      </c>
      <c r="L164">
        <f>IF(K164&lt;-(J164),1,0)</f>
        <v>0</v>
      </c>
      <c r="M164" s="72">
        <f t="shared" si="2"/>
        <v>4.4191585077779233E-2</v>
      </c>
      <c r="N164">
        <f>SQRT((N163^2)*0.72+(1-0.72)*(C163^2))</f>
        <v>6.0085348777458875E-3</v>
      </c>
      <c r="O164">
        <f>_xlfn.NORM.S.INV(0.99)*N164*SQRT(10)</f>
        <v>4.4202134793565585E-2</v>
      </c>
      <c r="P164">
        <f>LN(B173)-LN(B164)</f>
        <v>5.538787642930032E-3</v>
      </c>
      <c r="Q164">
        <f>IF(P164&lt;-(O164),1,0)</f>
        <v>0</v>
      </c>
    </row>
    <row r="165" spans="1:17">
      <c r="A165" s="64">
        <v>41530</v>
      </c>
      <c r="B165">
        <v>1687.98999</v>
      </c>
      <c r="C165" s="68">
        <f>LN(B165)-LN(B164)</f>
        <v>2.7110014817690598E-3</v>
      </c>
      <c r="D165" s="68"/>
      <c r="E165" s="68"/>
      <c r="F165" s="68"/>
      <c r="G165" s="68"/>
      <c r="H165" s="68"/>
      <c r="I165">
        <f>_xlfn.STDEV.S(C145:C165)</f>
        <v>6.8871076629493308E-3</v>
      </c>
      <c r="J165">
        <f>_xlfn.NORM.S.INV(0.99)*I165*SQRT(10)</f>
        <v>5.0665406367698458E-2</v>
      </c>
      <c r="K165">
        <f>LN(B174)-LN(B165)</f>
        <v>6.3071517644397446E-3</v>
      </c>
      <c r="L165">
        <f>IF(K165&lt;-(J165),1,0)</f>
        <v>0</v>
      </c>
      <c r="M165" s="72">
        <f t="shared" si="2"/>
        <v>3.9739907528231012E-2</v>
      </c>
      <c r="N165">
        <f>SQRT((N164^2)*0.72+(1-0.72)*(C164^2))</f>
        <v>5.4040967492538271E-3</v>
      </c>
      <c r="O165">
        <f>_xlfn.NORM.S.INV(0.99)*N165*SQRT(10)</f>
        <v>3.975555069717774E-2</v>
      </c>
      <c r="P165">
        <f>LN(B174)-LN(B165)</f>
        <v>6.3071517644397446E-3</v>
      </c>
      <c r="Q165">
        <f>IF(P165&lt;-(O165),1,0)</f>
        <v>0</v>
      </c>
    </row>
    <row r="166" spans="1:17">
      <c r="A166" s="64">
        <v>41533</v>
      </c>
      <c r="B166">
        <v>1697.599976</v>
      </c>
      <c r="C166" s="68">
        <f>LN(B166)-LN(B165)</f>
        <v>5.6770086785800089E-3</v>
      </c>
      <c r="D166" s="68"/>
      <c r="E166" s="68"/>
      <c r="F166" s="68"/>
      <c r="G166" s="68"/>
      <c r="H166" s="68"/>
      <c r="I166">
        <f>_xlfn.STDEV.S(C146:C166)</f>
        <v>6.131262097539501E-3</v>
      </c>
      <c r="J166">
        <f>_xlfn.NORM.S.INV(0.99)*I166*SQRT(10)</f>
        <v>4.5104984693338818E-2</v>
      </c>
      <c r="K166">
        <f>LN(B175)-LN(B166)</f>
        <v>-3.4519786097781946E-3</v>
      </c>
      <c r="L166">
        <f>IF(K166&lt;-(J166),1,0)</f>
        <v>0</v>
      </c>
      <c r="M166" s="72">
        <f t="shared" si="2"/>
        <v>3.5270981175738042E-2</v>
      </c>
      <c r="N166">
        <f>SQRT((N165^2)*0.72+(1-0.72)*(C165^2))</f>
        <v>4.8046786089993672E-3</v>
      </c>
      <c r="O166">
        <f>_xlfn.NORM.S.INV(0.99)*N166*SQRT(10)</f>
        <v>3.5345896434976654E-2</v>
      </c>
      <c r="P166">
        <f>LN(B175)-LN(B166)</f>
        <v>-3.4519786097781946E-3</v>
      </c>
      <c r="Q166">
        <f>IF(P166&lt;-(O166),1,0)</f>
        <v>0</v>
      </c>
    </row>
    <row r="167" spans="1:17">
      <c r="A167" s="64">
        <v>41534</v>
      </c>
      <c r="B167">
        <v>1704.76001</v>
      </c>
      <c r="C167" s="68">
        <f>LN(B167)-LN(B166)</f>
        <v>4.208869490124556E-3</v>
      </c>
      <c r="D167" s="68"/>
      <c r="E167" s="68"/>
      <c r="F167" s="68"/>
      <c r="G167" s="68"/>
      <c r="H167" s="68"/>
      <c r="I167">
        <f>_xlfn.STDEV.S(C147:C167)</f>
        <v>6.0845859119876911E-3</v>
      </c>
      <c r="J167">
        <f>_xlfn.NORM.S.INV(0.99)*I167*SQRT(10)</f>
        <v>4.4761608631222229E-2</v>
      </c>
      <c r="K167">
        <f>LN(B176)-LN(B167)</f>
        <v>-1.3708327978880774E-2</v>
      </c>
      <c r="L167">
        <f>IF(K167&lt;-(J167),1,0)</f>
        <v>0</v>
      </c>
      <c r="M167" s="72">
        <f t="shared" si="2"/>
        <v>3.7200064192395174E-2</v>
      </c>
      <c r="N167">
        <f>SQRT((N166^2)*0.72+(1-0.72)*(C166^2))</f>
        <v>5.0641005140130415E-3</v>
      </c>
      <c r="O167">
        <f>_xlfn.NORM.S.INV(0.99)*N167*SQRT(10)</f>
        <v>3.7254348702814674E-2</v>
      </c>
      <c r="P167">
        <f>LN(B176)-LN(B167)</f>
        <v>-1.3708327978880774E-2</v>
      </c>
      <c r="Q167">
        <f>IF(P167&lt;-(O167),1,0)</f>
        <v>0</v>
      </c>
    </row>
    <row r="168" spans="1:17">
      <c r="A168" s="64">
        <v>41535</v>
      </c>
      <c r="B168">
        <v>1725.5200199999999</v>
      </c>
      <c r="C168" s="68">
        <f>LN(B168)-LN(B167)</f>
        <v>1.210412169259012E-2</v>
      </c>
      <c r="D168" s="68"/>
      <c r="E168" s="68"/>
      <c r="F168" s="68"/>
      <c r="G168" s="68"/>
      <c r="H168" s="68"/>
      <c r="I168">
        <f>_xlfn.STDEV.S(C148:C168)</f>
        <v>6.2708975432561173E-3</v>
      </c>
      <c r="J168">
        <f>_xlfn.NORM.S.INV(0.99)*I168*SQRT(10)</f>
        <v>4.6132220936301427E-2</v>
      </c>
      <c r="K168">
        <f>LN(B177)-LN(B168)</f>
        <v>-1.7845725090277043E-2</v>
      </c>
      <c r="L168">
        <f>IF(K168&lt;-(J168),1,0)</f>
        <v>0</v>
      </c>
      <c r="M168" s="72">
        <f t="shared" si="2"/>
        <v>3.5553605534182395E-2</v>
      </c>
      <c r="N168">
        <f>SQRT((N167^2)*0.72+(1-0.72)*(C167^2))</f>
        <v>4.8398930937895651E-3</v>
      </c>
      <c r="O168">
        <f>_xlfn.NORM.S.INV(0.99)*N168*SQRT(10)</f>
        <v>3.5604953831672038E-2</v>
      </c>
      <c r="P168">
        <f>LN(B177)-LN(B168)</f>
        <v>-1.7845725090277043E-2</v>
      </c>
      <c r="Q168">
        <f>IF(P168&lt;-(O168),1,0)</f>
        <v>0</v>
      </c>
    </row>
    <row r="169" spans="1:17">
      <c r="A169" s="64">
        <v>41536</v>
      </c>
      <c r="B169">
        <v>1722.339966</v>
      </c>
      <c r="C169" s="68">
        <f>LN(B169)-LN(B168)</f>
        <v>-1.8446543158114892E-3</v>
      </c>
      <c r="D169" s="68"/>
      <c r="E169" s="68"/>
      <c r="F169" s="68"/>
      <c r="G169" s="68"/>
      <c r="H169" s="68"/>
      <c r="I169">
        <f>_xlfn.STDEV.S(C149:C169)</f>
        <v>6.3214775407180795E-3</v>
      </c>
      <c r="J169">
        <f>_xlfn.NORM.S.INV(0.99)*I169*SQRT(10)</f>
        <v>4.6504315616812064E-2</v>
      </c>
      <c r="K169">
        <f>LN(B178)-LN(B169)</f>
        <v>-1.6667962713989404E-2</v>
      </c>
      <c r="L169">
        <f>IF(K169&lt;-(J169),1,0)</f>
        <v>0</v>
      </c>
      <c r="M169" s="72">
        <f t="shared" si="2"/>
        <v>5.5945691949276004E-2</v>
      </c>
      <c r="N169">
        <f>SQRT((N168^2)*0.72+(1-0.72)*(C168^2))</f>
        <v>7.608444010468448E-3</v>
      </c>
      <c r="O169">
        <f>_xlfn.NORM.S.INV(0.99)*N169*SQRT(10)</f>
        <v>5.5971958982152098E-2</v>
      </c>
      <c r="P169">
        <f>LN(B178)-LN(B169)</f>
        <v>-1.6667962713989404E-2</v>
      </c>
      <c r="Q169">
        <f>IF(P169&lt;-(O169),1,0)</f>
        <v>0</v>
      </c>
    </row>
    <row r="170" spans="1:17">
      <c r="A170" s="64">
        <v>41537</v>
      </c>
      <c r="B170">
        <v>1709.910034</v>
      </c>
      <c r="C170" s="68">
        <f>LN(B170)-LN(B169)</f>
        <v>-7.2430541722603436E-3</v>
      </c>
      <c r="D170" s="68"/>
      <c r="E170" s="68"/>
      <c r="F170" s="68"/>
      <c r="G170" s="68"/>
      <c r="H170" s="68"/>
      <c r="I170">
        <f>_xlfn.STDEV.S(C150:C170)</f>
        <v>6.4175605243169285E-3</v>
      </c>
      <c r="J170">
        <f>_xlfn.NORM.S.INV(0.99)*I170*SQRT(10)</f>
        <v>4.7211155650001252E-2</v>
      </c>
      <c r="K170">
        <f>LN(B179)-LN(B170)</f>
        <v>-1.8444881080140973E-2</v>
      </c>
      <c r="L170">
        <f>IF(K170&lt;-(J170),1,0)</f>
        <v>0</v>
      </c>
      <c r="M170" s="72">
        <f t="shared" si="2"/>
        <v>4.8004083139388469E-2</v>
      </c>
      <c r="N170">
        <f>SQRT((N169^2)*0.72+(1-0.72)*(C169^2))</f>
        <v>6.5293516109999512E-3</v>
      </c>
      <c r="O170">
        <f>_xlfn.NORM.S.INV(0.99)*N170*SQRT(10)</f>
        <v>4.8033553253214616E-2</v>
      </c>
      <c r="P170">
        <f>LN(B179)-LN(B170)</f>
        <v>-1.8444881080140973E-2</v>
      </c>
      <c r="Q170">
        <f>IF(P170&lt;-(O170),1,0)</f>
        <v>0</v>
      </c>
    </row>
    <row r="171" spans="1:17">
      <c r="A171" s="64">
        <v>41540</v>
      </c>
      <c r="B171">
        <v>1701.839966</v>
      </c>
      <c r="C171" s="68">
        <f>LN(B171)-LN(B170)</f>
        <v>-4.7307587312808153E-3</v>
      </c>
      <c r="D171" s="68"/>
      <c r="E171" s="68"/>
      <c r="F171" s="68"/>
      <c r="G171" s="68"/>
      <c r="H171" s="68"/>
      <c r="I171">
        <f>_xlfn.STDEV.S(C151:C171)</f>
        <v>6.3825907726763843E-3</v>
      </c>
      <c r="J171">
        <f>_xlfn.NORM.S.INV(0.99)*I171*SQRT(10)</f>
        <v>4.695389864689424E-2</v>
      </c>
      <c r="K171">
        <f>LN(B180)-LN(B171)</f>
        <v>-6.6856555375345295E-3</v>
      </c>
      <c r="L171">
        <f>IF(K171&lt;-(J171),1,0)</f>
        <v>0</v>
      </c>
      <c r="M171" s="72">
        <f t="shared" si="2"/>
        <v>4.9523407220070807E-2</v>
      </c>
      <c r="N171">
        <f>SQRT((N170^2)*0.72+(1-0.72)*(C170^2))</f>
        <v>6.7368141446155503E-3</v>
      </c>
      <c r="O171">
        <f>_xlfn.NORM.S.INV(0.99)*N171*SQRT(10)</f>
        <v>4.9559763396298882E-2</v>
      </c>
      <c r="P171">
        <f>LN(B180)-LN(B171)</f>
        <v>-6.6856555375345295E-3</v>
      </c>
      <c r="Q171">
        <f>IF(P171&lt;-(O171),1,0)</f>
        <v>0</v>
      </c>
    </row>
    <row r="172" spans="1:17">
      <c r="A172" s="64">
        <v>41541</v>
      </c>
      <c r="B172">
        <v>1697.420044</v>
      </c>
      <c r="C172" s="68">
        <f>LN(B172)-LN(B171)</f>
        <v>-2.6005215710984686E-3</v>
      </c>
      <c r="D172" s="68"/>
      <c r="E172" s="68"/>
      <c r="F172" s="68"/>
      <c r="G172" s="68"/>
      <c r="H172" s="68"/>
      <c r="I172">
        <f>_xlfn.STDEV.S(C152:C172)</f>
        <v>6.4054793302927085E-3</v>
      </c>
      <c r="J172">
        <f>_xlfn.NORM.S.INV(0.99)*I172*SQRT(10)</f>
        <v>4.7122279646517662E-2</v>
      </c>
      <c r="K172">
        <f>LN(B181)-LN(B172)</f>
        <v>-1.2627881573171074E-2</v>
      </c>
      <c r="L172">
        <f>IF(K172&lt;-(J172),1,0)</f>
        <v>0</v>
      </c>
      <c r="M172" s="72">
        <f t="shared" si="2"/>
        <v>4.5876479832959283E-2</v>
      </c>
      <c r="N172">
        <f>SQRT((N171^2)*0.72+(1-0.72)*(C171^2))</f>
        <v>6.2404631685758277E-3</v>
      </c>
      <c r="O172">
        <f>_xlfn.NORM.S.INV(0.99)*N172*SQRT(10)</f>
        <v>4.5908328696454649E-2</v>
      </c>
      <c r="P172">
        <f>LN(B181)-LN(B172)</f>
        <v>-1.2627881573171074E-2</v>
      </c>
      <c r="Q172">
        <f>IF(P172&lt;-(O172),1,0)</f>
        <v>0</v>
      </c>
    </row>
    <row r="173" spans="1:17">
      <c r="A173" s="64">
        <v>41542</v>
      </c>
      <c r="B173">
        <v>1692.7700199999999</v>
      </c>
      <c r="C173" s="68">
        <f>LN(B173)-LN(B172)</f>
        <v>-2.7432249096825956E-3</v>
      </c>
      <c r="D173" s="68"/>
      <c r="E173" s="68"/>
      <c r="F173" s="68"/>
      <c r="G173" s="68"/>
      <c r="H173" s="68"/>
      <c r="I173">
        <f>_xlfn.STDEV.S(C153:C173)</f>
        <v>6.3606386918483295E-3</v>
      </c>
      <c r="J173">
        <f>_xlfn.NORM.S.INV(0.99)*I173*SQRT(10)</f>
        <v>4.6792406892996831E-2</v>
      </c>
      <c r="K173">
        <f>LN(B182)-LN(B173)</f>
        <v>-2.2293406628479673E-2</v>
      </c>
      <c r="L173">
        <f>IF(K173&lt;-(J173),1,0)</f>
        <v>0</v>
      </c>
      <c r="M173" s="72">
        <f t="shared" si="2"/>
        <v>4.0217886939659442E-2</v>
      </c>
      <c r="N173">
        <f>SQRT((N172^2)*0.72+(1-0.72)*(C172^2))</f>
        <v>5.4710870479003177E-3</v>
      </c>
      <c r="O173">
        <f>_xlfn.NORM.S.INV(0.99)*N173*SQRT(10)</f>
        <v>4.0248368708703415E-2</v>
      </c>
      <c r="P173">
        <f>LN(B182)-LN(B173)</f>
        <v>-2.2293406628479673E-2</v>
      </c>
      <c r="Q173">
        <f>IF(P173&lt;-(O173),1,0)</f>
        <v>0</v>
      </c>
    </row>
    <row r="174" spans="1:17">
      <c r="A174" s="64">
        <v>41543</v>
      </c>
      <c r="B174">
        <v>1698.670044</v>
      </c>
      <c r="C174" s="68">
        <f>LN(B174)-LN(B173)</f>
        <v>3.4793656032787723E-3</v>
      </c>
      <c r="D174" s="68"/>
      <c r="E174" s="68"/>
      <c r="F174" s="68"/>
      <c r="G174" s="68"/>
      <c r="H174" s="68"/>
      <c r="I174">
        <f>_xlfn.STDEV.S(C154:C174)</f>
        <v>5.0362093281971264E-3</v>
      </c>
      <c r="J174">
        <f>_xlfn.NORM.S.INV(0.99)*I174*SQRT(10)</f>
        <v>3.7049165579129462E-2</v>
      </c>
      <c r="K174">
        <f>LN(B183)-LN(B174)</f>
        <v>-2.5199030647306664E-2</v>
      </c>
      <c r="L174">
        <f>IF(K174&lt;-(J174),1,0)</f>
        <v>0</v>
      </c>
      <c r="M174" s="72">
        <f t="shared" si="2"/>
        <v>3.5681631846276721E-2</v>
      </c>
      <c r="N174">
        <f>SQRT((N173^2)*0.72+(1-0.72)*(C173^2))</f>
        <v>4.8640199961692944E-3</v>
      </c>
      <c r="O174">
        <f>_xlfn.NORM.S.INV(0.99)*N174*SQRT(10)</f>
        <v>3.5782444786262302E-2</v>
      </c>
      <c r="P174">
        <f>LN(B183)-LN(B174)</f>
        <v>-2.5199030647306664E-2</v>
      </c>
      <c r="Q174">
        <f>IF(P174&lt;-(O174),1,0)</f>
        <v>0</v>
      </c>
    </row>
    <row r="175" spans="1:17">
      <c r="A175" s="64">
        <v>41544</v>
      </c>
      <c r="B175">
        <v>1691.75</v>
      </c>
      <c r="C175" s="68">
        <f>LN(B175)-LN(B174)</f>
        <v>-4.0821216956379303E-3</v>
      </c>
      <c r="D175" s="68"/>
      <c r="E175" s="68"/>
      <c r="F175" s="68"/>
      <c r="G175" s="68"/>
      <c r="H175" s="68"/>
      <c r="I175">
        <f>_xlfn.STDEV.S(C155:C175)</f>
        <v>5.2000929456432329E-3</v>
      </c>
      <c r="J175">
        <f>_xlfn.NORM.S.INV(0.99)*I175*SQRT(10)</f>
        <v>3.8254784901676782E-2</v>
      </c>
      <c r="K175">
        <f>LN(B184)-LN(B175)</f>
        <v>4.7871442116598217E-4</v>
      </c>
      <c r="L175">
        <f>IF(K175&lt;-(J175),1,0)</f>
        <v>0</v>
      </c>
      <c r="M175" s="72">
        <f t="shared" si="2"/>
        <v>3.3165863996658114E-2</v>
      </c>
      <c r="N175">
        <f>SQRT((N174^2)*0.72+(1-0.72)*(C174^2))</f>
        <v>4.5192845647309332E-3</v>
      </c>
      <c r="O175">
        <f>_xlfn.NORM.S.INV(0.99)*N175*SQRT(10)</f>
        <v>3.3246378620616107E-2</v>
      </c>
      <c r="P175">
        <f>LN(B184)-LN(B175)</f>
        <v>4.7871442116598217E-4</v>
      </c>
      <c r="Q175">
        <f>IF(P175&lt;-(O175),1,0)</f>
        <v>0</v>
      </c>
    </row>
    <row r="176" spans="1:17">
      <c r="A176" s="64">
        <v>41547</v>
      </c>
      <c r="B176">
        <v>1681.5500489999999</v>
      </c>
      <c r="C176" s="68">
        <f>LN(B176)-LN(B175)</f>
        <v>-6.0474798789780237E-3</v>
      </c>
      <c r="D176" s="68"/>
      <c r="E176" s="68"/>
      <c r="F176" s="68"/>
      <c r="G176" s="68"/>
      <c r="H176" s="68"/>
      <c r="I176">
        <f>_xlfn.STDEV.S(C156:C176)</f>
        <v>5.4613826545038859E-3</v>
      </c>
      <c r="J176">
        <f>_xlfn.NORM.S.INV(0.99)*I176*SQRT(10)</f>
        <v>4.0176977776683095E-2</v>
      </c>
      <c r="K176">
        <f>LN(B185)-LN(B176)</f>
        <v>1.2792789576537622E-2</v>
      </c>
      <c r="L176">
        <f>IF(K176&lt;-(J176),1,0)</f>
        <v>0</v>
      </c>
      <c r="M176" s="72">
        <f t="shared" si="2"/>
        <v>3.231733792025656E-2</v>
      </c>
      <c r="N176">
        <f>SQRT((N175^2)*0.72+(1-0.72)*(C175^2))</f>
        <v>4.4012580762880053E-3</v>
      </c>
      <c r="O176">
        <f>_xlfn.NORM.S.INV(0.99)*N176*SQRT(10)</f>
        <v>3.2378109923252289E-2</v>
      </c>
      <c r="P176">
        <f>LN(B185)-LN(B176)</f>
        <v>1.2792789576537622E-2</v>
      </c>
      <c r="Q176">
        <f>IF(P176&lt;-(O176),1,0)</f>
        <v>0</v>
      </c>
    </row>
    <row r="177" spans="1:17">
      <c r="A177" s="64">
        <v>41548</v>
      </c>
      <c r="B177">
        <v>1695</v>
      </c>
      <c r="C177" s="68">
        <f>LN(B177)-LN(B176)</f>
        <v>7.9667245811938514E-3</v>
      </c>
      <c r="D177" s="68"/>
      <c r="E177" s="68"/>
      <c r="F177" s="68"/>
      <c r="G177" s="68"/>
      <c r="H177" s="68"/>
      <c r="I177">
        <f>_xlfn.STDEV.S(C157:C177)</f>
        <v>5.5508283790815403E-3</v>
      </c>
      <c r="J177">
        <f>_xlfn.NORM.S.INV(0.99)*I177*SQRT(10)</f>
        <v>4.0834990429506848E-2</v>
      </c>
      <c r="K177">
        <f>LN(B186)-LN(B177)</f>
        <v>8.8925064471201409E-3</v>
      </c>
      <c r="L177">
        <f>IF(K177&lt;-(J177),1,0)</f>
        <v>0</v>
      </c>
      <c r="M177" s="72">
        <f t="shared" si="2"/>
        <v>3.6137896709420456E-2</v>
      </c>
      <c r="N177">
        <f>SQRT((N176^2)*0.72+(1-0.72)*(C176^2))</f>
        <v>4.9180622118071482E-3</v>
      </c>
      <c r="O177">
        <f>_xlfn.NORM.S.INV(0.99)*N177*SQRT(10)</f>
        <v>3.6180009475287371E-2</v>
      </c>
      <c r="P177">
        <f>LN(B186)-LN(B177)</f>
        <v>8.8925064471201409E-3</v>
      </c>
      <c r="Q177">
        <f>IF(P177&lt;-(O177),1,0)</f>
        <v>0</v>
      </c>
    </row>
    <row r="178" spans="1:17">
      <c r="A178" s="64">
        <v>41549</v>
      </c>
      <c r="B178">
        <v>1693.869995</v>
      </c>
      <c r="C178" s="68">
        <f>LN(B178)-LN(B177)</f>
        <v>-6.668919395238504E-4</v>
      </c>
      <c r="D178" s="68"/>
      <c r="E178" s="68"/>
      <c r="F178" s="68"/>
      <c r="G178" s="68"/>
      <c r="H178" s="68"/>
      <c r="I178">
        <f>_xlfn.STDEV.S(C158:C178)</f>
        <v>5.5471863751923823E-3</v>
      </c>
      <c r="J178">
        <f>_xlfn.NORM.S.INV(0.99)*I178*SQRT(10)</f>
        <v>4.0808197816981043E-2</v>
      </c>
      <c r="K178">
        <f>LN(B187)-LN(B178)</f>
        <v>2.4706088065533649E-3</v>
      </c>
      <c r="L178">
        <f>IF(K178&lt;-(J178),1,0)</f>
        <v>0</v>
      </c>
      <c r="M178" s="72">
        <f t="shared" si="2"/>
        <v>4.3608210288714734E-2</v>
      </c>
      <c r="N178">
        <f>SQRT((N177^2)*0.72+(1-0.72)*(C177^2))</f>
        <v>5.9317887703925739E-3</v>
      </c>
      <c r="O178">
        <f>_xlfn.NORM.S.INV(0.99)*N178*SQRT(10)</f>
        <v>4.3637547610311148E-2</v>
      </c>
      <c r="P178">
        <f>LN(B187)-LN(B178)</f>
        <v>2.4706088065533649E-3</v>
      </c>
      <c r="Q178">
        <f>IF(P178&lt;-(O178),1,0)</f>
        <v>0</v>
      </c>
    </row>
    <row r="179" spans="1:17">
      <c r="A179" s="64">
        <v>41550</v>
      </c>
      <c r="B179">
        <v>1678.660034</v>
      </c>
      <c r="C179" s="68">
        <f>LN(B179)-LN(B178)</f>
        <v>-9.0199725384119134E-3</v>
      </c>
      <c r="D179" s="68"/>
      <c r="E179" s="68"/>
      <c r="F179" s="68"/>
      <c r="G179" s="68"/>
      <c r="H179" s="68"/>
      <c r="I179">
        <f>_xlfn.STDEV.S(C159:C179)</f>
        <v>5.7895437212880513E-3</v>
      </c>
      <c r="J179">
        <f>_xlfn.NORM.S.INV(0.99)*I179*SQRT(10)</f>
        <v>4.2591113668898416E-2</v>
      </c>
      <c r="K179">
        <f>LN(B188)-LN(B179)</f>
        <v>2.5223385376549778E-2</v>
      </c>
      <c r="L179">
        <f>IF(K179&lt;-(J179),1,0)</f>
        <v>0</v>
      </c>
      <c r="M179" s="72">
        <f t="shared" si="2"/>
        <v>3.7075031326244165E-2</v>
      </c>
      <c r="N179">
        <f>SQRT((N178^2)*0.72+(1-0.72)*(C178^2))</f>
        <v>5.0456450065814624E-3</v>
      </c>
      <c r="O179">
        <f>_xlfn.NORM.S.INV(0.99)*N179*SQRT(10)</f>
        <v>3.7118579693601508E-2</v>
      </c>
      <c r="P179">
        <f>LN(B188)-LN(B179)</f>
        <v>2.5223385376549778E-2</v>
      </c>
      <c r="Q179">
        <f>IF(P179&lt;-(O179),1,0)</f>
        <v>0</v>
      </c>
    </row>
    <row r="180" spans="1:17">
      <c r="A180" s="64">
        <v>41551</v>
      </c>
      <c r="B180">
        <v>1690.5</v>
      </c>
      <c r="C180" s="68">
        <f>LN(B180)-LN(B179)</f>
        <v>7.0284668113256288E-3</v>
      </c>
      <c r="D180" s="68"/>
      <c r="E180" s="68"/>
      <c r="F180" s="68"/>
      <c r="G180" s="68"/>
      <c r="H180" s="68"/>
      <c r="I180">
        <f>_xlfn.STDEV.S(C160:C180)</f>
        <v>5.9505907565584343E-3</v>
      </c>
      <c r="J180">
        <f>_xlfn.NORM.S.INV(0.99)*I180*SQRT(10)</f>
        <v>4.3775865510398283E-2</v>
      </c>
      <c r="K180">
        <f>LN(B189)-LN(B180)</f>
        <v>2.4916232776358349E-2</v>
      </c>
      <c r="L180">
        <f>IF(K180&lt;-(J180),1,0)</f>
        <v>0</v>
      </c>
      <c r="M180" s="72">
        <f t="shared" si="2"/>
        <v>4.7143632340085478E-2</v>
      </c>
      <c r="N180">
        <f>SQRT((N179^2)*0.72+(1-0.72)*(C179^2))</f>
        <v>6.4117795836721135E-3</v>
      </c>
      <c r="O180">
        <f>_xlfn.NORM.S.INV(0.99)*N180*SQRT(10)</f>
        <v>4.7168627825362644E-2</v>
      </c>
      <c r="P180">
        <f>LN(B189)-LN(B180)</f>
        <v>2.4916232776358349E-2</v>
      </c>
      <c r="Q180">
        <f>IF(P180&lt;-(O180),1,0)</f>
        <v>0</v>
      </c>
    </row>
    <row r="181" spans="1:17">
      <c r="A181" s="64">
        <v>41554</v>
      </c>
      <c r="B181">
        <v>1676.119995</v>
      </c>
      <c r="C181" s="68">
        <f>LN(B181)-LN(B180)</f>
        <v>-8.5427476067350128E-3</v>
      </c>
      <c r="D181" s="68"/>
      <c r="E181" s="68"/>
      <c r="F181" s="68"/>
      <c r="G181" s="68"/>
      <c r="H181" s="68"/>
      <c r="I181">
        <f>_xlfn.STDEV.S(C161:C181)</f>
        <v>6.3046976464076112E-3</v>
      </c>
      <c r="J181">
        <f>_xlfn.NORM.S.INV(0.99)*I181*SQRT(10)</f>
        <v>4.6380873352562219E-2</v>
      </c>
      <c r="K181">
        <f>LN(B190)-LN(B181)</f>
        <v>3.9986386085623771E-2</v>
      </c>
      <c r="L181">
        <f>IF(K181&lt;-(J181),1,0)</f>
        <v>0</v>
      </c>
      <c r="M181" s="72">
        <f t="shared" si="2"/>
        <v>4.8464204840255529E-2</v>
      </c>
      <c r="N181">
        <f>SQRT((N180^2)*0.72+(1-0.72)*(C180^2))</f>
        <v>6.5902714170451059E-3</v>
      </c>
      <c r="O181">
        <f>_xlfn.NORM.S.INV(0.99)*N181*SQRT(10)</f>
        <v>4.8481713334365045E-2</v>
      </c>
      <c r="P181">
        <f>LN(B190)-LN(B181)</f>
        <v>3.9986386085623771E-2</v>
      </c>
      <c r="Q181">
        <f>IF(P181&lt;-(O181),1,0)</f>
        <v>0</v>
      </c>
    </row>
    <row r="182" spans="1:17">
      <c r="A182" s="64">
        <v>41555</v>
      </c>
      <c r="B182">
        <v>1655.4499510000001</v>
      </c>
      <c r="C182" s="68">
        <f>LN(B182)-LN(B181)</f>
        <v>-1.2408749964991195E-2</v>
      </c>
      <c r="D182" s="68"/>
      <c r="E182" s="68"/>
      <c r="F182" s="68"/>
      <c r="G182" s="68"/>
      <c r="H182" s="68"/>
      <c r="I182">
        <f>_xlfn.STDEV.S(C162:C182)</f>
        <v>6.5309900913421998E-3</v>
      </c>
      <c r="J182">
        <f>_xlfn.NORM.S.INV(0.99)*I182*SQRT(10)</f>
        <v>4.8045606828739811E-2</v>
      </c>
      <c r="K182">
        <f>LN(B191)-LN(B182)</f>
        <v>5.2486868157226141E-2</v>
      </c>
      <c r="L182">
        <f>IF(K182&lt;-(J182),1,0)</f>
        <v>0</v>
      </c>
      <c r="M182" s="72">
        <f t="shared" si="2"/>
        <v>5.2866690666233868E-2</v>
      </c>
      <c r="N182">
        <f>SQRT((N181^2)*0.72+(1-0.72)*(C181^2))</f>
        <v>7.1906048396847069E-3</v>
      </c>
      <c r="O182">
        <f>_xlfn.NORM.S.INV(0.99)*N182*SQRT(10)</f>
        <v>5.2898100924438134E-2</v>
      </c>
      <c r="P182">
        <f>LN(B191)-LN(B182)</f>
        <v>5.2486868157226141E-2</v>
      </c>
      <c r="Q182">
        <f>IF(P182&lt;-(O182),1,0)</f>
        <v>0</v>
      </c>
    </row>
    <row r="183" spans="1:17">
      <c r="A183" s="64">
        <v>41556</v>
      </c>
      <c r="B183">
        <v>1656.400024</v>
      </c>
      <c r="C183" s="68">
        <f>LN(B183)-LN(B182)</f>
        <v>5.7374158445178125E-4</v>
      </c>
      <c r="D183" s="68"/>
      <c r="E183" s="68"/>
      <c r="F183" s="68"/>
      <c r="G183" s="68"/>
      <c r="H183" s="68"/>
      <c r="I183">
        <f>_xlfn.STDEV.S(C163:C183)</f>
        <v>6.2904428719126543E-3</v>
      </c>
      <c r="J183">
        <f>_xlfn.NORM.S.INV(0.99)*I183*SQRT(10)</f>
        <v>4.6276007278469575E-2</v>
      </c>
      <c r="K183">
        <f>LN(B192)-LN(B183)</f>
        <v>5.763424294656172E-2</v>
      </c>
      <c r="L183">
        <f>IF(K183&lt;-(J183),1,0)</f>
        <v>0</v>
      </c>
      <c r="M183" s="72">
        <f t="shared" si="2"/>
        <v>6.5912383956221413E-2</v>
      </c>
      <c r="N183">
        <f>SQRT((N182^2)*0.72+(1-0.72)*(C182^2))</f>
        <v>8.9633161121197361E-3</v>
      </c>
      <c r="O183">
        <f>_xlfn.NORM.S.INV(0.99)*N183*SQRT(10)</f>
        <v>6.5939154061112656E-2</v>
      </c>
      <c r="P183">
        <f>LN(B192)-LN(B183)</f>
        <v>5.763424294656172E-2</v>
      </c>
      <c r="Q183">
        <f>IF(P183&lt;-(O183),1,0)</f>
        <v>0</v>
      </c>
    </row>
    <row r="184" spans="1:17">
      <c r="A184" s="64">
        <v>41557</v>
      </c>
      <c r="B184">
        <v>1692.5600589999999</v>
      </c>
      <c r="C184" s="68">
        <f>LN(B184)-LN(B183)</f>
        <v>2.1595623372834716E-2</v>
      </c>
      <c r="D184" s="68"/>
      <c r="E184" s="68"/>
      <c r="F184" s="68"/>
      <c r="G184" s="68"/>
      <c r="H184" s="68"/>
      <c r="I184">
        <f>_xlfn.STDEV.S(C164:C184)</f>
        <v>7.9412691135262482E-3</v>
      </c>
      <c r="J184">
        <f>_xlfn.NORM.S.INV(0.99)*I184*SQRT(10)</f>
        <v>5.8420406127317422E-2</v>
      </c>
      <c r="K184">
        <f>LN(B193)-LN(B184)</f>
        <v>3.1302866369626869E-2</v>
      </c>
      <c r="L184">
        <f>IF(K184&lt;-(J184),1,0)</f>
        <v>0</v>
      </c>
      <c r="M184" s="72">
        <f t="shared" si="2"/>
        <v>5.5971326355890305E-2</v>
      </c>
      <c r="N184">
        <f>SQRT((N183^2)*0.72+(1-0.72)*(C183^2))</f>
        <v>7.611682859668391E-3</v>
      </c>
      <c r="O184">
        <f>_xlfn.NORM.S.INV(0.99)*N184*SQRT(10)</f>
        <v>5.599578576385926E-2</v>
      </c>
      <c r="P184">
        <f>LN(B193)-LN(B184)</f>
        <v>3.1302866369626869E-2</v>
      </c>
      <c r="Q184">
        <f>IF(P184&lt;-(O184),1,0)</f>
        <v>0</v>
      </c>
    </row>
    <row r="185" spans="1:17">
      <c r="A185" s="64">
        <v>41558</v>
      </c>
      <c r="B185">
        <v>1703.1999510000001</v>
      </c>
      <c r="C185" s="68">
        <f>LN(B185)-LN(B184)</f>
        <v>6.2665952763936161E-3</v>
      </c>
      <c r="D185" s="68"/>
      <c r="E185" s="68"/>
      <c r="F185" s="68"/>
      <c r="G185" s="68"/>
      <c r="H185" s="68"/>
      <c r="I185">
        <f>_xlfn.STDEV.S(C165:C185)</f>
        <v>8.008675074649519E-3</v>
      </c>
      <c r="J185">
        <f>_xlfn.NORM.S.INV(0.99)*I185*SQRT(10)</f>
        <v>5.8916281983925317E-2</v>
      </c>
      <c r="K185">
        <f>LN(B194)-LN(B185)</f>
        <v>2.8289109405501556E-2</v>
      </c>
      <c r="L185">
        <f>IF(K185&lt;-(J185),1,0)</f>
        <v>0</v>
      </c>
      <c r="M185" s="72">
        <f t="shared" si="2"/>
        <v>9.655270977808518E-2</v>
      </c>
      <c r="N185">
        <f>SQRT((N184^2)*0.72+(1-0.72)*(C184^2))</f>
        <v>1.3126272173378591E-2</v>
      </c>
      <c r="O185">
        <f>_xlfn.NORM.S.INV(0.99)*N185*SQRT(10)</f>
        <v>9.6564181410290176E-2</v>
      </c>
      <c r="P185">
        <f>LN(B194)-LN(B185)</f>
        <v>2.8289109405501556E-2</v>
      </c>
      <c r="Q185">
        <f>IF(P185&lt;-(O185),1,0)</f>
        <v>0</v>
      </c>
    </row>
    <row r="186" spans="1:17">
      <c r="A186" s="64">
        <v>41561</v>
      </c>
      <c r="B186">
        <v>1710.1400149999999</v>
      </c>
      <c r="C186" s="68">
        <f>LN(B186)-LN(B185)</f>
        <v>4.0664414517763703E-3</v>
      </c>
      <c r="D186" s="68"/>
      <c r="E186" s="68"/>
      <c r="F186" s="68"/>
      <c r="G186" s="68"/>
      <c r="H186" s="68"/>
      <c r="I186">
        <f>_xlfn.STDEV.S(C166:C186)</f>
        <v>8.0323362752651416E-3</v>
      </c>
      <c r="J186">
        <f>_xlfn.NORM.S.INV(0.99)*I186*SQRT(10)</f>
        <v>5.9090346976518278E-2</v>
      </c>
      <c r="K186">
        <f>LN(B195)-LN(B186)</f>
        <v>2.8607882777853533E-2</v>
      </c>
      <c r="L186">
        <f>IF(K186&lt;-(J186),1,0)</f>
        <v>0</v>
      </c>
      <c r="M186" s="72">
        <f t="shared" si="2"/>
        <v>8.5481366324859795E-2</v>
      </c>
      <c r="N186">
        <f>SQRT((N185^2)*0.72+(1-0.72)*(C185^2))</f>
        <v>1.1621142621205312E-2</v>
      </c>
      <c r="O186">
        <f>_xlfn.NORM.S.INV(0.99)*N186*SQRT(10)</f>
        <v>8.5491608694876223E-2</v>
      </c>
      <c r="P186">
        <f>LN(B195)-LN(B186)</f>
        <v>2.8607882777853533E-2</v>
      </c>
      <c r="Q186">
        <f>IF(P186&lt;-(O186),1,0)</f>
        <v>0</v>
      </c>
    </row>
    <row r="187" spans="1:17">
      <c r="A187" s="64">
        <v>41562</v>
      </c>
      <c r="B187">
        <v>1698.0600589999999</v>
      </c>
      <c r="C187" s="68">
        <f>LN(B187)-LN(B186)</f>
        <v>-7.0887895800906264E-3</v>
      </c>
      <c r="D187" s="68"/>
      <c r="E187" s="68"/>
      <c r="F187" s="68"/>
      <c r="G187" s="68"/>
      <c r="H187" s="68"/>
      <c r="I187">
        <f>_xlfn.STDEV.S(C167:C187)</f>
        <v>8.1132014529491057E-3</v>
      </c>
      <c r="J187">
        <f>_xlfn.NORM.S.INV(0.99)*I187*SQRT(10)</f>
        <v>5.9685236339203175E-2</v>
      </c>
      <c r="K187">
        <f>LN(B196)-LN(B187)</f>
        <v>3.7025488411298824E-2</v>
      </c>
      <c r="L187">
        <f>IF(K187&lt;-(J187),1,0)</f>
        <v>0</v>
      </c>
      <c r="M187" s="72">
        <f t="shared" si="2"/>
        <v>7.4235946551328244E-2</v>
      </c>
      <c r="N187">
        <f>SQRT((N186^2)*0.72+(1-0.72)*(C186^2))</f>
        <v>1.0092906077772011E-2</v>
      </c>
      <c r="O187">
        <f>_xlfn.NORM.S.INV(0.99)*N187*SQRT(10)</f>
        <v>7.4249048060089071E-2</v>
      </c>
      <c r="P187">
        <f>LN(B196)-LN(B187)</f>
        <v>3.7025488411298824E-2</v>
      </c>
      <c r="Q187">
        <f>IF(P187&lt;-(O187),1,0)</f>
        <v>0</v>
      </c>
    </row>
    <row r="188" spans="1:17">
      <c r="A188" s="64">
        <v>41563</v>
      </c>
      <c r="B188">
        <v>1721.540039</v>
      </c>
      <c r="C188" s="68">
        <f>LN(B188)-LN(B187)</f>
        <v>1.37328040315845E-2</v>
      </c>
      <c r="D188" s="68"/>
      <c r="E188" s="68"/>
      <c r="F188" s="68"/>
      <c r="G188" s="68"/>
      <c r="H188" s="68"/>
      <c r="I188">
        <f>_xlfn.STDEV.S(C168:C188)</f>
        <v>8.6104325859993128E-3</v>
      </c>
      <c r="J188">
        <f>_xlfn.NORM.S.INV(0.99)*I188*SQRT(10)</f>
        <v>6.3343145965066558E-2</v>
      </c>
      <c r="K188">
        <f>LN(B197)-LN(B188)</f>
        <v>2.8861345696323149E-2</v>
      </c>
      <c r="L188">
        <f>IF(K188&lt;-(J188),1,0)</f>
        <v>0</v>
      </c>
      <c r="M188" s="72">
        <f t="shared" si="2"/>
        <v>6.8767681676858594E-2</v>
      </c>
      <c r="N188">
        <f>SQRT((N187^2)*0.72+(1-0.72)*(C187^2))</f>
        <v>9.3495628126254102E-3</v>
      </c>
      <c r="O188">
        <f>_xlfn.NORM.S.INV(0.99)*N188*SQRT(10)</f>
        <v>6.8780600281647328E-2</v>
      </c>
      <c r="P188">
        <f>LN(B197)-LN(B188)</f>
        <v>2.8861345696323149E-2</v>
      </c>
      <c r="Q188">
        <f>IF(P188&lt;-(O188),1,0)</f>
        <v>0</v>
      </c>
    </row>
    <row r="189" spans="1:17">
      <c r="A189" s="64">
        <v>41564</v>
      </c>
      <c r="B189">
        <v>1733.150024</v>
      </c>
      <c r="C189" s="68">
        <f>LN(B189)-LN(B188)</f>
        <v>6.7213142111341995E-3</v>
      </c>
      <c r="D189" s="68"/>
      <c r="E189" s="68"/>
      <c r="F189" s="68"/>
      <c r="G189" s="68"/>
      <c r="H189" s="68"/>
      <c r="I189">
        <f>_xlfn.STDEV.S(C169:C189)</f>
        <v>8.3219555803127516E-3</v>
      </c>
      <c r="J189">
        <f>_xlfn.NORM.S.INV(0.99)*I189*SQRT(10)</f>
        <v>6.1220948166493538E-2</v>
      </c>
      <c r="K189">
        <f>LN(B198)-LN(B189)</f>
        <v>1.7252182118007831E-2</v>
      </c>
      <c r="L189">
        <f>IF(K189&lt;-(J189),1,0)</f>
        <v>0</v>
      </c>
      <c r="M189" s="72">
        <f t="shared" si="2"/>
        <v>7.9117154184761854E-2</v>
      </c>
      <c r="N189">
        <f>SQRT((N188^2)*0.72+(1-0.72)*(C188^2))</f>
        <v>1.0758414738537324E-2</v>
      </c>
      <c r="O189">
        <f>_xlfn.NORM.S.INV(0.99)*N189*SQRT(10)</f>
        <v>7.914490106385319E-2</v>
      </c>
      <c r="P189">
        <f>LN(B198)-LN(B189)</f>
        <v>1.7252182118007831E-2</v>
      </c>
      <c r="Q189">
        <f>IF(P189&lt;-(O189),1,0)</f>
        <v>0</v>
      </c>
    </row>
    <row r="190" spans="1:17">
      <c r="A190" s="64">
        <v>41565</v>
      </c>
      <c r="B190">
        <v>1744.5</v>
      </c>
      <c r="C190" s="68">
        <f>LN(B190)-LN(B189)</f>
        <v>6.5274057025304089E-3</v>
      </c>
      <c r="D190" s="68"/>
      <c r="E190" s="68"/>
      <c r="F190" s="68"/>
      <c r="G190" s="68"/>
      <c r="H190" s="68"/>
      <c r="I190">
        <f>_xlfn.STDEV.S(C170:C190)</f>
        <v>8.4185733247320559E-3</v>
      </c>
      <c r="J190">
        <f>_xlfn.NORM.S.INV(0.99)*I190*SQRT(10)</f>
        <v>6.1931722198627394E-2</v>
      </c>
      <c r="K190">
        <f>LN(B199)-LN(B190)</f>
        <v>6.8780055815675922E-3</v>
      </c>
      <c r="L190">
        <f>IF(K190&lt;-(J190),1,0)</f>
        <v>0</v>
      </c>
      <c r="M190" s="72">
        <f t="shared" si="2"/>
        <v>7.205103557864663E-2</v>
      </c>
      <c r="N190">
        <f>SQRT((N189^2)*0.72+(1-0.72)*(C189^2))</f>
        <v>9.797173534093085E-3</v>
      </c>
      <c r="O190">
        <f>_xlfn.NORM.S.INV(0.99)*N190*SQRT(10)</f>
        <v>7.2073474476093524E-2</v>
      </c>
      <c r="P190">
        <f>LN(B199)-LN(B190)</f>
        <v>6.8780055815675922E-3</v>
      </c>
      <c r="Q190">
        <f>IF(P190&lt;-(O190),1,0)</f>
        <v>0</v>
      </c>
    </row>
    <row r="191" spans="1:17">
      <c r="A191" s="64">
        <v>41568</v>
      </c>
      <c r="B191">
        <v>1744.660034</v>
      </c>
      <c r="C191" s="68">
        <f>LN(B191)-LN(B190)</f>
        <v>9.1732106611175368E-5</v>
      </c>
      <c r="D191" s="68"/>
      <c r="E191" s="68"/>
      <c r="F191" s="68"/>
      <c r="G191" s="68"/>
      <c r="H191" s="68"/>
      <c r="I191">
        <f>_xlfn.STDEV.S(C171:C191)</f>
        <v>8.2264872831163786E-3</v>
      </c>
      <c r="J191">
        <f>_xlfn.NORM.S.INV(0.99)*I191*SQRT(10)</f>
        <v>6.0518630109421802E-2</v>
      </c>
      <c r="K191">
        <f>LN(B200)-LN(B191)</f>
        <v>9.6854881223125133E-3</v>
      </c>
      <c r="L191">
        <f>IF(K191&lt;-(J191),1,0)</f>
        <v>0</v>
      </c>
      <c r="M191" s="72">
        <f t="shared" si="2"/>
        <v>6.6198913665560036E-2</v>
      </c>
      <c r="N191">
        <f>SQRT((N190^2)*0.72+(1-0.72)*(C190^2))</f>
        <v>9.0021600587112359E-3</v>
      </c>
      <c r="O191">
        <f>_xlfn.NORM.S.INV(0.99)*N191*SQRT(10)</f>
        <v>6.6224911803738212E-2</v>
      </c>
      <c r="P191">
        <f>LN(B200)-LN(B191)</f>
        <v>9.6854881223125133E-3</v>
      </c>
      <c r="Q191">
        <f>IF(P191&lt;-(O191),1,0)</f>
        <v>0</v>
      </c>
    </row>
    <row r="192" spans="1:17">
      <c r="A192" s="64">
        <v>41569</v>
      </c>
      <c r="B192">
        <v>1754.670044</v>
      </c>
      <c r="C192" s="68">
        <f>LN(B192)-LN(B191)</f>
        <v>5.7211163737873605E-3</v>
      </c>
      <c r="D192" s="68"/>
      <c r="E192" s="68"/>
      <c r="F192" s="68"/>
      <c r="G192" s="68"/>
      <c r="H192" s="68"/>
      <c r="I192">
        <f>_xlfn.STDEV.S(C172:C192)</f>
        <v>8.1811497503358494E-3</v>
      </c>
      <c r="J192">
        <f>_xlfn.NORM.S.INV(0.99)*I192*SQRT(10)</f>
        <v>6.0185101923941012E-2</v>
      </c>
      <c r="K192">
        <f>LN(B201)-LN(B192)</f>
        <v>7.5285710905612646E-3</v>
      </c>
      <c r="L192">
        <f>IF(K192&lt;-(J192),1,0)</f>
        <v>0</v>
      </c>
      <c r="M192" s="72">
        <f t="shared" si="2"/>
        <v>5.6168544565336036E-2</v>
      </c>
      <c r="N192">
        <f>SQRT((N191^2)*0.72+(1-0.72)*(C191^2))</f>
        <v>7.6387403319225066E-3</v>
      </c>
      <c r="O192">
        <f>_xlfn.NORM.S.INV(0.99)*N192*SQRT(10)</f>
        <v>5.6194835625445194E-2</v>
      </c>
      <c r="P192">
        <f>LN(B201)-LN(B192)</f>
        <v>7.5285710905612646E-3</v>
      </c>
      <c r="Q192">
        <f>IF(P192&lt;-(O192),1,0)</f>
        <v>0</v>
      </c>
    </row>
    <row r="193" spans="1:17">
      <c r="A193" s="64">
        <v>41570</v>
      </c>
      <c r="B193">
        <v>1746.380005</v>
      </c>
      <c r="C193" s="68">
        <f>LN(B193)-LN(B192)</f>
        <v>-4.7357532041001349E-3</v>
      </c>
      <c r="D193" s="68"/>
      <c r="E193" s="68"/>
      <c r="F193" s="68"/>
      <c r="G193" s="68"/>
      <c r="H193" s="68"/>
      <c r="I193">
        <f>_xlfn.STDEV.S(C173:C193)</f>
        <v>8.247085875444855E-3</v>
      </c>
      <c r="J193">
        <f>_xlfn.NORM.S.INV(0.99)*I193*SQRT(10)</f>
        <v>6.0670164846789026E-2</v>
      </c>
      <c r="K193">
        <f>LN(B202)-LN(B193)</f>
        <v>9.4547934512130283E-3</v>
      </c>
      <c r="L193">
        <f>IF(K193&lt;-(J193),1,0)</f>
        <v>0</v>
      </c>
      <c r="M193" s="72">
        <f t="shared" si="2"/>
        <v>5.2605833017753706E-2</v>
      </c>
      <c r="N193">
        <f>SQRT((N192^2)*0.72+(1-0.72)*(C192^2))</f>
        <v>7.1538089921122077E-3</v>
      </c>
      <c r="O193">
        <f>_xlfn.NORM.S.INV(0.99)*N193*SQRT(10)</f>
        <v>5.2627410140855091E-2</v>
      </c>
      <c r="P193">
        <f>LN(B202)-LN(B193)</f>
        <v>9.4547934512130283E-3</v>
      </c>
      <c r="Q193">
        <f>IF(P193&lt;-(O193),1,0)</f>
        <v>0</v>
      </c>
    </row>
    <row r="194" spans="1:17">
      <c r="A194" s="64">
        <v>41571</v>
      </c>
      <c r="B194">
        <v>1752.0699460000001</v>
      </c>
      <c r="C194" s="68">
        <f>LN(B194)-LN(B193)</f>
        <v>3.2528383122683024E-3</v>
      </c>
      <c r="D194" s="68"/>
      <c r="E194" s="68"/>
      <c r="F194" s="68"/>
      <c r="G194" s="68"/>
      <c r="H194" s="68"/>
      <c r="I194">
        <f>_xlfn.STDEV.S(C174:C194)</f>
        <v>8.2018104503969909E-3</v>
      </c>
      <c r="J194">
        <f>_xlfn.NORM.S.INV(0.99)*I194*SQRT(10)</f>
        <v>6.0337093560440355E-2</v>
      </c>
      <c r="K194">
        <f>LN(B203)-LN(B194)</f>
        <v>1.0458423550458562E-2</v>
      </c>
      <c r="L194">
        <f>IF(K194&lt;-(J194),1,0)</f>
        <v>0</v>
      </c>
      <c r="M194" s="72">
        <f t="shared" si="2"/>
        <v>4.8292833749954689E-2</v>
      </c>
      <c r="N194">
        <f>SQRT((N193^2)*0.72+(1-0.72)*(C193^2))</f>
        <v>6.5671217579462357E-3</v>
      </c>
      <c r="O194">
        <f>_xlfn.NORM.S.INV(0.99)*N194*SQRT(10)</f>
        <v>4.8311411526564402E-2</v>
      </c>
      <c r="P194">
        <f>LN(B203)-LN(B194)</f>
        <v>1.0458423550458562E-2</v>
      </c>
      <c r="Q194">
        <f>IF(P194&lt;-(O194),1,0)</f>
        <v>0</v>
      </c>
    </row>
    <row r="195" spans="1:17">
      <c r="A195" s="64">
        <v>41572</v>
      </c>
      <c r="B195">
        <v>1759.7700199999999</v>
      </c>
      <c r="C195" s="68">
        <f>LN(B195)-LN(B194)</f>
        <v>4.3852148241283473E-3</v>
      </c>
      <c r="D195" s="68"/>
      <c r="E195" s="68"/>
      <c r="F195" s="68"/>
      <c r="G195" s="68"/>
      <c r="H195" s="68"/>
      <c r="I195">
        <f>_xlfn.STDEV.S(C175:C195)</f>
        <v>8.214342568692596E-3</v>
      </c>
      <c r="J195">
        <f>_xlfn.NORM.S.INV(0.99)*I195*SQRT(10)</f>
        <v>6.042928681444025E-2</v>
      </c>
      <c r="K195">
        <f>LN(B204)-LN(B195)</f>
        <v>-7.1972273778788676E-3</v>
      </c>
      <c r="L195">
        <f>IF(K195&lt;-(J195),1,0)</f>
        <v>0</v>
      </c>
      <c r="M195" s="72">
        <f t="shared" si="2"/>
        <v>4.2886614937906173E-2</v>
      </c>
      <c r="N195">
        <f>SQRT((N194^2)*0.72+(1-0.72)*(C194^2))</f>
        <v>5.8321669623108661E-3</v>
      </c>
      <c r="O195">
        <f>_xlfn.NORM.S.INV(0.99)*N195*SQRT(10)</f>
        <v>4.2904674009873904E-2</v>
      </c>
      <c r="P195">
        <f>LN(B204)-LN(B195)</f>
        <v>-7.1972273778788676E-3</v>
      </c>
      <c r="Q195">
        <f>IF(P195&lt;-(O195),1,0)</f>
        <v>0</v>
      </c>
    </row>
    <row r="196" spans="1:17">
      <c r="A196" s="64">
        <v>41575</v>
      </c>
      <c r="B196">
        <v>1762.1099850000001</v>
      </c>
      <c r="C196" s="68">
        <f>LN(B196)-LN(B195)</f>
        <v>1.3288160533546645E-3</v>
      </c>
      <c r="D196" s="68"/>
      <c r="E196" s="68"/>
      <c r="F196" s="68"/>
      <c r="G196" s="68"/>
      <c r="H196" s="68"/>
      <c r="I196">
        <f>_xlfn.STDEV.S(C176:C196)</f>
        <v>8.1086556239712906E-3</v>
      </c>
      <c r="J196">
        <f>_xlfn.NORM.S.INV(0.99)*I196*SQRT(10)</f>
        <v>5.9651794685070467E-2</v>
      </c>
      <c r="K196">
        <f>LN(B205)-LN(B196)</f>
        <v>4.8121653994694924E-3</v>
      </c>
      <c r="L196">
        <f>IF(K196&lt;-(J196),1,0)</f>
        <v>0</v>
      </c>
      <c r="M196" s="72">
        <f t="shared" si="2"/>
        <v>4.0190971748100927E-2</v>
      </c>
      <c r="N196">
        <f>SQRT((N195^2)*0.72+(1-0.72)*(C195^2))</f>
        <v>5.4657692960795607E-3</v>
      </c>
      <c r="O196">
        <f>_xlfn.NORM.S.INV(0.99)*N196*SQRT(10)</f>
        <v>4.0209248359473121E-2</v>
      </c>
      <c r="P196">
        <f>LN(B205)-LN(B196)</f>
        <v>4.8121653994694924E-3</v>
      </c>
      <c r="Q196">
        <f>IF(P196&lt;-(O196),1,0)</f>
        <v>0</v>
      </c>
    </row>
    <row r="197" spans="1:17">
      <c r="A197" s="64">
        <v>41576</v>
      </c>
      <c r="B197">
        <v>1771.9499510000001</v>
      </c>
      <c r="C197" s="68">
        <f>LN(B197)-LN(B196)</f>
        <v>5.568661316608825E-3</v>
      </c>
      <c r="D197" s="68"/>
      <c r="E197" s="68"/>
      <c r="F197" s="68"/>
      <c r="G197" s="68"/>
      <c r="H197" s="68"/>
      <c r="I197">
        <f>_xlfn.STDEV.S(C177:C197)</f>
        <v>7.930758024483623E-3</v>
      </c>
      <c r="J197">
        <f>_xlfn.NORM.S.INV(0.99)*I197*SQRT(10)</f>
        <v>5.8343080692058645E-2</v>
      </c>
      <c r="K197">
        <f>LN(B206)-LN(B197)</f>
        <v>-3.3825455201252908E-5</v>
      </c>
      <c r="L197">
        <f>IF(K197&lt;-(J197),1,0)</f>
        <v>0</v>
      </c>
      <c r="M197" s="72">
        <f t="shared" si="2"/>
        <v>3.4481972331602988E-2</v>
      </c>
      <c r="N197">
        <f>SQRT((N196^2)*0.72+(1-0.72)*(C196^2))</f>
        <v>4.6908578178792007E-3</v>
      </c>
      <c r="O197">
        <f>_xlfn.NORM.S.INV(0.99)*N197*SQRT(10)</f>
        <v>3.4508567193527476E-2</v>
      </c>
      <c r="P197">
        <f>LN(B206)-LN(B197)</f>
        <v>-3.3825455201252908E-5</v>
      </c>
      <c r="Q197">
        <f>IF(P197&lt;-(O197),1,0)</f>
        <v>0</v>
      </c>
    </row>
    <row r="198" spans="1:17">
      <c r="A198" s="64">
        <v>41577</v>
      </c>
      <c r="B198">
        <v>1763.3100589999999</v>
      </c>
      <c r="C198" s="68">
        <f>LN(B198)-LN(B197)</f>
        <v>-4.8878493671811185E-3</v>
      </c>
      <c r="D198" s="68"/>
      <c r="E198" s="68"/>
      <c r="F198" s="68"/>
      <c r="G198" s="68"/>
      <c r="H198" s="68"/>
      <c r="I198">
        <f>_xlfn.STDEV.S(C178:C198)</f>
        <v>7.9831051260183319E-3</v>
      </c>
      <c r="J198">
        <f>_xlfn.NORM.S.INV(0.99)*I198*SQRT(10)</f>
        <v>5.8728175176016723E-2</v>
      </c>
      <c r="K198">
        <f>LN(B207)-LN(B198)</f>
        <v>2.4808180381290512E-3</v>
      </c>
      <c r="L198">
        <f>IF(K198&lt;-(J198),1,0)</f>
        <v>0</v>
      </c>
      <c r="M198" s="72">
        <f t="shared" si="2"/>
        <v>3.6395608752854407E-2</v>
      </c>
      <c r="N198">
        <f>SQRT((N197^2)*0.72+(1-0.72)*(C197^2))</f>
        <v>4.9523512364521164E-3</v>
      </c>
      <c r="O198">
        <f>_xlfn.NORM.S.INV(0.99)*N198*SQRT(10)</f>
        <v>3.6432258670829262E-2</v>
      </c>
      <c r="P198">
        <f>LN(B207)-LN(B198)</f>
        <v>2.4808180381290512E-3</v>
      </c>
      <c r="Q198">
        <f>IF(P198&lt;-(O198),1,0)</f>
        <v>0</v>
      </c>
    </row>
    <row r="199" spans="1:17">
      <c r="A199" s="64">
        <v>41578</v>
      </c>
      <c r="B199">
        <v>1756.540039</v>
      </c>
      <c r="C199" s="68">
        <f>LN(B199)-LN(B198)</f>
        <v>-3.8467708339098294E-3</v>
      </c>
      <c r="D199" s="68"/>
      <c r="E199" s="68"/>
      <c r="F199" s="68"/>
      <c r="G199" s="68"/>
      <c r="H199" s="68"/>
      <c r="I199">
        <f>_xlfn.STDEV.S(C179:C199)</f>
        <v>8.0636101688362615E-3</v>
      </c>
      <c r="J199">
        <f>_xlfn.NORM.S.INV(0.99)*I199*SQRT(10)</f>
        <v>5.9320415185703558E-2</v>
      </c>
      <c r="K199">
        <f>LN(B208)-LN(B199)</f>
        <v>1.4390341822357655E-2</v>
      </c>
      <c r="L199">
        <f>IF(K199&lt;-(J199),1,0)</f>
        <v>0</v>
      </c>
      <c r="M199" s="72">
        <f t="shared" si="2"/>
        <v>3.6273410012215207E-2</v>
      </c>
      <c r="N199">
        <f>SQRT((N198^2)*0.72+(1-0.72)*(C198^2))</f>
        <v>4.9343757047844196E-3</v>
      </c>
      <c r="O199">
        <f>_xlfn.NORM.S.INV(0.99)*N199*SQRT(10)</f>
        <v>3.6300020631119381E-2</v>
      </c>
      <c r="P199">
        <f>LN(B208)-LN(B199)</f>
        <v>1.4390341822357655E-2</v>
      </c>
      <c r="Q199">
        <f>IF(P199&lt;-(O199),1,0)</f>
        <v>0</v>
      </c>
    </row>
    <row r="200" spans="1:17">
      <c r="A200" s="64">
        <v>41579</v>
      </c>
      <c r="B200">
        <v>1761.6400149999999</v>
      </c>
      <c r="C200" s="68">
        <f>LN(B200)-LN(B199)</f>
        <v>2.8992146473560965E-3</v>
      </c>
      <c r="D200" s="68"/>
      <c r="E200" s="68"/>
      <c r="F200" s="68"/>
      <c r="G200" s="68"/>
      <c r="H200" s="68"/>
      <c r="I200">
        <f>_xlfn.STDEV.S(C180:C200)</f>
        <v>7.6794403410735965E-3</v>
      </c>
      <c r="J200">
        <f>_xlfn.NORM.S.INV(0.99)*I200*SQRT(10)</f>
        <v>5.6494247599778391E-2</v>
      </c>
      <c r="K200">
        <f>LN(B209)-LN(B200)</f>
        <v>1.6316723930007271E-2</v>
      </c>
      <c r="L200">
        <f>IF(K200&lt;-(J200),1,0)</f>
        <v>0</v>
      </c>
      <c r="M200" s="72">
        <f t="shared" si="2"/>
        <v>3.4203107079585078E-2</v>
      </c>
      <c r="N200">
        <f>SQRT((N199^2)*0.72+(1-0.72)*(C199^2))</f>
        <v>4.6555286087306413E-3</v>
      </c>
      <c r="O200">
        <f>_xlfn.NORM.S.INV(0.99)*N200*SQRT(10)</f>
        <v>3.4248665820445903E-2</v>
      </c>
      <c r="P200">
        <f>LN(B209)-LN(B200)</f>
        <v>1.6316723930007271E-2</v>
      </c>
      <c r="Q200">
        <f>IF(P200&lt;-(O200),1,0)</f>
        <v>0</v>
      </c>
    </row>
    <row r="201" spans="1:17">
      <c r="A201" s="64">
        <v>41582</v>
      </c>
      <c r="B201">
        <v>1767.9300539999999</v>
      </c>
      <c r="C201" s="68">
        <f>LN(B201)-LN(B200)</f>
        <v>3.5641993420361118E-3</v>
      </c>
      <c r="D201" s="68"/>
      <c r="E201" s="68"/>
      <c r="F201" s="68"/>
      <c r="G201" s="68"/>
      <c r="H201" s="68"/>
      <c r="I201">
        <f>_xlfn.STDEV.S(C181:C201)</f>
        <v>7.6096244266683809E-3</v>
      </c>
      <c r="J201">
        <f>_xlfn.NORM.S.INV(0.99)*I201*SQRT(10)</f>
        <v>5.5980642782286996E-2</v>
      </c>
      <c r="K201">
        <f>LN(B210)-LN(B201)</f>
        <v>1.6965671088049916E-2</v>
      </c>
      <c r="L201">
        <f>IF(K201&lt;-(J201),1,0)</f>
        <v>0</v>
      </c>
      <c r="M201" s="72">
        <f t="shared" si="2"/>
        <v>3.1122577834202303E-2</v>
      </c>
      <c r="N201">
        <f>SQRT((N200^2)*0.72+(1-0.72)*(C200^2))</f>
        <v>4.2377784665122795E-3</v>
      </c>
      <c r="O201">
        <f>_xlfn.NORM.S.INV(0.99)*N201*SQRT(10)</f>
        <v>3.1175462706528961E-2</v>
      </c>
      <c r="P201">
        <f>LN(B210)-LN(B201)</f>
        <v>1.6965671088049916E-2</v>
      </c>
      <c r="Q201">
        <f>IF(P201&lt;-(O201),1,0)</f>
        <v>0</v>
      </c>
    </row>
    <row r="202" spans="1:17">
      <c r="A202" s="64">
        <v>41583</v>
      </c>
      <c r="B202">
        <v>1762.969971</v>
      </c>
      <c r="C202" s="68">
        <f>LN(B202)-LN(B201)</f>
        <v>-2.8095308434483712E-3</v>
      </c>
      <c r="D202" s="68"/>
      <c r="E202" s="68"/>
      <c r="F202" s="68"/>
      <c r="G202" s="68"/>
      <c r="H202" s="68"/>
      <c r="I202">
        <f>_xlfn.STDEV.S(C182:C202)</f>
        <v>7.3041899331426118E-3</v>
      </c>
      <c r="J202">
        <f>_xlfn.NORM.S.INV(0.99)*I202*SQRT(10)</f>
        <v>5.3733696242385193E-2</v>
      </c>
      <c r="K202">
        <f>LN(B211)-LN(B202)</f>
        <v>1.6070149181531157E-2</v>
      </c>
      <c r="L202">
        <f>IF(K202&lt;-(J202),1,0)</f>
        <v>0</v>
      </c>
      <c r="M202" s="72">
        <f t="shared" si="2"/>
        <v>2.9805249171048376E-2</v>
      </c>
      <c r="N202">
        <f>SQRT((N201^2)*0.72+(1-0.72)*(C201^2))</f>
        <v>4.0604552090159913E-3</v>
      </c>
      <c r="O202">
        <f>_xlfn.NORM.S.INV(0.99)*N202*SQRT(10)</f>
        <v>2.987097389363793E-2</v>
      </c>
      <c r="P202">
        <f>LN(B211)-LN(B202)</f>
        <v>1.6070149181531157E-2</v>
      </c>
      <c r="Q202">
        <f>IF(P202&lt;-(O202),1,0)</f>
        <v>0</v>
      </c>
    </row>
    <row r="203" spans="1:17">
      <c r="A203" s="64">
        <v>41584</v>
      </c>
      <c r="B203">
        <v>1770.48999</v>
      </c>
      <c r="C203" s="68">
        <f>LN(B203)-LN(B202)</f>
        <v>4.2564684115138363E-3</v>
      </c>
      <c r="D203" s="68"/>
      <c r="E203" s="68"/>
      <c r="F203" s="68"/>
      <c r="G203" s="68"/>
      <c r="H203" s="68"/>
      <c r="I203">
        <f>_xlfn.STDEV.S(C183:C203)</f>
        <v>6.4720872795680706E-3</v>
      </c>
      <c r="J203">
        <f>_xlfn.NORM.S.INV(0.99)*I203*SQRT(10)</f>
        <v>4.7612284882752064E-2</v>
      </c>
      <c r="K203">
        <f>LN(B212)-LN(B203)</f>
        <v>9.7686255925806265E-3</v>
      </c>
      <c r="L203">
        <f>IF(K203&lt;-(J203),1,0)</f>
        <v>0</v>
      </c>
      <c r="M203" s="72">
        <f t="shared" si="2"/>
        <v>2.7494647379442752E-2</v>
      </c>
      <c r="N203">
        <f>SQRT((N202^2)*0.72+(1-0.72)*(C202^2))</f>
        <v>3.7524689579084636E-3</v>
      </c>
      <c r="O203">
        <f>_xlfn.NORM.S.INV(0.99)*N203*SQRT(10)</f>
        <v>2.7605255201308885E-2</v>
      </c>
      <c r="P203">
        <f>LN(B212)-LN(B203)</f>
        <v>9.7686255925806265E-3</v>
      </c>
      <c r="Q203">
        <f>IF(P203&lt;-(O203),1,0)</f>
        <v>0</v>
      </c>
    </row>
    <row r="204" spans="1:17">
      <c r="A204" s="64">
        <v>41585</v>
      </c>
      <c r="B204">
        <v>1747.150024</v>
      </c>
      <c r="C204" s="68">
        <f>LN(B204)-LN(B203)</f>
        <v>-1.3270436104209082E-2</v>
      </c>
      <c r="D204" s="68"/>
      <c r="E204" s="68"/>
      <c r="F204" s="68"/>
      <c r="G204" s="68"/>
      <c r="H204" s="68"/>
      <c r="I204">
        <f>_xlfn.STDEV.S(C184:C204)</f>
        <v>7.3925226299907396E-3</v>
      </c>
      <c r="J204">
        <f>_xlfn.NORM.S.INV(0.99)*I204*SQRT(10)</f>
        <v>5.438352084225917E-2</v>
      </c>
      <c r="K204">
        <f>LN(B213)-LN(B204)</f>
        <v>1.9396825700389364E-2</v>
      </c>
      <c r="L204">
        <f>IF(K204&lt;-(J204),1,0)</f>
        <v>0</v>
      </c>
      <c r="M204" s="72">
        <f t="shared" si="2"/>
        <v>2.8615055674999623E-2</v>
      </c>
      <c r="N204">
        <f>SQRT((N203^2)*0.72+(1-0.72)*(C203^2))</f>
        <v>3.9001593937104937E-3</v>
      </c>
      <c r="O204">
        <f>_xlfn.NORM.S.INV(0.99)*N204*SQRT(10)</f>
        <v>2.8691748445314295E-2</v>
      </c>
      <c r="P204">
        <f>LN(B213)-LN(B204)</f>
        <v>1.9396825700389364E-2</v>
      </c>
      <c r="Q204">
        <f>IF(P204&lt;-(O204),1,0)</f>
        <v>0</v>
      </c>
    </row>
    <row r="205" spans="1:17">
      <c r="A205" s="64">
        <v>41586</v>
      </c>
      <c r="B205">
        <v>1770.6099850000001</v>
      </c>
      <c r="C205" s="68">
        <f>LN(B205)-LN(B204)</f>
        <v>1.3338208830703024E-2</v>
      </c>
      <c r="D205" s="68"/>
      <c r="E205" s="68"/>
      <c r="F205" s="68"/>
      <c r="G205" s="68"/>
      <c r="H205" s="68"/>
      <c r="I205">
        <f>_xlfn.STDEV.S(C185:C205)</f>
        <v>6.493169143263219E-3</v>
      </c>
      <c r="J205">
        <f>_xlfn.NORM.S.INV(0.99)*I205*SQRT(10)</f>
        <v>4.7767374833915355E-2</v>
      </c>
      <c r="K205">
        <f>LN(B214)-LN(B205)</f>
        <v>1.4154322586793278E-2</v>
      </c>
      <c r="L205">
        <f>IF(K205&lt;-(J205),1,0)</f>
        <v>0</v>
      </c>
      <c r="M205" s="72">
        <f t="shared" si="2"/>
        <v>5.69930727551805E-2</v>
      </c>
      <c r="N205">
        <f>SQRT((N204^2)*0.72+(1-0.72)*(C204^2))</f>
        <v>7.7628183029246267E-3</v>
      </c>
      <c r="O205">
        <f>_xlfn.NORM.S.INV(0.99)*N205*SQRT(10)</f>
        <v>5.7107622404708319E-2</v>
      </c>
      <c r="P205">
        <f>LN(B214)-LN(B205)</f>
        <v>1.4154322586793278E-2</v>
      </c>
      <c r="Q205">
        <f>IF(P205&lt;-(O205),1,0)</f>
        <v>0</v>
      </c>
    </row>
    <row r="206" spans="1:17">
      <c r="A206" s="64">
        <v>41589</v>
      </c>
      <c r="B206">
        <v>1771.8900149999999</v>
      </c>
      <c r="C206" s="68">
        <f>LN(B206)-LN(B205)</f>
        <v>7.2267046193807971E-4</v>
      </c>
      <c r="D206" s="68"/>
      <c r="E206" s="68"/>
      <c r="F206" s="68"/>
      <c r="G206" s="68"/>
      <c r="H206" s="68"/>
      <c r="I206">
        <f>_xlfn.STDEV.S(C186:C206)</f>
        <v>6.4296823066645557E-3</v>
      </c>
      <c r="J206">
        <f>_xlfn.NORM.S.INV(0.99)*I206*SQRT(10)</f>
        <v>4.7300330243836522E-2</v>
      </c>
      <c r="K206">
        <f>LN(B215)-LN(B206)</f>
        <v>1.8380842524183372E-2</v>
      </c>
      <c r="L206">
        <f>IF(K206&lt;-(J206),1,0)</f>
        <v>0</v>
      </c>
      <c r="M206" s="72">
        <f t="shared" si="2"/>
        <v>7.0949056482841166E-2</v>
      </c>
      <c r="N206">
        <f>SQRT((N205^2)*0.72+(1-0.72)*(C205^2))</f>
        <v>9.6541368702874678E-3</v>
      </c>
      <c r="O206">
        <f>_xlfn.NORM.S.INV(0.99)*N206*SQRT(10)</f>
        <v>7.1021216975288293E-2</v>
      </c>
      <c r="P206">
        <f>LN(B215)-LN(B206)</f>
        <v>1.8380842524183372E-2</v>
      </c>
      <c r="Q206">
        <f>IF(P206&lt;-(O206),1,0)</f>
        <v>0</v>
      </c>
    </row>
    <row r="207" spans="1:17">
      <c r="A207" s="64">
        <v>41590</v>
      </c>
      <c r="B207">
        <v>1767.6899410000001</v>
      </c>
      <c r="C207" s="68">
        <f>LN(B207)-LN(B206)</f>
        <v>-2.3732058738508144E-3</v>
      </c>
      <c r="D207" s="68"/>
      <c r="E207" s="68"/>
      <c r="F207" s="68"/>
      <c r="G207" s="68"/>
      <c r="H207" s="68"/>
      <c r="I207">
        <f>_xlfn.STDEV.S(C187:C207)</f>
        <v>6.473740669034788E-3</v>
      </c>
      <c r="J207">
        <f>_xlfn.NORM.S.INV(0.99)*I207*SQRT(10)</f>
        <v>4.7624448138114832E-2</v>
      </c>
      <c r="K207">
        <f>LN(B216)-LN(B207)</f>
        <v>1.9489907220870961E-2</v>
      </c>
      <c r="L207">
        <f>IF(K207&lt;-(J207),1,0)</f>
        <v>0</v>
      </c>
      <c r="M207" s="72">
        <f t="shared" si="2"/>
        <v>6.0265048164113252E-2</v>
      </c>
      <c r="N207">
        <f>SQRT((N206^2)*0.72+(1-0.72)*(C206^2))</f>
        <v>8.2007273456939037E-3</v>
      </c>
      <c r="O207">
        <f>_xlfn.NORM.S.INV(0.99)*N207*SQRT(10)</f>
        <v>6.0329125637967489E-2</v>
      </c>
      <c r="P207">
        <f>LN(B216)-LN(B207)</f>
        <v>1.9489907220870961E-2</v>
      </c>
      <c r="Q207">
        <f>IF(P207&lt;-(O207),1,0)</f>
        <v>0</v>
      </c>
    </row>
    <row r="208" spans="1:17">
      <c r="A208" s="64">
        <v>41591</v>
      </c>
      <c r="B208">
        <v>1782</v>
      </c>
      <c r="C208" s="68">
        <f>LN(B208)-LN(B207)</f>
        <v>8.0627529503187745E-3</v>
      </c>
      <c r="D208" s="68"/>
      <c r="E208" s="68"/>
      <c r="F208" s="68"/>
      <c r="G208" s="68"/>
      <c r="H208" s="68"/>
      <c r="I208">
        <f>_xlfn.STDEV.S(C188:C208)</f>
        <v>6.3017875291584693E-3</v>
      </c>
      <c r="J208">
        <f>_xlfn.NORM.S.INV(0.99)*I208*SQRT(10)</f>
        <v>4.6359464906488609E-2</v>
      </c>
      <c r="K208">
        <f>LN(B217)-LN(B208)</f>
        <v>1.1576947766114287E-2</v>
      </c>
      <c r="L208">
        <f>IF(K208&lt;-(J208),1,0)</f>
        <v>0</v>
      </c>
      <c r="M208" s="72">
        <f t="shared" si="2"/>
        <v>5.1954099198568908E-2</v>
      </c>
      <c r="N208">
        <f>SQRT((N207^2)*0.72+(1-0.72)*(C207^2))</f>
        <v>7.0709531601027371E-3</v>
      </c>
      <c r="O208">
        <f>_xlfn.NORM.S.INV(0.99)*N208*SQRT(10)</f>
        <v>5.2017876414342107E-2</v>
      </c>
      <c r="P208">
        <f>LN(B217)-LN(B208)</f>
        <v>1.1576947766114287E-2</v>
      </c>
      <c r="Q208">
        <f>IF(P208&lt;-(O208),1,0)</f>
        <v>0</v>
      </c>
    </row>
    <row r="209" spans="1:17">
      <c r="A209" s="64">
        <v>41592</v>
      </c>
      <c r="B209">
        <v>1790.619995</v>
      </c>
      <c r="C209" s="68">
        <f>LN(B209)-LN(B208)</f>
        <v>4.8255967550057122E-3</v>
      </c>
      <c r="D209" s="68"/>
      <c r="E209" s="68"/>
      <c r="F209" s="68"/>
      <c r="G209" s="68"/>
      <c r="H209" s="68"/>
      <c r="I209">
        <f>_xlfn.STDEV.S(C189:C209)</f>
        <v>5.7710467487670893E-3</v>
      </c>
      <c r="J209">
        <f>_xlfn.NORM.S.INV(0.99)*I209*SQRT(10)</f>
        <v>4.2455039619353888E-2</v>
      </c>
      <c r="K209">
        <f>LN(B218)-LN(B209)</f>
        <v>9.2333494291949592E-3</v>
      </c>
      <c r="L209">
        <f>IF(K209&lt;-(J209),1,0)</f>
        <v>0</v>
      </c>
      <c r="M209" s="72">
        <f t="shared" si="2"/>
        <v>5.407887367091057E-2</v>
      </c>
      <c r="N209">
        <f>SQRT((N208^2)*0.72+(1-0.72)*(C208^2))</f>
        <v>7.3621374902339953E-3</v>
      </c>
      <c r="O209">
        <f>_xlfn.NORM.S.INV(0.99)*N209*SQRT(10)</f>
        <v>5.4159990801978732E-2</v>
      </c>
      <c r="P209">
        <f>LN(B218)-LN(B209)</f>
        <v>9.2333494291949592E-3</v>
      </c>
      <c r="Q209">
        <f>IF(P209&lt;-(O209),1,0)</f>
        <v>0</v>
      </c>
    </row>
    <row r="210" spans="1:17">
      <c r="A210" s="64">
        <v>41593</v>
      </c>
      <c r="B210">
        <v>1798.1800539999999</v>
      </c>
      <c r="C210" s="68">
        <f>LN(B210)-LN(B209)</f>
        <v>4.2131465000787571E-3</v>
      </c>
      <c r="D210" s="68"/>
      <c r="E210" s="68"/>
      <c r="F210" s="68"/>
      <c r="G210" s="68"/>
      <c r="H210" s="68"/>
      <c r="I210">
        <f>_xlfn.STDEV.S(C190:C210)</f>
        <v>5.6911004561978652E-3</v>
      </c>
      <c r="J210">
        <f>_xlfn.NORM.S.INV(0.99)*I210*SQRT(10)</f>
        <v>4.1866910088229924E-2</v>
      </c>
      <c r="K210">
        <f>LN(B219)-LN(B210)</f>
        <v>4.2342049563428574E-3</v>
      </c>
      <c r="L210">
        <f>IF(K210&lt;-(J210),1,0)</f>
        <v>0</v>
      </c>
      <c r="M210" s="72">
        <f t="shared" si="2"/>
        <v>4.9573821882253448E-2</v>
      </c>
      <c r="N210">
        <f>SQRT((N209^2)*0.72+(1-0.72)*(C209^2))</f>
        <v>6.7487003784296486E-3</v>
      </c>
      <c r="O210">
        <f>_xlfn.NORM.S.INV(0.99)*N210*SQRT(10)</f>
        <v>4.9647205163706201E-2</v>
      </c>
      <c r="P210">
        <f>LN(B219)-LN(B210)</f>
        <v>4.2342049563428574E-3</v>
      </c>
      <c r="Q210">
        <f>IF(P210&lt;-(O210),1,0)</f>
        <v>0</v>
      </c>
    </row>
    <row r="211" spans="1:17">
      <c r="A211" s="64">
        <v>41596</v>
      </c>
      <c r="B211">
        <v>1791.530029</v>
      </c>
      <c r="C211" s="68">
        <f>LN(B211)-LN(B210)</f>
        <v>-3.7050527499671304E-3</v>
      </c>
      <c r="D211" s="68"/>
      <c r="E211" s="68"/>
      <c r="F211" s="68"/>
      <c r="G211" s="68"/>
      <c r="H211" s="68"/>
      <c r="I211">
        <f>_xlfn.STDEV.S(C191:C211)</f>
        <v>5.7000129812980766E-3</v>
      </c>
      <c r="J211">
        <f>_xlfn.NORM.S.INV(0.99)*I211*SQRT(10)</f>
        <v>4.1932475595270531E-2</v>
      </c>
      <c r="K211">
        <f>LN(B220)-LN(B211)</f>
        <v>5.2165337167053849E-3</v>
      </c>
      <c r="L211">
        <f>IF(K211&lt;-(J211),1,0)</f>
        <v>0</v>
      </c>
      <c r="M211" s="72">
        <f t="shared" si="2"/>
        <v>4.5138910772790856E-2</v>
      </c>
      <c r="N211">
        <f>SQRT((N210^2)*0.72+(1-0.72)*(C210^2))</f>
        <v>6.1451230951985909E-3</v>
      </c>
      <c r="O211">
        <f>_xlfn.NORM.S.INV(0.99)*N211*SQRT(10)</f>
        <v>4.5206953925334067E-2</v>
      </c>
      <c r="P211">
        <f>LN(B220)-LN(B211)</f>
        <v>5.2165337167053849E-3</v>
      </c>
      <c r="Q211">
        <f>IF(P211&lt;-(O211),1,0)</f>
        <v>0</v>
      </c>
    </row>
    <row r="212" spans="1:17">
      <c r="A212" s="64">
        <v>41597</v>
      </c>
      <c r="B212">
        <v>1787.869995</v>
      </c>
      <c r="C212" s="68">
        <f>LN(B212)-LN(B211)</f>
        <v>-2.0450551774366943E-3</v>
      </c>
      <c r="D212" s="68"/>
      <c r="E212" s="68"/>
      <c r="F212" s="68"/>
      <c r="G212" s="68"/>
      <c r="H212" s="68"/>
      <c r="I212">
        <f>_xlfn.STDEV.S(C192:C212)</f>
        <v>5.7409623884566901E-3</v>
      </c>
      <c r="J212">
        <f>_xlfn.NORM.S.INV(0.99)*I212*SQRT(10)</f>
        <v>4.2233722280489182E-2</v>
      </c>
      <c r="K212">
        <f>LN(B221)-LN(B212)</f>
        <v>4.0636329015120154E-3</v>
      </c>
      <c r="L212">
        <f>IF(K212&lt;-(J212),1,0)</f>
        <v>0</v>
      </c>
      <c r="M212" s="72">
        <f t="shared" si="2"/>
        <v>4.0927140679052294E-2</v>
      </c>
      <c r="N212">
        <f>SQRT((N211^2)*0.72+(1-0.72)*(C211^2))</f>
        <v>5.570700467814973E-3</v>
      </c>
      <c r="O212">
        <f>_xlfn.NORM.S.INV(0.99)*N212*SQRT(10)</f>
        <v>4.0981180601103957E-2</v>
      </c>
      <c r="P212">
        <f>LN(B221)-LN(B212)</f>
        <v>4.0636329015120154E-3</v>
      </c>
      <c r="Q212">
        <f>IF(P212&lt;-(O212),1,0)</f>
        <v>0</v>
      </c>
    </row>
    <row r="213" spans="1:17">
      <c r="A213" s="64">
        <v>41598</v>
      </c>
      <c r="B213">
        <v>1781.369995</v>
      </c>
      <c r="C213" s="68">
        <f>LN(B213)-LN(B212)</f>
        <v>-3.6422359964003448E-3</v>
      </c>
      <c r="D213" s="68"/>
      <c r="E213" s="68"/>
      <c r="F213" s="68"/>
      <c r="G213" s="68"/>
      <c r="H213" s="68"/>
      <c r="I213">
        <f>_xlfn.STDEV.S(C193:C213)</f>
        <v>5.7330168902305079E-3</v>
      </c>
      <c r="J213">
        <f>_xlfn.NORM.S.INV(0.99)*I213*SQRT(10)</f>
        <v>4.2175270762649701E-2</v>
      </c>
      <c r="K213">
        <f>LN(B222)-LN(B213)</f>
        <v>6.4015258853808987E-3</v>
      </c>
      <c r="L213">
        <f>IF(K213&lt;-(J213),1,0)</f>
        <v>0</v>
      </c>
      <c r="M213" s="72">
        <f t="shared" si="2"/>
        <v>3.561884207704067E-2</v>
      </c>
      <c r="N213">
        <f>SQRT((N212^2)*0.72+(1-0.72)*(C212^2))</f>
        <v>4.8491831121927152E-3</v>
      </c>
      <c r="O213">
        <f>_xlfn.NORM.S.INV(0.99)*N213*SQRT(10)</f>
        <v>3.5673296390057049E-2</v>
      </c>
      <c r="P213">
        <f>LN(B222)-LN(B213)</f>
        <v>6.4015258853808987E-3</v>
      </c>
      <c r="Q213">
        <f>IF(P213&lt;-(O213),1,0)</f>
        <v>0</v>
      </c>
    </row>
    <row r="214" spans="1:17">
      <c r="A214" s="64">
        <v>41599</v>
      </c>
      <c r="B214">
        <v>1795.849976</v>
      </c>
      <c r="C214" s="68">
        <f>LN(B214)-LN(B213)</f>
        <v>8.095705717106938E-3</v>
      </c>
      <c r="D214" s="68"/>
      <c r="E214" s="68"/>
      <c r="F214" s="68"/>
      <c r="G214" s="68"/>
      <c r="H214" s="68"/>
      <c r="I214">
        <f>_xlfn.STDEV.S(C194:C214)</f>
        <v>5.8058903898830687E-3</v>
      </c>
      <c r="J214">
        <f>_xlfn.NORM.S.INV(0.99)*I214*SQRT(10)</f>
        <v>4.271136888308364E-2</v>
      </c>
      <c r="K214">
        <f>LN(B223)-LN(B214)</f>
        <v>-6.0431960377194116E-3</v>
      </c>
      <c r="L214">
        <f>IF(K214&lt;-(J214),1,0)</f>
        <v>0</v>
      </c>
      <c r="M214" s="72">
        <f t="shared" si="2"/>
        <v>3.3376803020462628E-2</v>
      </c>
      <c r="N214">
        <f>SQRT((N213^2)*0.72+(1-0.72)*(C213^2))</f>
        <v>4.5436706076680839E-3</v>
      </c>
      <c r="O214">
        <f>_xlfn.NORM.S.INV(0.99)*N214*SQRT(10)</f>
        <v>3.3425775957724349E-2</v>
      </c>
      <c r="P214">
        <f>LN(B223)-LN(B214)</f>
        <v>-6.0431960377194116E-3</v>
      </c>
      <c r="Q214">
        <f>IF(P214&lt;-(O214),1,0)</f>
        <v>0</v>
      </c>
    </row>
    <row r="215" spans="1:17">
      <c r="A215" s="64">
        <v>41600</v>
      </c>
      <c r="B215">
        <v>1804.76001</v>
      </c>
      <c r="C215" s="68">
        <f>LN(B215)-LN(B214)</f>
        <v>4.9491903993281738E-3</v>
      </c>
      <c r="D215" s="68"/>
      <c r="E215" s="68"/>
      <c r="F215" s="68"/>
      <c r="G215" s="68"/>
      <c r="H215" s="68"/>
      <c r="I215">
        <f>_xlfn.STDEV.S(C195:C215)</f>
        <v>5.8456433560171075E-3</v>
      </c>
      <c r="J215">
        <f>_xlfn.NORM.S.INV(0.99)*I215*SQRT(10)</f>
        <v>4.3003813880616894E-2</v>
      </c>
      <c r="K215">
        <f>LN(B224)-LN(B215)</f>
        <v>1.8280870568698759E-4</v>
      </c>
      <c r="L215">
        <f>IF(K215&lt;-(J215),1,0)</f>
        <v>0</v>
      </c>
      <c r="M215" s="72">
        <f t="shared" si="2"/>
        <v>4.236764768542331E-2</v>
      </c>
      <c r="N215">
        <f>SQRT((N214^2)*0.72+(1-0.72)*(C214^2))</f>
        <v>5.763305038061925E-3</v>
      </c>
      <c r="O215">
        <f>_xlfn.NORM.S.INV(0.99)*N215*SQRT(10)</f>
        <v>4.2398087276214483E-2</v>
      </c>
      <c r="P215">
        <f>LN(B224)-LN(B215)</f>
        <v>1.8280870568698759E-4</v>
      </c>
      <c r="Q215">
        <f>IF(P215&lt;-(O215),1,0)</f>
        <v>0</v>
      </c>
    </row>
    <row r="216" spans="1:17">
      <c r="A216" s="64">
        <v>41603</v>
      </c>
      <c r="B216">
        <v>1802.4799800000001</v>
      </c>
      <c r="C216" s="68">
        <f>LN(B216)-LN(B215)</f>
        <v>-1.2641411771632249E-3</v>
      </c>
      <c r="D216" s="68"/>
      <c r="E216" s="68"/>
      <c r="F216" s="68"/>
      <c r="G216" s="68"/>
      <c r="H216" s="68"/>
      <c r="I216">
        <f>_xlfn.STDEV.S(C196:C216)</f>
        <v>5.8318988520792694E-3</v>
      </c>
      <c r="J216">
        <f>_xlfn.NORM.S.INV(0.99)*I216*SQRT(10)</f>
        <v>4.2902701641428398E-2</v>
      </c>
      <c r="K216">
        <f>LN(B225)-LN(B216)</f>
        <v>3.2624009664532494E-3</v>
      </c>
      <c r="L216">
        <f>IF(K216&lt;-(J216),1,0)</f>
        <v>0</v>
      </c>
      <c r="M216" s="72">
        <f t="shared" si="2"/>
        <v>4.0782062200082306E-2</v>
      </c>
      <c r="N216">
        <f>SQRT((N215^2)*0.72+(1-0.72)*(C215^2))</f>
        <v>5.5474092280022556E-3</v>
      </c>
      <c r="O216">
        <f>_xlfn.NORM.S.INV(0.99)*N216*SQRT(10)</f>
        <v>4.0809837246582693E-2</v>
      </c>
      <c r="P216">
        <f>LN(B225)-LN(B216)</f>
        <v>3.2624009664532494E-3</v>
      </c>
      <c r="Q216">
        <f>IF(P216&lt;-(O216),1,0)</f>
        <v>0</v>
      </c>
    </row>
    <row r="217" spans="1:17">
      <c r="A217" s="64">
        <v>41604</v>
      </c>
      <c r="B217">
        <v>1802.75</v>
      </c>
      <c r="C217" s="68">
        <f>LN(B217)-LN(B216)</f>
        <v>1.4979349556210053E-4</v>
      </c>
      <c r="D217" s="68"/>
      <c r="E217" s="68"/>
      <c r="F217" s="68"/>
      <c r="G217" s="68"/>
      <c r="H217" s="68"/>
      <c r="I217">
        <f>_xlfn.STDEV.S(C197:C217)</f>
        <v>5.8356836705612293E-3</v>
      </c>
      <c r="J217">
        <f>_xlfn.NORM.S.INV(0.99)*I217*SQRT(10)</f>
        <v>4.2930544877776811E-2</v>
      </c>
      <c r="K217">
        <f>LN(B226)-LN(B217)</f>
        <v>-7.2117424972262256E-5</v>
      </c>
      <c r="L217">
        <f>IF(K217&lt;-(J217),1,0)</f>
        <v>0</v>
      </c>
      <c r="M217" s="72">
        <f t="shared" ref="M217:M280" si="3">EWMAV(B196:B216,0.72,0.99)*SQRT(10)</f>
        <v>3.495233078820284E-2</v>
      </c>
      <c r="N217">
        <f>SQRT((N216^2)*0.72+(1-0.72)*(C216^2))</f>
        <v>4.7544246969880161E-3</v>
      </c>
      <c r="O217">
        <f>_xlfn.NORM.S.INV(0.99)*N217*SQRT(10)</f>
        <v>3.4976200620967658E-2</v>
      </c>
      <c r="P217">
        <f>LN(B226)-LN(B217)</f>
        <v>-7.2117424972262256E-5</v>
      </c>
      <c r="Q217">
        <f>IF(P217&lt;-(O217),1,0)</f>
        <v>0</v>
      </c>
    </row>
    <row r="218" spans="1:17">
      <c r="A218" s="64">
        <v>41605</v>
      </c>
      <c r="B218">
        <v>1807.2299800000001</v>
      </c>
      <c r="C218" s="68">
        <f>LN(B218)-LN(B217)</f>
        <v>2.4819984180863841E-3</v>
      </c>
      <c r="D218" s="68"/>
      <c r="E218" s="68"/>
      <c r="F218" s="68"/>
      <c r="G218" s="68"/>
      <c r="H218" s="68"/>
      <c r="I218">
        <f>_xlfn.STDEV.S(C198:C218)</f>
        <v>5.7554477438348855E-3</v>
      </c>
      <c r="J218">
        <f>_xlfn.NORM.S.INV(0.99)*I218*SQRT(10)</f>
        <v>4.2340284636202749E-2</v>
      </c>
      <c r="K218">
        <f>LN(B227)-LN(B218)</f>
        <v>-1.3935513286080337E-2</v>
      </c>
      <c r="L218">
        <f>IF(K218&lt;-(J218),1,0)</f>
        <v>0</v>
      </c>
      <c r="M218" s="72">
        <f t="shared" si="3"/>
        <v>2.965266366944206E-2</v>
      </c>
      <c r="N218">
        <f>SQRT((N217^2)*0.72+(1-0.72)*(C217^2))</f>
        <v>4.0350417208604994E-3</v>
      </c>
      <c r="O218">
        <f>_xlfn.NORM.S.INV(0.99)*N218*SQRT(10)</f>
        <v>2.9684018096279699E-2</v>
      </c>
      <c r="P218">
        <f>LN(B227)-LN(B218)</f>
        <v>-1.3935513286080337E-2</v>
      </c>
      <c r="Q218">
        <f>IF(P218&lt;-(O218),1,0)</f>
        <v>0</v>
      </c>
    </row>
    <row r="219" spans="1:17">
      <c r="A219" s="64">
        <v>41607</v>
      </c>
      <c r="B219">
        <v>1805.8100589999999</v>
      </c>
      <c r="C219" s="68">
        <f>LN(B219)-LN(B218)</f>
        <v>-7.859979727733446E-4</v>
      </c>
      <c r="D219" s="68"/>
      <c r="E219" s="68"/>
      <c r="F219" s="68"/>
      <c r="G219" s="68"/>
      <c r="H219" s="68"/>
      <c r="I219">
        <f>_xlfn.STDEV.S(C199:C219)</f>
        <v>5.6157257420661371E-3</v>
      </c>
      <c r="J219">
        <f>_xlfn.NORM.S.INV(0.99)*I219*SQRT(10)</f>
        <v>4.1312411638630003E-2</v>
      </c>
      <c r="K219">
        <f>LN(B228)-LN(B219)</f>
        <v>-1.6927203859038897E-2</v>
      </c>
      <c r="L219">
        <f>IF(K219&lt;-(J219),1,0)</f>
        <v>0</v>
      </c>
      <c r="M219" s="72">
        <f t="shared" si="3"/>
        <v>2.6942969943505046E-2</v>
      </c>
      <c r="N219">
        <f>SQRT((N218^2)*0.72+(1-0.72)*(C218^2))</f>
        <v>3.6670987084353795E-3</v>
      </c>
      <c r="O219">
        <f>_xlfn.NORM.S.INV(0.99)*N219*SQRT(10)</f>
        <v>2.6977224017110245E-2</v>
      </c>
      <c r="P219">
        <f>LN(B228)-LN(B219)</f>
        <v>-1.6927203859038897E-2</v>
      </c>
      <c r="Q219">
        <f>IF(P219&lt;-(O219),1,0)</f>
        <v>0</v>
      </c>
    </row>
    <row r="220" spans="1:17">
      <c r="A220" s="64">
        <v>41610</v>
      </c>
      <c r="B220">
        <v>1800.900024</v>
      </c>
      <c r="C220" s="68">
        <f>LN(B220)-LN(B219)</f>
        <v>-2.7227239896046029E-3</v>
      </c>
      <c r="D220" s="68"/>
      <c r="E220" s="68"/>
      <c r="F220" s="68"/>
      <c r="G220" s="68"/>
      <c r="H220" s="68"/>
      <c r="I220">
        <f>_xlfn.STDEV.S(C200:C220)</f>
        <v>5.5710560873679146E-3</v>
      </c>
      <c r="J220">
        <f>_xlfn.NORM.S.INV(0.99)*I220*SQRT(10)</f>
        <v>4.0983796736939762E-2</v>
      </c>
      <c r="K220">
        <f>LN(B229)-LN(B220)</f>
        <v>-1.4305895318763362E-2</v>
      </c>
      <c r="L220">
        <f>IF(K220&lt;-(J220),1,0)</f>
        <v>0</v>
      </c>
      <c r="M220" s="72">
        <f t="shared" si="3"/>
        <v>2.3058887911432683E-2</v>
      </c>
      <c r="N220">
        <f>SQRT((N219^2)*0.72+(1-0.72)*(C219^2))</f>
        <v>3.1393093671428967E-3</v>
      </c>
      <c r="O220">
        <f>_xlfn.NORM.S.INV(0.99)*N220*SQRT(10)</f>
        <v>2.3094511162629887E-2</v>
      </c>
      <c r="P220">
        <f>LN(B229)-LN(B220)</f>
        <v>-1.4305895318763362E-2</v>
      </c>
      <c r="Q220">
        <f>IF(P220&lt;-(O220),1,0)</f>
        <v>0</v>
      </c>
    </row>
    <row r="221" spans="1:17">
      <c r="A221" s="64">
        <v>41611</v>
      </c>
      <c r="B221">
        <v>1795.150024</v>
      </c>
      <c r="C221" s="68">
        <f>LN(B221)-LN(B220)</f>
        <v>-3.1979559926300638E-3</v>
      </c>
      <c r="D221" s="68"/>
      <c r="E221" s="68"/>
      <c r="F221" s="68"/>
      <c r="G221" s="68"/>
      <c r="H221" s="68"/>
      <c r="I221">
        <f>_xlfn.STDEV.S(C201:C221)</f>
        <v>5.6358987516682427E-3</v>
      </c>
      <c r="J221">
        <f>_xlfn.NORM.S.INV(0.99)*I221*SQRT(10)</f>
        <v>4.146081555202439E-2</v>
      </c>
      <c r="K221">
        <f>LN(B230)-LN(B221)</f>
        <v>-4.8077870688976176E-3</v>
      </c>
      <c r="L221">
        <f>IF(K221&lt;-(J221),1,0)</f>
        <v>0</v>
      </c>
      <c r="M221" s="72">
        <f t="shared" si="3"/>
        <v>2.2248352763516163E-2</v>
      </c>
      <c r="N221">
        <f>SQRT((N220^2)*0.72+(1-0.72)*(C220^2))</f>
        <v>3.0284472649352127E-3</v>
      </c>
      <c r="O221">
        <f>_xlfn.NORM.S.INV(0.99)*N221*SQRT(10)</f>
        <v>2.2278947687508568E-2</v>
      </c>
      <c r="P221">
        <f>LN(B230)-LN(B221)</f>
        <v>-4.8077870688976176E-3</v>
      </c>
      <c r="Q221">
        <f>IF(P221&lt;-(O221),1,0)</f>
        <v>0</v>
      </c>
    </row>
    <row r="222" spans="1:17">
      <c r="A222" s="64">
        <v>41612</v>
      </c>
      <c r="B222">
        <v>1792.8100589999999</v>
      </c>
      <c r="C222" s="68">
        <f>LN(B222)-LN(B221)</f>
        <v>-1.3043430125314615E-3</v>
      </c>
      <c r="D222" s="68"/>
      <c r="E222" s="68"/>
      <c r="F222" s="68"/>
      <c r="G222" s="68"/>
      <c r="H222" s="68"/>
      <c r="I222">
        <f>_xlfn.STDEV.S(C202:C222)</f>
        <v>5.6208243107639414E-3</v>
      </c>
      <c r="J222">
        <f>_xlfn.NORM.S.INV(0.99)*I222*SQRT(10)</f>
        <v>4.1349919554522996E-2</v>
      </c>
      <c r="K222">
        <f>LN(B231)-LN(B222)</f>
        <v>-6.6092499577541375E-3</v>
      </c>
      <c r="L222">
        <f>IF(K222&lt;-(J222),1,0)</f>
        <v>0</v>
      </c>
      <c r="M222" s="72">
        <f t="shared" si="3"/>
        <v>2.2607389728472198E-2</v>
      </c>
      <c r="N222">
        <f>SQRT((N221^2)*0.72+(1-0.72)*(C221^2))</f>
        <v>3.0768511746425047E-3</v>
      </c>
      <c r="O222">
        <f>_xlfn.NORM.S.INV(0.99)*N222*SQRT(10)</f>
        <v>2.263503385243068E-2</v>
      </c>
      <c r="P222">
        <f>LN(B231)-LN(B222)</f>
        <v>-6.6092499577541375E-3</v>
      </c>
      <c r="Q222">
        <f>IF(P222&lt;-(O222),1,0)</f>
        <v>0</v>
      </c>
    </row>
    <row r="223" spans="1:17">
      <c r="A223" s="64">
        <v>41613</v>
      </c>
      <c r="B223">
        <v>1785.030029</v>
      </c>
      <c r="C223" s="68">
        <f>LN(B223)-LN(B222)</f>
        <v>-4.3490162059933724E-3</v>
      </c>
      <c r="D223" s="68"/>
      <c r="E223" s="68"/>
      <c r="F223" s="68"/>
      <c r="G223" s="68"/>
      <c r="H223" s="68"/>
      <c r="I223">
        <f>_xlfn.STDEV.S(C203:C223)</f>
        <v>5.6781594700511034E-3</v>
      </c>
      <c r="J223">
        <f>_xlfn.NORM.S.INV(0.99)*I223*SQRT(10)</f>
        <v>4.1771708974204701E-2</v>
      </c>
      <c r="K223">
        <f>LN(B232)-LN(B223)</f>
        <v>1.425067202873187E-2</v>
      </c>
      <c r="L223">
        <f>IF(K223&lt;-(J223),1,0)</f>
        <v>0</v>
      </c>
      <c r="M223" s="72">
        <f t="shared" si="3"/>
        <v>1.9839368721064229E-2</v>
      </c>
      <c r="N223">
        <f>SQRT((N222^2)*0.72+(1-0.72)*(C222^2))</f>
        <v>2.7004844867286968E-3</v>
      </c>
      <c r="O223">
        <f>_xlfn.NORM.S.INV(0.99)*N223*SQRT(10)</f>
        <v>1.9866270516697981E-2</v>
      </c>
      <c r="P223">
        <f>LN(B232)-LN(B223)</f>
        <v>1.425067202873187E-2</v>
      </c>
      <c r="Q223">
        <f>IF(P223&lt;-(O223),1,0)</f>
        <v>0</v>
      </c>
    </row>
    <row r="224" spans="1:17">
      <c r="A224" s="64">
        <v>41614</v>
      </c>
      <c r="B224">
        <v>1805.089966</v>
      </c>
      <c r="C224" s="68">
        <f>LN(B224)-LN(B223)</f>
        <v>1.1175195142734573E-2</v>
      </c>
      <c r="D224" s="68"/>
      <c r="E224" s="68"/>
      <c r="F224" s="68"/>
      <c r="G224" s="68"/>
      <c r="H224" s="68"/>
      <c r="I224">
        <f>_xlfn.STDEV.S(C204:C224)</f>
        <v>6.0873799999865115E-3</v>
      </c>
      <c r="J224">
        <f>_xlfn.NORM.S.INV(0.99)*I224*SQRT(10)</f>
        <v>4.4782163501396383E-2</v>
      </c>
      <c r="K224">
        <f>LN(B233)-LN(B224)</f>
        <v>2.49537991509996E-3</v>
      </c>
      <c r="L224">
        <f>IF(K224&lt;-(J224),1,0)</f>
        <v>0</v>
      </c>
      <c r="M224" s="72">
        <f t="shared" si="3"/>
        <v>2.3866635672225706E-2</v>
      </c>
      <c r="N224">
        <f>SQRT((N223^2)*0.72+(1-0.72)*(C223^2))</f>
        <v>3.2475510161047404E-3</v>
      </c>
      <c r="O224">
        <f>_xlfn.NORM.S.INV(0.99)*N224*SQRT(10)</f>
        <v>2.3890797121692859E-2</v>
      </c>
      <c r="P224">
        <f>LN(B233)-LN(B224)</f>
        <v>2.49537991509996E-3</v>
      </c>
      <c r="Q224">
        <f>IF(P224&lt;-(O224),1,0)</f>
        <v>0</v>
      </c>
    </row>
    <row r="225" spans="1:17">
      <c r="A225" s="64">
        <v>41617</v>
      </c>
      <c r="B225">
        <v>1808.369995</v>
      </c>
      <c r="C225" s="68">
        <f>LN(B225)-LN(B224)</f>
        <v>1.8154510836030369E-3</v>
      </c>
      <c r="D225" s="68"/>
      <c r="E225" s="68"/>
      <c r="F225" s="68"/>
      <c r="G225" s="68"/>
      <c r="H225" s="68"/>
      <c r="I225">
        <f>_xlfn.STDEV.S(C205:C225)</f>
        <v>5.1462167800295734E-3</v>
      </c>
      <c r="J225">
        <f>_xlfn.NORM.S.INV(0.99)*I225*SQRT(10)</f>
        <v>3.7858441769270952E-2</v>
      </c>
      <c r="K225">
        <f>LN(B234)-LN(B225)</f>
        <v>5.4870838844003345E-3</v>
      </c>
      <c r="L225">
        <f>IF(K225&lt;-(J225),1,0)</f>
        <v>0</v>
      </c>
      <c r="M225" s="72">
        <f t="shared" si="3"/>
        <v>4.7945838900840913E-2</v>
      </c>
      <c r="N225">
        <f>SQRT((N224^2)*0.72+(1-0.72)*(C224^2))</f>
        <v>6.5239052175427607E-3</v>
      </c>
      <c r="O225">
        <f>_xlfn.NORM.S.INV(0.99)*N225*SQRT(10)</f>
        <v>4.7993486544336023E-2</v>
      </c>
      <c r="P225">
        <f>LN(B234)-LN(B225)</f>
        <v>5.4870838844003345E-3</v>
      </c>
      <c r="Q225">
        <f>IF(P225&lt;-(O225),1,0)</f>
        <v>0</v>
      </c>
    </row>
    <row r="226" spans="1:17">
      <c r="A226" s="64">
        <v>41618</v>
      </c>
      <c r="B226">
        <v>1802.619995</v>
      </c>
      <c r="C226" s="68">
        <f>LN(B226)-LN(B225)</f>
        <v>-3.1847248958634111E-3</v>
      </c>
      <c r="D226" s="68"/>
      <c r="E226" s="68"/>
      <c r="F226" s="68"/>
      <c r="G226" s="68"/>
      <c r="H226" s="68"/>
      <c r="I226">
        <f>_xlfn.STDEV.S(C206:C226)</f>
        <v>4.4894345133733495E-3</v>
      </c>
      <c r="J226">
        <f>_xlfn.NORM.S.INV(0.99)*I226*SQRT(10)</f>
        <v>3.3026784989132064E-2</v>
      </c>
      <c r="K226">
        <f>LN(B235)-LN(B226)</f>
        <v>1.3975837697228322E-2</v>
      </c>
      <c r="L226">
        <f>IF(K226&lt;-(J226),1,0)</f>
        <v>0</v>
      </c>
      <c r="M226" s="72">
        <f t="shared" si="3"/>
        <v>4.1246853463972492E-2</v>
      </c>
      <c r="N226">
        <f>SQRT((N225^2)*0.72+(1-0.72)*(C225^2))</f>
        <v>5.6184522624415272E-3</v>
      </c>
      <c r="O226">
        <f>_xlfn.NORM.S.INV(0.99)*N226*SQRT(10)</f>
        <v>4.1332469443669424E-2</v>
      </c>
      <c r="P226">
        <f>LN(B235)-LN(B226)</f>
        <v>1.3975837697228322E-2</v>
      </c>
      <c r="Q226">
        <f>IF(P226&lt;-(O226),1,0)</f>
        <v>0</v>
      </c>
    </row>
    <row r="227" spans="1:17">
      <c r="A227" s="64">
        <v>41619</v>
      </c>
      <c r="B227">
        <v>1782.219971</v>
      </c>
      <c r="C227" s="68">
        <f>LN(B227)-LN(B226)</f>
        <v>-1.138139744302169E-2</v>
      </c>
      <c r="D227" s="68"/>
      <c r="E227" s="68"/>
      <c r="F227" s="68"/>
      <c r="G227" s="68"/>
      <c r="H227" s="68"/>
      <c r="I227">
        <f>_xlfn.STDEV.S(C207:C227)</f>
        <v>5.2239449314866781E-3</v>
      </c>
      <c r="J227">
        <f>_xlfn.NORM.S.INV(0.99)*I227*SQRT(10)</f>
        <v>3.8430253416846936E-2</v>
      </c>
      <c r="K227">
        <f>LN(B236)-LN(B227)</f>
        <v>2.8268739415098665E-2</v>
      </c>
      <c r="L227">
        <f>IF(K227&lt;-(J227),1,0)</f>
        <v>0</v>
      </c>
      <c r="M227" s="72">
        <f t="shared" si="3"/>
        <v>3.7129758763884552E-2</v>
      </c>
      <c r="N227">
        <f>SQRT((N226^2)*0.72+(1-0.72)*(C226^2))</f>
        <v>5.056494491215602E-3</v>
      </c>
      <c r="O227">
        <f>_xlfn.NORM.S.INV(0.99)*N227*SQRT(10)</f>
        <v>3.7198394555626388E-2</v>
      </c>
      <c r="P227">
        <f>LN(B236)-LN(B227)</f>
        <v>2.8268739415098665E-2</v>
      </c>
      <c r="Q227">
        <f>IF(P227&lt;-(O227),1,0)</f>
        <v>0</v>
      </c>
    </row>
    <row r="228" spans="1:17">
      <c r="A228" s="64">
        <v>41620</v>
      </c>
      <c r="B228">
        <v>1775.5</v>
      </c>
      <c r="C228" s="68">
        <f>LN(B228)-LN(B227)</f>
        <v>-3.7776885457319054E-3</v>
      </c>
      <c r="D228" s="68"/>
      <c r="E228" s="68"/>
      <c r="F228" s="68"/>
      <c r="G228" s="68"/>
      <c r="H228" s="68"/>
      <c r="I228">
        <f>_xlfn.STDEV.S(C208:C228)</f>
        <v>5.2683700101349663E-3</v>
      </c>
      <c r="J228">
        <f>_xlfn.NORM.S.INV(0.99)*I228*SQRT(10)</f>
        <v>3.8757069080661989E-2</v>
      </c>
      <c r="K228">
        <f>LN(B237)-LN(B228)</f>
        <v>3.678073299411011E-2</v>
      </c>
      <c r="L228">
        <f>IF(K228&lt;-(J228),1,0)</f>
        <v>0</v>
      </c>
      <c r="M228" s="72">
        <f t="shared" si="3"/>
        <v>5.4363476994910009E-2</v>
      </c>
      <c r="N228">
        <f>SQRT((N227^2)*0.72+(1-0.72)*(C227^2))</f>
        <v>7.3945382871593327E-3</v>
      </c>
      <c r="O228">
        <f>_xlfn.NORM.S.INV(0.99)*N228*SQRT(10)</f>
        <v>5.4398349140950389E-2</v>
      </c>
      <c r="P228">
        <f>LN(B237)-LN(B228)</f>
        <v>3.678073299411011E-2</v>
      </c>
      <c r="Q228">
        <f>IF(P228&lt;-(O228),1,0)</f>
        <v>0</v>
      </c>
    </row>
    <row r="229" spans="1:17">
      <c r="A229" s="64">
        <v>41621</v>
      </c>
      <c r="B229">
        <v>1775.3199460000001</v>
      </c>
      <c r="C229" s="68">
        <f>LN(B229)-LN(B228)</f>
        <v>-1.0141544932906754E-4</v>
      </c>
      <c r="D229" s="68"/>
      <c r="E229" s="68"/>
      <c r="F229" s="68"/>
      <c r="G229" s="68"/>
      <c r="H229" s="68"/>
      <c r="I229">
        <f>_xlfn.STDEV.S(C209:C229)</f>
        <v>4.9516186768749889E-3</v>
      </c>
      <c r="J229">
        <f>_xlfn.NORM.S.INV(0.99)*I229*SQRT(10)</f>
        <v>3.642686955387623E-2</v>
      </c>
      <c r="K229">
        <f>LN(B238)-LN(B229)</f>
        <v>3.654550695349279E-2</v>
      </c>
      <c r="L229">
        <f>IF(K229&lt;-(J229),1,0)</f>
        <v>0</v>
      </c>
      <c r="M229" s="72">
        <f t="shared" si="3"/>
        <v>4.8401963531602948E-2</v>
      </c>
      <c r="N229">
        <f>SQRT((N228^2)*0.72+(1-0.72)*(C228^2))</f>
        <v>6.5852017490268385E-3</v>
      </c>
      <c r="O229">
        <f>_xlfn.NORM.S.INV(0.99)*N229*SQRT(10)</f>
        <v>4.8444418027994762E-2</v>
      </c>
      <c r="P229">
        <f>LN(B238)-LN(B229)</f>
        <v>3.654550695349279E-2</v>
      </c>
      <c r="Q229">
        <f>IF(P229&lt;-(O229),1,0)</f>
        <v>0</v>
      </c>
    </row>
    <row r="230" spans="1:17">
      <c r="A230" s="64">
        <v>41624</v>
      </c>
      <c r="B230">
        <v>1786.540039</v>
      </c>
      <c r="C230" s="68">
        <f>LN(B230)-LN(B229)</f>
        <v>6.3001522572356805E-3</v>
      </c>
      <c r="D230" s="68"/>
      <c r="E230" s="68"/>
      <c r="F230" s="68"/>
      <c r="G230" s="68"/>
      <c r="H230" s="68"/>
      <c r="I230">
        <f>_xlfn.STDEV.S(C210:C230)</f>
        <v>5.0358711732258607E-3</v>
      </c>
      <c r="J230">
        <f>_xlfn.NORM.S.INV(0.99)*I230*SQRT(10)</f>
        <v>3.704667792250016E-2</v>
      </c>
      <c r="K230">
        <f>LN(B239)-LN(B230)</f>
        <v>3.0066084802097492E-2</v>
      </c>
      <c r="L230">
        <f>IF(K230&lt;-(J230),1,0)</f>
        <v>0</v>
      </c>
      <c r="M230" s="72">
        <f t="shared" si="3"/>
        <v>4.106630370851979E-2</v>
      </c>
      <c r="N230">
        <f>SQRT((N229^2)*0.72+(1-0.72)*(C229^2))</f>
        <v>5.5879866607231217E-3</v>
      </c>
      <c r="O230">
        <f>_xlfn.NORM.S.INV(0.99)*N230*SQRT(10)</f>
        <v>4.1108347480308331E-2</v>
      </c>
      <c r="P230">
        <f>LN(B239)-LN(B230)</f>
        <v>3.0066084802097492E-2</v>
      </c>
      <c r="Q230">
        <f>IF(P230&lt;-(O230),1,0)</f>
        <v>0</v>
      </c>
    </row>
    <row r="231" spans="1:17">
      <c r="A231" s="64">
        <v>41625</v>
      </c>
      <c r="B231">
        <v>1781</v>
      </c>
      <c r="C231" s="68">
        <f>LN(B231)-LN(B230)</f>
        <v>-3.1058059013879813E-3</v>
      </c>
      <c r="D231" s="68"/>
      <c r="E231" s="68"/>
      <c r="F231" s="68"/>
      <c r="G231" s="68"/>
      <c r="H231" s="68"/>
      <c r="I231">
        <f>_xlfn.STDEV.S(C211:C231)</f>
        <v>4.9747087748712466E-3</v>
      </c>
      <c r="J231">
        <f>_xlfn.NORM.S.INV(0.99)*I231*SQRT(10)</f>
        <v>3.6596733196976219E-2</v>
      </c>
      <c r="K231">
        <f>LN(B240)-LN(B231)</f>
        <v>3.7123747019403019E-2</v>
      </c>
      <c r="L231">
        <f>IF(K231&lt;-(J231),1,0)</f>
        <v>0</v>
      </c>
      <c r="M231" s="72">
        <f t="shared" si="3"/>
        <v>4.2606624296836308E-2</v>
      </c>
      <c r="N231">
        <f>SQRT((N230^2)*0.72+(1-0.72)*(C230^2))</f>
        <v>5.7962199330874762E-3</v>
      </c>
      <c r="O231">
        <f>_xlfn.NORM.S.INV(0.99)*N231*SQRT(10)</f>
        <v>4.2640227607632732E-2</v>
      </c>
      <c r="P231">
        <f>LN(B240)-LN(B231)</f>
        <v>3.7123747019403019E-2</v>
      </c>
      <c r="Q231">
        <f>IF(P231&lt;-(O231),1,0)</f>
        <v>0</v>
      </c>
    </row>
    <row r="232" spans="1:17">
      <c r="A232" s="64">
        <v>41626</v>
      </c>
      <c r="B232">
        <v>1810.650024</v>
      </c>
      <c r="C232" s="68">
        <f>LN(B232)-LN(B231)</f>
        <v>1.6510905780492635E-2</v>
      </c>
      <c r="D232" s="68"/>
      <c r="E232" s="68"/>
      <c r="F232" s="68"/>
      <c r="G232" s="68"/>
      <c r="H232" s="68"/>
      <c r="I232">
        <f>_xlfn.STDEV.S(C212:C232)</f>
        <v>6.1353860726819339E-3</v>
      </c>
      <c r="J232">
        <f>_xlfn.NORM.S.INV(0.99)*I232*SQRT(10)</f>
        <v>4.5135322955301198E-2</v>
      </c>
      <c r="K232">
        <f>LN(B241)-LN(B232)</f>
        <v>1.1711428156613302E-2</v>
      </c>
      <c r="L232">
        <f>IF(K232&lt;-(J232),1,0)</f>
        <v>0</v>
      </c>
      <c r="M232" s="72">
        <f t="shared" si="3"/>
        <v>3.8117072994936968E-2</v>
      </c>
      <c r="N232">
        <f>SQRT((N231^2)*0.72+(1-0.72)*(C231^2))</f>
        <v>5.1855691734221249E-3</v>
      </c>
      <c r="O232">
        <f>_xlfn.NORM.S.INV(0.99)*N232*SQRT(10)</f>
        <v>3.8147939930233542E-2</v>
      </c>
      <c r="P232">
        <f>LN(B241)-LN(B232)</f>
        <v>1.1711428156613302E-2</v>
      </c>
      <c r="Q232">
        <f>IF(P232&lt;-(O232),1,0)</f>
        <v>0</v>
      </c>
    </row>
    <row r="233" spans="1:17">
      <c r="A233" s="64">
        <v>41627</v>
      </c>
      <c r="B233">
        <v>1809.599976</v>
      </c>
      <c r="C233" s="68">
        <f>LN(B233)-LN(B232)</f>
        <v>-5.8009697089733692E-4</v>
      </c>
      <c r="D233" s="68"/>
      <c r="E233" s="68"/>
      <c r="F233" s="68"/>
      <c r="G233" s="68"/>
      <c r="H233" s="68"/>
      <c r="I233">
        <f>_xlfn.STDEV.S(C213:C233)</f>
        <v>6.113224126598862E-3</v>
      </c>
      <c r="J233">
        <f>_xlfn.NORM.S.INV(0.99)*I233*SQRT(10)</f>
        <v>4.4972287315501569E-2</v>
      </c>
      <c r="K233">
        <f>LN(B242)-LN(B233)</f>
        <v>1.1958504799231662E-2</v>
      </c>
      <c r="L233">
        <f>IF(K233&lt;-(J233),1,0)</f>
        <v>0</v>
      </c>
      <c r="M233" s="72">
        <f t="shared" si="3"/>
        <v>7.1951023150090637E-2</v>
      </c>
      <c r="N233">
        <f>SQRT((N232^2)*0.72+(1-0.72)*(C232^2))</f>
        <v>9.7822131761444667E-3</v>
      </c>
      <c r="O233">
        <f>_xlfn.NORM.S.INV(0.99)*N233*SQRT(10)</f>
        <v>7.1963417736462351E-2</v>
      </c>
      <c r="P233">
        <f>LN(B242)-LN(B233)</f>
        <v>1.1958504799231662E-2</v>
      </c>
      <c r="Q233">
        <f>IF(P233&lt;-(O233),1,0)</f>
        <v>0</v>
      </c>
    </row>
    <row r="234" spans="1:17">
      <c r="A234" s="64">
        <v>41628</v>
      </c>
      <c r="B234">
        <v>1818.3199460000001</v>
      </c>
      <c r="C234" s="68">
        <f>LN(B234)-LN(B233)</f>
        <v>4.8071550529034113E-3</v>
      </c>
      <c r="D234" s="68"/>
      <c r="E234" s="68"/>
      <c r="F234" s="68"/>
      <c r="G234" s="68"/>
      <c r="H234" s="68"/>
      <c r="I234">
        <f>_xlfn.STDEV.S(C214:C234)</f>
        <v>6.0998028897396748E-3</v>
      </c>
      <c r="J234">
        <f>_xlfn.NORM.S.INV(0.99)*I234*SQRT(10)</f>
        <v>4.4873553209298173E-2</v>
      </c>
      <c r="K234">
        <f>LN(B243)-LN(B234)</f>
        <v>4.6364228131574592E-3</v>
      </c>
      <c r="L234">
        <f>IF(K234&lt;-(J234),1,0)</f>
        <v>0</v>
      </c>
      <c r="M234" s="72">
        <f t="shared" si="3"/>
        <v>6.1091908747577438E-2</v>
      </c>
      <c r="N234">
        <f>SQRT((N233^2)*0.72+(1-0.72)*(C233^2))</f>
        <v>8.3061569710501607E-3</v>
      </c>
      <c r="O234">
        <f>_xlfn.NORM.S.INV(0.99)*N234*SQRT(10)</f>
        <v>6.1104724782526446E-2</v>
      </c>
      <c r="P234">
        <f>LN(B243)-LN(B234)</f>
        <v>4.6364228131574592E-3</v>
      </c>
      <c r="Q234">
        <f>IF(P234&lt;-(O234),1,0)</f>
        <v>0</v>
      </c>
    </row>
    <row r="235" spans="1:17">
      <c r="A235" s="64">
        <v>41631</v>
      </c>
      <c r="B235">
        <v>1827.98999</v>
      </c>
      <c r="C235" s="68">
        <f>LN(B235)-LN(B234)</f>
        <v>5.304028916964576E-3</v>
      </c>
      <c r="D235" s="68"/>
      <c r="E235" s="68"/>
      <c r="F235" s="68"/>
      <c r="G235" s="68"/>
      <c r="H235" s="68"/>
      <c r="I235">
        <f>_xlfn.STDEV.S(C215:C235)</f>
        <v>5.965867569090442E-3</v>
      </c>
      <c r="J235">
        <f>_xlfn.NORM.S.INV(0.99)*I235*SQRT(10)</f>
        <v>4.3888250266498612E-2</v>
      </c>
      <c r="K235">
        <f>LN(B244)-LN(B235)</f>
        <v>5.3957390787466863E-3</v>
      </c>
      <c r="L235">
        <f>IF(K235&lt;-(J235),1,0)</f>
        <v>0</v>
      </c>
      <c r="M235" s="72">
        <f t="shared" si="3"/>
        <v>5.509973707305503E-2</v>
      </c>
      <c r="N235">
        <f>SQRT((N234^2)*0.72+(1-0.72)*(C234^2))</f>
        <v>7.4929875569565351E-3</v>
      </c>
      <c r="O235">
        <f>_xlfn.NORM.S.INV(0.99)*N235*SQRT(10)</f>
        <v>5.5122596895593796E-2</v>
      </c>
      <c r="P235">
        <f>LN(B244)-LN(B235)</f>
        <v>5.3957390787466863E-3</v>
      </c>
      <c r="Q235">
        <f>IF(P235&lt;-(O235),1,0)</f>
        <v>0</v>
      </c>
    </row>
    <row r="236" spans="1:17">
      <c r="A236" s="64">
        <v>41632</v>
      </c>
      <c r="B236">
        <v>1833.3199460000001</v>
      </c>
      <c r="C236" s="68">
        <f>LN(B236)-LN(B235)</f>
        <v>2.911504274848653E-3</v>
      </c>
      <c r="D236" s="68"/>
      <c r="E236" s="68"/>
      <c r="F236" s="68"/>
      <c r="G236" s="68"/>
      <c r="H236" s="68"/>
      <c r="I236">
        <f>_xlfn.STDEV.S(C216:C236)</f>
        <v>5.9121003323328123E-3</v>
      </c>
      <c r="J236">
        <f>_xlfn.NORM.S.INV(0.99)*I236*SQRT(10)</f>
        <v>4.3492708475530453E-2</v>
      </c>
      <c r="K236">
        <f>LN(B245)-LN(B236)</f>
        <v>2.2720031091321147E-3</v>
      </c>
      <c r="L236">
        <f>IF(K236&lt;-(J236),1,0)</f>
        <v>0</v>
      </c>
      <c r="M236" s="72">
        <f t="shared" si="3"/>
        <v>5.1104694342557329E-2</v>
      </c>
      <c r="N236">
        <f>SQRT((N235^2)*0.72+(1-0.72)*(C235^2))</f>
        <v>6.9499254234291555E-3</v>
      </c>
      <c r="O236">
        <f>_xlfn.NORM.S.INV(0.99)*N236*SQRT(10)</f>
        <v>5.1127528860561613E-2</v>
      </c>
      <c r="P236">
        <f>LN(B245)-LN(B236)</f>
        <v>2.2720031091321147E-3</v>
      </c>
      <c r="Q236">
        <f>IF(P236&lt;-(O236),1,0)</f>
        <v>0</v>
      </c>
    </row>
    <row r="237" spans="1:17">
      <c r="A237" s="64">
        <v>41634</v>
      </c>
      <c r="B237">
        <v>1842.0200199999999</v>
      </c>
      <c r="C237" s="68">
        <f>LN(B237)-LN(B236)</f>
        <v>4.73430503327954E-3</v>
      </c>
      <c r="D237" s="68"/>
      <c r="E237" s="68"/>
      <c r="F237" s="68"/>
      <c r="G237" s="68"/>
      <c r="H237" s="68"/>
      <c r="I237">
        <f>_xlfn.STDEV.S(C217:C237)</f>
        <v>5.9547930016579653E-3</v>
      </c>
      <c r="J237">
        <f>_xlfn.NORM.S.INV(0.99)*I237*SQRT(10)</f>
        <v>4.380677956983281E-2</v>
      </c>
      <c r="K237">
        <f>LN(B246)-LN(B237)</f>
        <v>-2.1140531893273362E-3</v>
      </c>
      <c r="L237">
        <f>IF(K237&lt;-(J237),1,0)</f>
        <v>0</v>
      </c>
      <c r="M237" s="72">
        <f t="shared" si="3"/>
        <v>4.4820030100428773E-2</v>
      </c>
      <c r="N237">
        <f>SQRT((N236^2)*0.72+(1-0.72)*(C236^2))</f>
        <v>6.0951270406426096E-3</v>
      </c>
      <c r="O237">
        <f>_xlfn.NORM.S.INV(0.99)*N237*SQRT(10)</f>
        <v>4.4839155054628502E-2</v>
      </c>
      <c r="P237">
        <f>LN(B246)-LN(B237)</f>
        <v>-2.1140531893273362E-3</v>
      </c>
      <c r="Q237">
        <f>IF(P237&lt;-(O237),1,0)</f>
        <v>0</v>
      </c>
    </row>
    <row r="238" spans="1:17">
      <c r="A238" s="64">
        <v>41635</v>
      </c>
      <c r="B238">
        <v>1841.400024</v>
      </c>
      <c r="C238" s="68">
        <f>LN(B238)-LN(B237)</f>
        <v>-3.3664148994638765E-4</v>
      </c>
      <c r="D238" s="68"/>
      <c r="E238" s="68"/>
      <c r="F238" s="68"/>
      <c r="G238" s="68"/>
      <c r="H238" s="68"/>
      <c r="I238">
        <f>_xlfn.STDEV.S(C218:C238)</f>
        <v>5.9593459510764776E-3</v>
      </c>
      <c r="J238">
        <f>_xlfn.NORM.S.INV(0.99)*I238*SQRT(10)</f>
        <v>4.3840273605899857E-2</v>
      </c>
      <c r="K238">
        <f>LN(B247)-LN(B238)</f>
        <v>5.2661866371384036E-4</v>
      </c>
      <c r="L238">
        <f>IF(K238&lt;-(J238),1,0)</f>
        <v>0</v>
      </c>
      <c r="M238" s="72">
        <f t="shared" si="3"/>
        <v>4.2261111754947546E-2</v>
      </c>
      <c r="N238">
        <f>SQRT((N237^2)*0.72+(1-0.72)*(C237^2))</f>
        <v>5.7466715047417181E-3</v>
      </c>
      <c r="O238">
        <f>_xlfn.NORM.S.INV(0.99)*N238*SQRT(10)</f>
        <v>4.2275721725065538E-2</v>
      </c>
      <c r="P238">
        <f>LN(B247)-LN(B238)</f>
        <v>5.2661866371384036E-4</v>
      </c>
      <c r="Q238">
        <f>IF(P238&lt;-(O238),1,0)</f>
        <v>0</v>
      </c>
    </row>
    <row r="239" spans="1:17">
      <c r="A239" s="64">
        <v>41638</v>
      </c>
      <c r="B239">
        <v>1841.0699460000001</v>
      </c>
      <c r="C239" s="68">
        <f>LN(B239)-LN(B238)</f>
        <v>-1.7926989415961714E-4</v>
      </c>
      <c r="D239" s="68"/>
      <c r="E239" s="68"/>
      <c r="F239" s="68"/>
      <c r="G239" s="68"/>
      <c r="H239" s="68"/>
      <c r="I239">
        <f>_xlfn.STDEV.S(C219:C239)</f>
        <v>5.9547759996211001E-3</v>
      </c>
      <c r="J239">
        <f>_xlfn.NORM.S.INV(0.99)*I239*SQRT(10)</f>
        <v>4.3806654493363989E-2</v>
      </c>
      <c r="K239">
        <f>LN(B248)-LN(B239)</f>
        <v>-1.1950077931792258E-2</v>
      </c>
      <c r="L239">
        <f>IF(K239&lt;-(J239),1,0)</f>
        <v>0</v>
      </c>
      <c r="M239" s="72">
        <f t="shared" si="3"/>
        <v>3.5881855695015168E-2</v>
      </c>
      <c r="N239">
        <f>SQRT((N238^2)*0.72+(1-0.72)*(C238^2))</f>
        <v>4.8794651073684756E-3</v>
      </c>
      <c r="O239">
        <f>_xlfn.NORM.S.INV(0.99)*N239*SQRT(10)</f>
        <v>3.5896067641254185E-2</v>
      </c>
      <c r="P239">
        <f>LN(B248)-LN(B239)</f>
        <v>-1.1950077931792258E-2</v>
      </c>
      <c r="Q239">
        <f>IF(P239&lt;-(O239),1,0)</f>
        <v>0</v>
      </c>
    </row>
    <row r="240" spans="1:17">
      <c r="A240" s="64">
        <v>41639</v>
      </c>
      <c r="B240">
        <v>1848.3599850000001</v>
      </c>
      <c r="C240" s="68">
        <f>LN(B240)-LN(B239)</f>
        <v>3.9518563159175457E-3</v>
      </c>
      <c r="D240" s="68"/>
      <c r="E240" s="68"/>
      <c r="F240" s="68"/>
      <c r="G240" s="68"/>
      <c r="H240" s="68"/>
      <c r="I240">
        <f>_xlfn.STDEV.S(C220:C240)</f>
        <v>5.9780710192213543E-3</v>
      </c>
      <c r="J240">
        <f>_xlfn.NORM.S.INV(0.99)*I240*SQRT(10)</f>
        <v>4.3978025654111165E-2</v>
      </c>
      <c r="K240">
        <f>LN(B249)-LN(B240)</f>
        <v>-5.142057969569791E-3</v>
      </c>
      <c r="L240">
        <f>IF(K240&lt;-(J240),1,0)</f>
        <v>0</v>
      </c>
      <c r="M240" s="72">
        <f t="shared" si="3"/>
        <v>3.0454545133962643E-2</v>
      </c>
      <c r="N240">
        <f>SQRT((N239^2)*0.72+(1-0.72)*(C239^2))</f>
        <v>4.1414499831684071E-3</v>
      </c>
      <c r="O240">
        <f>_xlfn.NORM.S.INV(0.99)*N240*SQRT(10)</f>
        <v>3.0466816640248161E-2</v>
      </c>
      <c r="P240">
        <f>LN(B249)-LN(B240)</f>
        <v>-5.142057969569791E-3</v>
      </c>
      <c r="Q240">
        <f>IF(P240&lt;-(O240),1,0)</f>
        <v>0</v>
      </c>
    </row>
    <row r="241" spans="1:17">
      <c r="A241" s="64">
        <v>41641</v>
      </c>
      <c r="B241">
        <v>1831.9799800000001</v>
      </c>
      <c r="C241" s="68">
        <f>LN(B241)-LN(B240)</f>
        <v>-8.9014130822970827E-3</v>
      </c>
      <c r="D241" s="68"/>
      <c r="E241" s="68"/>
      <c r="F241" s="68"/>
      <c r="G241" s="68"/>
      <c r="H241" s="68"/>
      <c r="I241">
        <f>_xlfn.STDEV.S(C221:C241)</f>
        <v>6.3184463608244017E-3</v>
      </c>
      <c r="J241">
        <f>_xlfn.NORM.S.INV(0.99)*I241*SQRT(10)</f>
        <v>4.6482016566382955E-2</v>
      </c>
      <c r="K241">
        <f>LN(B250)-LN(B241)</f>
        <v>8.9122442470825902E-3</v>
      </c>
      <c r="L241">
        <f>IF(K241&lt;-(J241),1,0)</f>
        <v>0</v>
      </c>
      <c r="M241" s="72">
        <f t="shared" si="3"/>
        <v>3.0071238049720547E-2</v>
      </c>
      <c r="N241">
        <f>SQRT((N240^2)*0.72+(1-0.72)*(C240^2))</f>
        <v>4.0892499152149781E-3</v>
      </c>
      <c r="O241">
        <f>_xlfn.NORM.S.INV(0.99)*N241*SQRT(10)</f>
        <v>3.0082803817345759E-2</v>
      </c>
      <c r="P241">
        <f>LN(B250)-LN(B241)</f>
        <v>8.9122442470825902E-3</v>
      </c>
      <c r="Q241">
        <f>IF(P241&lt;-(O241),1,0)</f>
        <v>0</v>
      </c>
    </row>
    <row r="242" spans="1:17">
      <c r="A242" s="64">
        <v>41642</v>
      </c>
      <c r="B242">
        <v>1831.369995</v>
      </c>
      <c r="C242" s="68">
        <f>LN(B242)-LN(B241)</f>
        <v>-3.3302032827897676E-4</v>
      </c>
      <c r="D242" s="68"/>
      <c r="E242" s="68"/>
      <c r="F242" s="68"/>
      <c r="G242" s="68"/>
      <c r="H242" s="68"/>
      <c r="I242">
        <f>_xlfn.STDEV.S(C222:C242)</f>
        <v>6.2581136252821161E-3</v>
      </c>
      <c r="J242">
        <f>_xlfn.NORM.S.INV(0.99)*I242*SQRT(10)</f>
        <v>4.6038175303385227E-2</v>
      </c>
      <c r="K242">
        <f>LN(B251)-LN(B242)</f>
        <v>7.8972362159923648E-3</v>
      </c>
      <c r="L242">
        <f>IF(K242&lt;-(J242),1,0)</f>
        <v>0</v>
      </c>
      <c r="M242" s="72">
        <f t="shared" si="3"/>
        <v>4.3029505432682455E-2</v>
      </c>
      <c r="N242">
        <f>SQRT((N241^2)*0.72+(1-0.72)*(C241^2))</f>
        <v>5.8502699140308744E-3</v>
      </c>
      <c r="O242">
        <f>_xlfn.NORM.S.INV(0.99)*N242*SQRT(10)</f>
        <v>4.3037849422577747E-2</v>
      </c>
      <c r="P242">
        <f>LN(B251)-LN(B242)</f>
        <v>7.8972362159923648E-3</v>
      </c>
      <c r="Q242">
        <f>IF(P242&lt;-(O242),1,0)</f>
        <v>0</v>
      </c>
    </row>
    <row r="243" spans="1:17">
      <c r="A243" s="64">
        <v>41645</v>
      </c>
      <c r="B243">
        <v>1826.7700199999999</v>
      </c>
      <c r="C243" s="68">
        <f>LN(B243)-LN(B242)</f>
        <v>-2.5149269331707913E-3</v>
      </c>
      <c r="D243" s="68"/>
      <c r="E243" s="68"/>
      <c r="F243" s="68"/>
      <c r="G243" s="68"/>
      <c r="H243" s="68"/>
      <c r="I243">
        <f>_xlfn.STDEV.S(C223:C243)</f>
        <v>6.2854457210562865E-3</v>
      </c>
      <c r="J243">
        <f>_xlfn.NORM.S.INV(0.99)*I243*SQRT(10)</f>
        <v>4.6239245448800405E-2</v>
      </c>
      <c r="K243">
        <f>LN(B252)-LN(B243)</f>
        <v>6.5093825452144927E-3</v>
      </c>
      <c r="L243">
        <f>IF(K243&lt;-(J243),1,0)</f>
        <v>0</v>
      </c>
      <c r="M243" s="72">
        <f t="shared" si="3"/>
        <v>3.6534257992561776E-2</v>
      </c>
      <c r="N243">
        <f>SQRT((N242^2)*0.72+(1-0.72)*(C242^2))</f>
        <v>4.9672453653090091E-3</v>
      </c>
      <c r="O243">
        <f>_xlfn.NORM.S.INV(0.99)*N243*SQRT(10)</f>
        <v>3.6541828192311693E-2</v>
      </c>
      <c r="P243">
        <f>LN(B252)-LN(B243)</f>
        <v>6.5093825452144927E-3</v>
      </c>
      <c r="Q243">
        <f>IF(P243&lt;-(O243),1,0)</f>
        <v>0</v>
      </c>
    </row>
    <row r="244" spans="1:17">
      <c r="A244" s="64">
        <v>41646</v>
      </c>
      <c r="B244">
        <v>1837.880005</v>
      </c>
      <c r="C244" s="68">
        <f>LN(B244)-LN(B243)</f>
        <v>6.0633451825538032E-3</v>
      </c>
      <c r="D244" s="68"/>
      <c r="E244" s="68"/>
      <c r="F244" s="68"/>
      <c r="G244" s="68"/>
      <c r="H244" s="68"/>
      <c r="I244">
        <f>_xlfn.STDEV.S(C224:C244)</f>
        <v>6.2618508889285152E-3</v>
      </c>
      <c r="J244">
        <f>_xlfn.NORM.S.INV(0.99)*I244*SQRT(10)</f>
        <v>4.6065668699831849E-2</v>
      </c>
      <c r="K244">
        <f>LN(B253)-LN(B244)</f>
        <v>3.2159497921728786E-3</v>
      </c>
      <c r="L244">
        <f>IF(K244&lt;-(J244),1,0)</f>
        <v>0</v>
      </c>
      <c r="M244" s="72">
        <f t="shared" si="3"/>
        <v>3.2503264468620521E-2</v>
      </c>
      <c r="N244">
        <f>SQRT((N243^2)*0.72+(1-0.72)*(C243^2))</f>
        <v>4.419943346694045E-3</v>
      </c>
      <c r="O244">
        <f>_xlfn.NORM.S.INV(0.99)*N244*SQRT(10)</f>
        <v>3.2515569197093072E-2</v>
      </c>
      <c r="P244">
        <f>LN(B253)-LN(B244)</f>
        <v>3.2159497921728786E-3</v>
      </c>
      <c r="Q244">
        <f>IF(P244&lt;-(O244),1,0)</f>
        <v>0</v>
      </c>
    </row>
    <row r="245" spans="1:17">
      <c r="A245" s="64">
        <v>41647</v>
      </c>
      <c r="B245">
        <v>1837.48999</v>
      </c>
      <c r="C245" s="68">
        <f>LN(B245)-LN(B244)</f>
        <v>-2.1223169476591863E-4</v>
      </c>
      <c r="D245" s="68"/>
      <c r="E245" s="68"/>
      <c r="F245" s="68"/>
      <c r="G245" s="68"/>
      <c r="H245" s="68"/>
      <c r="I245">
        <f>_xlfn.STDEV.S(C225:C245)</f>
        <v>5.8516841461131756E-3</v>
      </c>
      <c r="J245">
        <f>_xlfn.NORM.S.INV(0.99)*I245*SQRT(10)</f>
        <v>4.3048253302792001E-2</v>
      </c>
      <c r="K245">
        <f>LN(B254)-LN(B245)</f>
        <v>4.0028812529255831E-3</v>
      </c>
      <c r="L245">
        <f>IF(K245&lt;-(J245),1,0)</f>
        <v>0</v>
      </c>
      <c r="M245" s="72">
        <f t="shared" si="3"/>
        <v>3.6264288767346969E-2</v>
      </c>
      <c r="N245">
        <f>SQRT((N244^2)*0.72+(1-0.72)*(C244^2))</f>
        <v>4.9355659006979861E-3</v>
      </c>
      <c r="O245">
        <f>_xlfn.NORM.S.INV(0.99)*N245*SQRT(10)</f>
        <v>3.6308776376283998E-2</v>
      </c>
      <c r="P245">
        <f>LN(B254)-LN(B245)</f>
        <v>4.0028812529255831E-3</v>
      </c>
      <c r="Q245">
        <f>IF(P245&lt;-(O245),1,0)</f>
        <v>0</v>
      </c>
    </row>
    <row r="246" spans="1:17">
      <c r="A246" s="64">
        <v>41648</v>
      </c>
      <c r="B246">
        <v>1838.130005</v>
      </c>
      <c r="C246" s="68">
        <f>LN(B246)-LN(B245)</f>
        <v>3.4824873482008911E-4</v>
      </c>
      <c r="D246" s="68"/>
      <c r="E246" s="68"/>
      <c r="F246" s="68"/>
      <c r="G246" s="68"/>
      <c r="H246" s="68"/>
      <c r="I246">
        <f>_xlfn.STDEV.S(C226:C246)</f>
        <v>5.8483028422715525E-3</v>
      </c>
      <c r="J246">
        <f>_xlfn.NORM.S.INV(0.99)*I246*SQRT(10)</f>
        <v>4.3023378545263509E-2</v>
      </c>
      <c r="K246">
        <f>LN(B255)-LN(B246)</f>
        <v>-5.2746920217199289E-3</v>
      </c>
      <c r="L246">
        <f>IF(K246&lt;-(J246),1,0)</f>
        <v>0</v>
      </c>
      <c r="M246" s="72">
        <f t="shared" si="3"/>
        <v>3.0781220827885116E-2</v>
      </c>
      <c r="N246">
        <f>SQRT((N245^2)*0.72+(1-0.72)*(C245^2))</f>
        <v>4.1894719940738668E-3</v>
      </c>
      <c r="O246">
        <f>_xlfn.NORM.S.INV(0.99)*N246*SQRT(10)</f>
        <v>3.0820093344518126E-2</v>
      </c>
      <c r="P246">
        <f>LN(B255)-LN(B246)</f>
        <v>-5.2746920217199289E-3</v>
      </c>
      <c r="Q246">
        <f>IF(P246&lt;-(O246),1,0)</f>
        <v>0</v>
      </c>
    </row>
    <row r="247" spans="1:17">
      <c r="A247" s="64">
        <v>41649</v>
      </c>
      <c r="B247">
        <v>1842.369995</v>
      </c>
      <c r="C247" s="68">
        <f>LN(B247)-LN(B246)</f>
        <v>2.3040303630947889E-3</v>
      </c>
      <c r="D247" s="68"/>
      <c r="E247" s="68"/>
      <c r="F247" s="68"/>
      <c r="G247" s="68"/>
      <c r="H247" s="68"/>
      <c r="I247">
        <f>_xlfn.STDEV.S(C227:C247)</f>
        <v>5.784685904426763E-3</v>
      </c>
      <c r="J247">
        <f>_xlfn.NORM.S.INV(0.99)*I247*SQRT(10)</f>
        <v>4.2555376857833144E-2</v>
      </c>
      <c r="K247">
        <f>LN(B256)-LN(B247)</f>
        <v>-2.8675143881248033E-2</v>
      </c>
      <c r="L247">
        <f>IF(K247&lt;-(J247),1,0)</f>
        <v>0</v>
      </c>
      <c r="M247" s="72">
        <f t="shared" si="3"/>
        <v>2.6149770221307919E-2</v>
      </c>
      <c r="N247">
        <f>SQRT((N246^2)*0.72+(1-0.72)*(C246^2))</f>
        <v>3.5596578536339881E-3</v>
      </c>
      <c r="O247">
        <f>_xlfn.NORM.S.INV(0.99)*N247*SQRT(10)</f>
        <v>2.618682914666411E-2</v>
      </c>
      <c r="P247">
        <f>LN(B256)-LN(B247)</f>
        <v>-2.8675143881248033E-2</v>
      </c>
      <c r="Q247">
        <f>IF(P247&lt;-(O247),1,0)</f>
        <v>1</v>
      </c>
    </row>
    <row r="248" spans="1:17">
      <c r="A248" s="64">
        <v>41652</v>
      </c>
      <c r="B248">
        <v>1819.1999510000001</v>
      </c>
      <c r="C248" s="68">
        <f>LN(B248)-LN(B247)</f>
        <v>-1.2655966489665715E-2</v>
      </c>
      <c r="D248" s="68"/>
      <c r="E248" s="68"/>
      <c r="F248" s="68"/>
      <c r="G248" s="68"/>
      <c r="H248" s="68"/>
      <c r="I248">
        <f>_xlfn.STDEV.S(C228:C248)</f>
        <v>5.9264635367231302E-3</v>
      </c>
      <c r="J248">
        <f>_xlfn.NORM.S.INV(0.99)*I248*SQRT(10)</f>
        <v>4.35983722204277E-2</v>
      </c>
      <c r="K248">
        <f>LN(B257)-LN(B248)</f>
        <v>-2.0907398981981018E-2</v>
      </c>
      <c r="L248">
        <f>IF(K248&lt;-(J248),1,0)</f>
        <v>0</v>
      </c>
      <c r="M248" s="72">
        <f t="shared" si="3"/>
        <v>2.3875392031468188E-2</v>
      </c>
      <c r="N248">
        <f>SQRT((N247^2)*0.72+(1-0.72)*(C247^2))</f>
        <v>3.2572432763140384E-3</v>
      </c>
      <c r="O248">
        <f>_xlfn.NORM.S.INV(0.99)*N248*SQRT(10)</f>
        <v>2.3962098795219374E-2</v>
      </c>
      <c r="P248">
        <f>LN(B257)-LN(B248)</f>
        <v>-2.0907398981981018E-2</v>
      </c>
      <c r="Q248">
        <f>IF(P248&lt;-(O248),1,0)</f>
        <v>0</v>
      </c>
    </row>
    <row r="249" spans="1:17">
      <c r="A249" s="64">
        <v>41653</v>
      </c>
      <c r="B249">
        <v>1838.880005</v>
      </c>
      <c r="C249" s="68">
        <f>LN(B249)-LN(B248)</f>
        <v>1.0759876278140013E-2</v>
      </c>
      <c r="D249" s="68"/>
      <c r="E249" s="68"/>
      <c r="F249" s="68"/>
      <c r="G249" s="68"/>
      <c r="H249" s="68"/>
      <c r="I249">
        <f>_xlfn.STDEV.S(C229:C249)</f>
        <v>6.1865393881618122E-3</v>
      </c>
      <c r="J249">
        <f>_xlfn.NORM.S.INV(0.99)*I249*SQRT(10)</f>
        <v>4.5511635283012546E-2</v>
      </c>
      <c r="K249">
        <f>LN(B258)-LN(B249)</f>
        <v>-2.5545399865719354E-2</v>
      </c>
      <c r="L249">
        <f>IF(K249&lt;-(J249),1,0)</f>
        <v>0</v>
      </c>
      <c r="M249" s="72">
        <f t="shared" si="3"/>
        <v>5.326611709165726E-2</v>
      </c>
      <c r="N249">
        <f>SQRT((N248^2)*0.72+(1-0.72)*(C248^2))</f>
        <v>7.2448266292920085E-3</v>
      </c>
      <c r="O249">
        <f>_xlfn.NORM.S.INV(0.99)*N249*SQRT(10)</f>
        <v>5.3296986659768911E-2</v>
      </c>
      <c r="P249">
        <f>LN(B258)-LN(B249)</f>
        <v>-2.5545399865719354E-2</v>
      </c>
      <c r="Q249">
        <f>IF(P249&lt;-(O249),1,0)</f>
        <v>0</v>
      </c>
    </row>
    <row r="250" spans="1:17">
      <c r="A250" s="64">
        <v>41654</v>
      </c>
      <c r="B250">
        <v>1848.380005</v>
      </c>
      <c r="C250" s="68">
        <f>LN(B250)-LN(B249)</f>
        <v>5.1528891343552985E-3</v>
      </c>
      <c r="D250" s="68"/>
      <c r="E250" s="68"/>
      <c r="F250" s="68"/>
      <c r="G250" s="68"/>
      <c r="H250" s="68"/>
      <c r="I250">
        <f>_xlfn.STDEV.S(C230:C250)</f>
        <v>6.2174795174864371E-3</v>
      </c>
      <c r="J250">
        <f>_xlfn.NORM.S.INV(0.99)*I250*SQRT(10)</f>
        <v>4.573924813618957E-2</v>
      </c>
      <c r="K250">
        <f>LN(B259)-LN(B250)</f>
        <v>-4.095999300544495E-2</v>
      </c>
      <c r="L250">
        <f>IF(K250&lt;-(J250),1,0)</f>
        <v>0</v>
      </c>
      <c r="M250" s="72">
        <f t="shared" si="3"/>
        <v>6.1621535992775596E-2</v>
      </c>
      <c r="N250">
        <f>SQRT((N249^2)*0.72+(1-0.72)*(C249^2))</f>
        <v>8.3790209323980937E-3</v>
      </c>
      <c r="O250">
        <f>_xlfn.NORM.S.INV(0.99)*N250*SQRT(10)</f>
        <v>6.1640752733870013E-2</v>
      </c>
      <c r="P250">
        <f>LN(B259)-LN(B250)</f>
        <v>-4.095999300544495E-2</v>
      </c>
      <c r="Q250">
        <f>IF(P250&lt;-(O250),1,0)</f>
        <v>0</v>
      </c>
    </row>
    <row r="251" spans="1:17">
      <c r="A251" s="64">
        <v>41655</v>
      </c>
      <c r="B251">
        <v>1845.8900149999999</v>
      </c>
      <c r="C251" s="68">
        <f>LN(B251)-LN(B250)</f>
        <v>-1.3480283593692022E-3</v>
      </c>
      <c r="D251" s="68"/>
      <c r="E251" s="68"/>
      <c r="F251" s="68"/>
      <c r="G251" s="68"/>
      <c r="H251" s="68"/>
      <c r="I251">
        <f>_xlfn.STDEV.S(C231:C251)</f>
        <v>6.1719378920468606E-3</v>
      </c>
      <c r="J251">
        <f>_xlfn.NORM.S.INV(0.99)*I251*SQRT(10)</f>
        <v>4.5404218531243108E-2</v>
      </c>
      <c r="K251">
        <f>LN(B260)-LN(B251)</f>
        <v>-2.8407920403408227E-2</v>
      </c>
      <c r="L251">
        <f>IF(K251&lt;-(J251),1,0)</f>
        <v>0</v>
      </c>
      <c r="M251" s="72">
        <f t="shared" si="3"/>
        <v>5.599558354770251E-2</v>
      </c>
      <c r="N251">
        <f>SQRT((N250^2)*0.72+(1-0.72)*(C250^2))</f>
        <v>7.6147481039279975E-3</v>
      </c>
      <c r="O251">
        <f>_xlfn.NORM.S.INV(0.99)*N251*SQRT(10)</f>
        <v>5.6018335410769046E-2</v>
      </c>
      <c r="P251">
        <f>LN(B260)-LN(B251)</f>
        <v>-2.8407920403408227E-2</v>
      </c>
      <c r="Q251">
        <f>IF(P251&lt;-(O251),1,0)</f>
        <v>0</v>
      </c>
    </row>
    <row r="252" spans="1:17">
      <c r="A252" s="64">
        <v>41656</v>
      </c>
      <c r="B252">
        <v>1838.6999510000001</v>
      </c>
      <c r="C252" s="68">
        <f>LN(B252)-LN(B251)</f>
        <v>-3.9027806039486634E-3</v>
      </c>
      <c r="D252" s="68"/>
      <c r="E252" s="68"/>
      <c r="F252" s="68"/>
      <c r="G252" s="68"/>
      <c r="H252" s="68"/>
      <c r="I252">
        <f>_xlfn.STDEV.S(C232:C252)</f>
        <v>6.2044029214461992E-3</v>
      </c>
      <c r="J252">
        <f>_xlfn.NORM.S.INV(0.99)*I252*SQRT(10)</f>
        <v>4.5643049400129566E-2</v>
      </c>
      <c r="K252">
        <f>LN(B261)-LN(B252)</f>
        <v>-3.0991429686483052E-2</v>
      </c>
      <c r="L252">
        <f>IF(K252&lt;-(J252),1,0)</f>
        <v>0</v>
      </c>
      <c r="M252" s="72">
        <f t="shared" si="3"/>
        <v>4.7800578207594084E-2</v>
      </c>
      <c r="N252">
        <f>SQRT((N251^2)*0.72+(1-0.72)*(C251^2))</f>
        <v>6.500582311013671E-3</v>
      </c>
      <c r="O252">
        <f>_xlfn.NORM.S.INV(0.99)*N252*SQRT(10)</f>
        <v>4.7821910231781888E-2</v>
      </c>
      <c r="P252">
        <f>LN(B261)-LN(B252)</f>
        <v>-3.0991429686483052E-2</v>
      </c>
      <c r="Q252">
        <f>IF(P252&lt;-(O252),1,0)</f>
        <v>0</v>
      </c>
    </row>
    <row r="253" spans="1:17">
      <c r="A253" s="64">
        <v>41660</v>
      </c>
      <c r="B253">
        <v>1843.8000489999999</v>
      </c>
      <c r="C253" s="68">
        <f>LN(B253)-LN(B252)</f>
        <v>2.7699124295121891E-3</v>
      </c>
      <c r="D253" s="68"/>
      <c r="E253" s="68"/>
      <c r="F253" s="68"/>
      <c r="G253" s="68"/>
      <c r="H253" s="68"/>
      <c r="I253">
        <f>_xlfn.STDEV.S(C233:C253)</f>
        <v>5.1850204318442568E-3</v>
      </c>
      <c r="J253">
        <f>_xlfn.NORM.S.INV(0.99)*I253*SQRT(10)</f>
        <v>3.8143903081037309E-2</v>
      </c>
      <c r="K253">
        <f>LN(B262)-LN(B253)</f>
        <v>-5.6857946719455654E-2</v>
      </c>
      <c r="L253" s="75">
        <f>IF(K253&lt;-(J253),1,0)</f>
        <v>1</v>
      </c>
      <c r="M253" s="72">
        <f t="shared" si="3"/>
        <v>4.3245171508493822E-2</v>
      </c>
      <c r="N253">
        <f>SQRT((N252^2)*0.72+(1-0.72)*(C252^2))</f>
        <v>5.8898493766094033E-3</v>
      </c>
      <c r="O253">
        <f>_xlfn.NORM.S.INV(0.99)*N253*SQRT(10)</f>
        <v>4.3329018031156963E-2</v>
      </c>
      <c r="P253">
        <f>LN(B262)-LN(B253)</f>
        <v>-5.6857946719455654E-2</v>
      </c>
      <c r="Q253" s="75">
        <f>IF(P253&lt;-(O253),1,0)</f>
        <v>1</v>
      </c>
    </row>
    <row r="254" spans="1:17">
      <c r="A254" s="64">
        <v>41661</v>
      </c>
      <c r="B254">
        <v>1844.8599850000001</v>
      </c>
      <c r="C254" s="68">
        <f>LN(B254)-LN(B253)</f>
        <v>5.7469976598678585E-4</v>
      </c>
      <c r="D254" s="68"/>
      <c r="E254" s="68"/>
      <c r="F254" s="68"/>
      <c r="G254" s="68"/>
      <c r="H254" s="68"/>
      <c r="I254">
        <f>_xlfn.STDEV.S(C234:C254)</f>
        <v>5.1750538553936012E-3</v>
      </c>
      <c r="J254">
        <f>_xlfn.NORM.S.INV(0.99)*I254*SQRT(10)</f>
        <v>3.8070583384195084E-2</v>
      </c>
      <c r="K254">
        <f>LN(B263)-LN(B254)</f>
        <v>-4.9820603102111782E-2</v>
      </c>
      <c r="L254" s="75">
        <f>IF(K254&lt;-(J254),1,0)</f>
        <v>1</v>
      </c>
      <c r="M254" s="72">
        <f t="shared" si="3"/>
        <v>3.8246040171277404E-2</v>
      </c>
      <c r="N254">
        <f>SQRT((N253^2)*0.72+(1-0.72)*(C253^2))</f>
        <v>5.2081964874409028E-3</v>
      </c>
      <c r="O254">
        <f>_xlfn.NORM.S.INV(0.99)*N254*SQRT(10)</f>
        <v>3.8314399076202516E-2</v>
      </c>
      <c r="P254">
        <f>LN(B263)-LN(B254)</f>
        <v>-4.9820603102111782E-2</v>
      </c>
      <c r="Q254" s="75">
        <f>IF(P254&lt;-(O254),1,0)</f>
        <v>1</v>
      </c>
    </row>
    <row r="255" spans="1:17">
      <c r="A255" s="64">
        <v>41662</v>
      </c>
      <c r="B255">
        <v>1828.459961</v>
      </c>
      <c r="C255" s="68">
        <f>LN(B255)-LN(B254)</f>
        <v>-8.9293245398254228E-3</v>
      </c>
      <c r="D255" s="68"/>
      <c r="E255" s="68"/>
      <c r="F255" s="68"/>
      <c r="G255" s="68"/>
      <c r="H255" s="68"/>
      <c r="I255">
        <f>_xlfn.STDEV.S(C235:C255)</f>
        <v>5.515923529579172E-3</v>
      </c>
      <c r="J255">
        <f>_xlfn.NORM.S.INV(0.99)*I255*SQRT(10)</f>
        <v>4.0578210882737935E-2</v>
      </c>
      <c r="K255">
        <f>LN(B264)-LN(B255)</f>
        <v>-4.2921560672315451E-2</v>
      </c>
      <c r="L255" s="75">
        <f>IF(K255&lt;-(J255),1,0)</f>
        <v>1</v>
      </c>
      <c r="M255" s="72">
        <f t="shared" si="3"/>
        <v>3.2522313906551463E-2</v>
      </c>
      <c r="N255">
        <f>SQRT((N254^2)*0.72+(1-0.72)*(C254^2))</f>
        <v>4.4297519139537755E-3</v>
      </c>
      <c r="O255">
        <f>_xlfn.NORM.S.INV(0.99)*N255*SQRT(10)</f>
        <v>3.2587726490171651E-2</v>
      </c>
      <c r="P255">
        <f>LN(B264)-LN(B255)</f>
        <v>-4.2921560672315451E-2</v>
      </c>
      <c r="Q255" s="75">
        <f>IF(P255&lt;-(O255),1,0)</f>
        <v>1</v>
      </c>
    </row>
    <row r="256" spans="1:17">
      <c r="A256" s="64">
        <v>41663</v>
      </c>
      <c r="B256">
        <v>1790.290039</v>
      </c>
      <c r="C256" s="68">
        <f>LN(B256)-LN(B255)</f>
        <v>-2.1096421496433315E-2</v>
      </c>
      <c r="D256" s="68"/>
      <c r="E256" s="68"/>
      <c r="F256" s="68"/>
      <c r="G256" s="68"/>
      <c r="H256" s="68"/>
      <c r="I256">
        <f>_xlfn.STDEV.S(C236:C256)</f>
        <v>7.0930502474351956E-3</v>
      </c>
      <c r="J256">
        <f>_xlfn.NORM.S.INV(0.99)*I256*SQRT(10)</f>
        <v>5.2180434916986748E-2</v>
      </c>
      <c r="K256">
        <f>LN(B265)-LN(B256)</f>
        <v>-9.4620847602149283E-3</v>
      </c>
      <c r="L256">
        <f>IF(K256&lt;-(J256),1,0)</f>
        <v>0</v>
      </c>
      <c r="M256" s="72">
        <f t="shared" si="3"/>
        <v>4.4375252706906572E-2</v>
      </c>
      <c r="N256">
        <f>SQRT((N255^2)*0.72+(1-0.72)*(C255^2))</f>
        <v>6.0376766839832959E-3</v>
      </c>
      <c r="O256">
        <f>_xlfn.NORM.S.INV(0.99)*N256*SQRT(10)</f>
        <v>4.4416518178807277E-2</v>
      </c>
      <c r="P256">
        <f>LN(B265)-LN(B256)</f>
        <v>-9.4620847602149283E-3</v>
      </c>
      <c r="Q256">
        <f>IF(P256&lt;-(O256),1,0)</f>
        <v>0</v>
      </c>
    </row>
    <row r="257" spans="1:17">
      <c r="A257" s="64">
        <v>41666</v>
      </c>
      <c r="B257">
        <v>1781.5600589999999</v>
      </c>
      <c r="C257" s="68">
        <f>LN(B257)-LN(B256)</f>
        <v>-4.8882215903987003E-3</v>
      </c>
      <c r="D257" s="68"/>
      <c r="E257" s="68"/>
      <c r="F257" s="68"/>
      <c r="G257" s="68"/>
      <c r="H257" s="68"/>
      <c r="I257">
        <f>_xlfn.STDEV.S(C237:C257)</f>
        <v>7.0826126139589222E-3</v>
      </c>
      <c r="J257">
        <f>_xlfn.NORM.S.INV(0.99)*I257*SQRT(10)</f>
        <v>5.2103649861855783E-2</v>
      </c>
      <c r="K257">
        <f>LN(B266)-LN(B257)</f>
        <v>8.6403304323328101E-3</v>
      </c>
      <c r="L257">
        <f>IF(K257&lt;-(J257),1,0)</f>
        <v>0</v>
      </c>
      <c r="M257" s="72">
        <f t="shared" si="3"/>
        <v>9.0342303788425338E-2</v>
      </c>
      <c r="N257">
        <f>SQRT((N256^2)*0.72+(1-0.72)*(C256^2))</f>
        <v>1.2282632804104982E-2</v>
      </c>
      <c r="O257">
        <f>_xlfn.NORM.S.INV(0.99)*N257*SQRT(10)</f>
        <v>9.0357899533504205E-2</v>
      </c>
      <c r="P257">
        <f>LN(B266)-LN(B257)</f>
        <v>8.6403304323328101E-3</v>
      </c>
      <c r="Q257">
        <f>IF(P257&lt;-(O257),1,0)</f>
        <v>0</v>
      </c>
    </row>
    <row r="258" spans="1:17">
      <c r="A258" s="64">
        <v>41667</v>
      </c>
      <c r="B258">
        <v>1792.5</v>
      </c>
      <c r="C258" s="68">
        <f>LN(B258)-LN(B257)</f>
        <v>6.1218753944016768E-3</v>
      </c>
      <c r="D258" s="68"/>
      <c r="E258" s="68"/>
      <c r="F258" s="68"/>
      <c r="G258" s="68"/>
      <c r="H258" s="68"/>
      <c r="I258">
        <f>_xlfn.STDEV.S(C238:C258)</f>
        <v>7.1485127886165151E-3</v>
      </c>
      <c r="J258">
        <f>_xlfn.NORM.S.INV(0.99)*I258*SQRT(10)</f>
        <v>5.2588448313126028E-2</v>
      </c>
      <c r="K258">
        <f>LN(B267)-LN(B258)</f>
        <v>4.0864596801721831E-3</v>
      </c>
      <c r="L258">
        <f>IF(K258&lt;-(J258),1,0)</f>
        <v>0</v>
      </c>
      <c r="M258" s="72">
        <f t="shared" si="3"/>
        <v>7.8981356566291364E-2</v>
      </c>
      <c r="N258">
        <f>SQRT((N257^2)*0.72+(1-0.72)*(C257^2))</f>
        <v>1.073833917703561E-2</v>
      </c>
      <c r="O258">
        <f>_xlfn.NORM.S.INV(0.99)*N258*SQRT(10)</f>
        <v>7.8997214033052723E-2</v>
      </c>
      <c r="P258">
        <f>LN(B267)-LN(B258)</f>
        <v>4.0864596801721831E-3</v>
      </c>
      <c r="Q258">
        <f>IF(P258&lt;-(O258),1,0)</f>
        <v>0</v>
      </c>
    </row>
    <row r="259" spans="1:17">
      <c r="A259" s="64">
        <v>41668</v>
      </c>
      <c r="B259">
        <v>1774.1999510000001</v>
      </c>
      <c r="C259" s="68">
        <f>LN(B259)-LN(B258)</f>
        <v>-1.0261704005370298E-2</v>
      </c>
      <c r="D259" s="68"/>
      <c r="E259" s="68"/>
      <c r="F259" s="68"/>
      <c r="G259" s="68"/>
      <c r="H259" s="68"/>
      <c r="I259">
        <f>_xlfn.STDEV.S(C239:C259)</f>
        <v>7.4052812567819946E-3</v>
      </c>
      <c r="J259">
        <f>_xlfn.NORM.S.INV(0.99)*I259*SQRT(10)</f>
        <v>5.4477380419124838E-2</v>
      </c>
      <c r="K259">
        <f>LN(B268)-LN(B259)</f>
        <v>2.5349539529962328E-2</v>
      </c>
      <c r="L259">
        <f>IF(K259&lt;-(J259),1,0)</f>
        <v>0</v>
      </c>
      <c r="M259" s="72">
        <f t="shared" si="3"/>
        <v>7.1128776072063679E-2</v>
      </c>
      <c r="N259">
        <f>SQRT((N258^2)*0.72+(1-0.72)*(C258^2))</f>
        <v>9.6704833746221915E-3</v>
      </c>
      <c r="O259">
        <f>_xlfn.NORM.S.INV(0.99)*N259*SQRT(10)</f>
        <v>7.1141470981083157E-2</v>
      </c>
      <c r="P259">
        <f>LN(B268)-LN(B259)</f>
        <v>2.5349539529962328E-2</v>
      </c>
      <c r="Q259">
        <f>IF(P259&lt;-(O259),1,0)</f>
        <v>0</v>
      </c>
    </row>
    <row r="260" spans="1:17">
      <c r="A260" s="64">
        <v>41669</v>
      </c>
      <c r="B260">
        <v>1794.1899410000001</v>
      </c>
      <c r="C260" s="68">
        <f>LN(B260)-LN(B259)</f>
        <v>1.1204044242667521E-2</v>
      </c>
      <c r="D260" s="68"/>
      <c r="E260" s="68"/>
      <c r="F260" s="68"/>
      <c r="G260" s="68"/>
      <c r="H260" s="68"/>
      <c r="I260">
        <f>_xlfn.STDEV.S(C240:C260)</f>
        <v>7.9258938661594738E-3</v>
      </c>
      <c r="J260">
        <f>_xlfn.NORM.S.INV(0.99)*I260*SQRT(10)</f>
        <v>5.8307297229654588E-2</v>
      </c>
      <c r="K260">
        <f>LN(B269)-LN(B260)</f>
        <v>1.3876196768404014E-2</v>
      </c>
      <c r="L260">
        <f>IF(K260&lt;-(J260),1,0)</f>
        <v>0</v>
      </c>
      <c r="M260" s="72">
        <f t="shared" si="3"/>
        <v>7.2376648217993028E-2</v>
      </c>
      <c r="N260">
        <f>SQRT((N259^2)*0.72+(1-0.72)*(C259^2))</f>
        <v>9.8396066186327291E-3</v>
      </c>
      <c r="O260">
        <f>_xlfn.NORM.S.INV(0.99)*N260*SQRT(10)</f>
        <v>7.2385635919888239E-2</v>
      </c>
      <c r="P260">
        <f>LN(B269)-LN(B260)</f>
        <v>1.3876196768404014E-2</v>
      </c>
      <c r="Q260">
        <f>IF(P260&lt;-(O260),1,0)</f>
        <v>0</v>
      </c>
    </row>
    <row r="261" spans="1:17">
      <c r="A261" s="64">
        <v>41670</v>
      </c>
      <c r="B261">
        <v>1782.589966</v>
      </c>
      <c r="C261" s="68">
        <f>LN(B261)-LN(B260)</f>
        <v>-6.4862898870234886E-3</v>
      </c>
      <c r="D261" s="68"/>
      <c r="E261" s="68"/>
      <c r="F261" s="68"/>
      <c r="G261" s="68"/>
      <c r="H261" s="68"/>
      <c r="I261">
        <f>_xlfn.STDEV.S(C241:C261)</f>
        <v>7.912082576534165E-3</v>
      </c>
      <c r="J261">
        <f>_xlfn.NORM.S.INV(0.99)*I261*SQRT(10)</f>
        <v>5.820569367768854E-2</v>
      </c>
      <c r="K261">
        <f>LN(B270)-LN(B261)</f>
        <v>2.6155698475487377E-2</v>
      </c>
      <c r="L261">
        <f>IF(K261&lt;-(J261),1,0)</f>
        <v>0</v>
      </c>
      <c r="M261" s="72">
        <f t="shared" si="3"/>
        <v>7.5322671385606013E-2</v>
      </c>
      <c r="N261">
        <f>SQRT((N260^2)*0.72+(1-0.72)*(C260^2))</f>
        <v>1.0239991607636204E-2</v>
      </c>
      <c r="O261">
        <f>_xlfn.NORM.S.INV(0.99)*N261*SQRT(10)</f>
        <v>7.5331091278531548E-2</v>
      </c>
      <c r="P261">
        <f>LN(B270)-LN(B261)</f>
        <v>2.6155698475487377E-2</v>
      </c>
      <c r="Q261">
        <f>IF(P261&lt;-(O261),1,0)</f>
        <v>0</v>
      </c>
    </row>
    <row r="262" spans="1:17">
      <c r="A262" s="64">
        <v>41673</v>
      </c>
      <c r="B262">
        <v>1741.8900149999999</v>
      </c>
      <c r="C262" s="68">
        <f>LN(B262)-LN(B261)</f>
        <v>-2.3096604603460413E-2</v>
      </c>
      <c r="D262" s="68"/>
      <c r="E262" s="68"/>
      <c r="F262" s="68"/>
      <c r="G262" s="68"/>
      <c r="H262" s="68"/>
      <c r="I262">
        <f>_xlfn.STDEV.S(C242:C262)</f>
        <v>9.0765123455066148E-3</v>
      </c>
      <c r="J262">
        <f>_xlfn.NORM.S.INV(0.99)*I262*SQRT(10)</f>
        <v>6.6771888707427604E-2</v>
      </c>
      <c r="K262">
        <f>LN(B271)-LN(B262)</f>
        <v>5.4049992558119264E-2</v>
      </c>
      <c r="L262">
        <f>IF(K262&lt;-(J262),1,0)</f>
        <v>0</v>
      </c>
      <c r="M262" s="72">
        <f t="shared" si="3"/>
        <v>6.8707857426762678E-2</v>
      </c>
      <c r="N262">
        <f>SQRT((N261^2)*0.72+(1-0.72)*(C261^2))</f>
        <v>9.3422425610338328E-3</v>
      </c>
      <c r="O262">
        <f>_xlfn.NORM.S.INV(0.99)*N262*SQRT(10)</f>
        <v>6.8726748426884504E-2</v>
      </c>
      <c r="P262">
        <f>LN(B271)-LN(B262)</f>
        <v>5.4049992558119264E-2</v>
      </c>
      <c r="Q262">
        <f>IF(P262&lt;-(O262),1,0)</f>
        <v>0</v>
      </c>
    </row>
    <row r="263" spans="1:17">
      <c r="A263" s="64">
        <v>41674</v>
      </c>
      <c r="B263">
        <v>1755.1999510000001</v>
      </c>
      <c r="C263" s="68">
        <f>LN(B263)-LN(B262)</f>
        <v>7.6120433833306578E-3</v>
      </c>
      <c r="D263" s="68"/>
      <c r="E263" s="68"/>
      <c r="F263" s="68"/>
      <c r="G263" s="68"/>
      <c r="H263" s="68"/>
      <c r="I263">
        <f>_xlfn.STDEV.S(C243:C263)</f>
        <v>9.3291059462036006E-3</v>
      </c>
      <c r="J263">
        <f>_xlfn.NORM.S.INV(0.99)*I263*SQRT(10)</f>
        <v>6.8630108159120101E-2</v>
      </c>
      <c r="K263">
        <f>LN(B272)-LN(B263)</f>
        <v>4.7595752630935628E-2</v>
      </c>
      <c r="L263">
        <f>IF(K263&lt;-(J263),1,0)</f>
        <v>0</v>
      </c>
      <c r="M263" s="72">
        <f t="shared" si="3"/>
        <v>0.10715656624500484</v>
      </c>
      <c r="N263">
        <f>SQRT((N262^2)*0.72+(1-0.72)*(C262^2))</f>
        <v>1.4567315385760792E-2</v>
      </c>
      <c r="O263">
        <f>_xlfn.NORM.S.INV(0.99)*N263*SQRT(10)</f>
        <v>0.10716529925567196</v>
      </c>
      <c r="P263">
        <f>LN(B272)-LN(B263)</f>
        <v>4.7595752630935628E-2</v>
      </c>
      <c r="Q263">
        <f>IF(P263&lt;-(O263),1,0)</f>
        <v>0</v>
      </c>
    </row>
    <row r="264" spans="1:17">
      <c r="A264" s="64">
        <v>41675</v>
      </c>
      <c r="B264">
        <v>1751.6400149999999</v>
      </c>
      <c r="C264" s="68">
        <f>LN(B264)-LN(B263)</f>
        <v>-2.0302821100290913E-3</v>
      </c>
      <c r="D264" s="68"/>
      <c r="E264" s="68"/>
      <c r="F264" s="68"/>
      <c r="G264" s="68"/>
      <c r="H264" s="68"/>
      <c r="I264">
        <f>_xlfn.STDEV.S(C244:C264)</f>
        <v>9.32842742276206E-3</v>
      </c>
      <c r="J264">
        <f>_xlfn.NORM.S.INV(0.99)*I264*SQRT(10)</f>
        <v>6.8625116562127872E-2</v>
      </c>
      <c r="K264">
        <f>LN(B273)-LN(B264)</f>
        <v>4.3080172840443964E-2</v>
      </c>
      <c r="L264">
        <f>IF(K264&lt;-(J264),1,0)</f>
        <v>0</v>
      </c>
      <c r="M264" s="72">
        <f t="shared" si="3"/>
        <v>9.5631156278684931E-2</v>
      </c>
      <c r="N264">
        <f>SQRT((N263^2)*0.72+(1-0.72)*(C263^2))</f>
        <v>1.3000496339995596E-2</v>
      </c>
      <c r="O264">
        <f>_xlfn.NORM.S.INV(0.99)*N264*SQRT(10)</f>
        <v>9.5638904208095774E-2</v>
      </c>
      <c r="P264">
        <f>LN(B273)-LN(B264)</f>
        <v>4.3080172840443964E-2</v>
      </c>
      <c r="Q264">
        <f>IF(P264&lt;-(O264),1,0)</f>
        <v>0</v>
      </c>
    </row>
    <row r="265" spans="1:17">
      <c r="A265" s="64">
        <v>41676</v>
      </c>
      <c r="B265">
        <v>1773.4300539999999</v>
      </c>
      <c r="C265" s="68">
        <f>LN(B265)-LN(B264)</f>
        <v>1.2363054415667207E-2</v>
      </c>
      <c r="D265" s="68"/>
      <c r="E265" s="68"/>
      <c r="F265" s="68"/>
      <c r="G265" s="68"/>
      <c r="H265" s="68"/>
      <c r="I265">
        <f>_xlfn.STDEV.S(C245:C265)</f>
        <v>9.6947905317089234E-3</v>
      </c>
      <c r="J265">
        <f>_xlfn.NORM.S.INV(0.99)*I265*SQRT(10)</f>
        <v>7.1320287989864381E-2</v>
      </c>
      <c r="K265">
        <f>LN(B274)-LN(B265)</f>
        <v>3.6730460090346639E-2</v>
      </c>
      <c r="L265">
        <f>IF(K265&lt;-(J265),1,0)</f>
        <v>0</v>
      </c>
      <c r="M265" s="72">
        <f t="shared" si="3"/>
        <v>8.1524908651726583E-2</v>
      </c>
      <c r="N265">
        <f>SQRT((N264^2)*0.72+(1-0.72)*(C264^2))</f>
        <v>1.108347708921064E-2</v>
      </c>
      <c r="O265">
        <f>_xlfn.NORM.S.INV(0.99)*N265*SQRT(10)</f>
        <v>8.1536241071546639E-2</v>
      </c>
      <c r="P265">
        <f>LN(B274)-LN(B265)</f>
        <v>3.6730460090346639E-2</v>
      </c>
      <c r="Q265">
        <f>IF(P265&lt;-(O265),1,0)</f>
        <v>0</v>
      </c>
    </row>
    <row r="266" spans="1:17">
      <c r="A266" s="64">
        <v>41677</v>
      </c>
      <c r="B266">
        <v>1797.0200199999999</v>
      </c>
      <c r="C266" s="68">
        <f>LN(B266)-LN(B265)</f>
        <v>1.3214193602149038E-2</v>
      </c>
      <c r="D266" s="68"/>
      <c r="E266" s="68"/>
      <c r="F266" s="68"/>
      <c r="G266" s="68"/>
      <c r="H266" s="68"/>
      <c r="I266">
        <f>_xlfn.STDEV.S(C246:C266)</f>
        <v>1.0225974642597318E-2</v>
      </c>
      <c r="J266">
        <f>_xlfn.NORM.S.INV(0.99)*I266*SQRT(10)</f>
        <v>7.5227974663474473E-2</v>
      </c>
      <c r="K266">
        <f>LN(B275)-LN(B266)</f>
        <v>2.1595699976380445E-2</v>
      </c>
      <c r="L266">
        <f>IF(K266&lt;-(J266),1,0)</f>
        <v>0</v>
      </c>
      <c r="M266" s="72">
        <f t="shared" si="3"/>
        <v>8.4270109269435622E-2</v>
      </c>
      <c r="N266">
        <f>SQRT((N265^2)*0.72+(1-0.72)*(C265^2))</f>
        <v>1.1456174161316278E-2</v>
      </c>
      <c r="O266">
        <f>_xlfn.NORM.S.INV(0.99)*N266*SQRT(10)</f>
        <v>8.4278008666072254E-2</v>
      </c>
      <c r="P266">
        <f>LN(B275)-LN(B266)</f>
        <v>2.1595699976380445E-2</v>
      </c>
      <c r="Q266">
        <f>IF(P266&lt;-(O266),1,0)</f>
        <v>0</v>
      </c>
    </row>
    <row r="267" spans="1:17">
      <c r="A267" s="64">
        <v>41680</v>
      </c>
      <c r="B267">
        <v>1799.839966</v>
      </c>
      <c r="C267" s="68">
        <f>LN(B267)-LN(B266)</f>
        <v>1.5680046422410499E-3</v>
      </c>
      <c r="D267" s="68"/>
      <c r="E267" s="68"/>
      <c r="F267" s="68"/>
      <c r="G267" s="68"/>
      <c r="H267" s="68"/>
      <c r="I267">
        <f>_xlfn.STDEV.S(C247:C267)</f>
        <v>1.0237833739071014E-2</v>
      </c>
      <c r="J267">
        <f>_xlfn.NORM.S.INV(0.99)*I267*SQRT(10)</f>
        <v>7.5315216793465548E-2</v>
      </c>
      <c r="K267">
        <f>LN(B276)-LN(B267)</f>
        <v>2.6195150696191938E-2</v>
      </c>
      <c r="L267">
        <f>IF(K267&lt;-(J267),1,0)</f>
        <v>0</v>
      </c>
      <c r="M267" s="72">
        <f t="shared" si="3"/>
        <v>8.8085386391388409E-2</v>
      </c>
      <c r="N267">
        <f>SQRT((N266^2)*0.72+(1-0.72)*(C266^2))</f>
        <v>1.1974464603221189E-2</v>
      </c>
      <c r="O267">
        <f>_xlfn.NORM.S.INV(0.99)*N267*SQRT(10)</f>
        <v>8.8090842317109008E-2</v>
      </c>
      <c r="P267">
        <f>LN(B276)-LN(B267)</f>
        <v>2.6195150696191938E-2</v>
      </c>
      <c r="Q267">
        <f>IF(P267&lt;-(O267),1,0)</f>
        <v>0</v>
      </c>
    </row>
    <row r="268" spans="1:17">
      <c r="A268" s="64">
        <v>41681</v>
      </c>
      <c r="B268">
        <v>1819.75</v>
      </c>
      <c r="C268" s="68">
        <f>LN(B268)-LN(B267)</f>
        <v>1.1001375844419847E-2</v>
      </c>
      <c r="D268" s="68"/>
      <c r="E268" s="68"/>
      <c r="F268" s="68"/>
      <c r="G268" s="68"/>
      <c r="H268" s="68"/>
      <c r="I268">
        <f>_xlfn.STDEV.S(C248:C268)</f>
        <v>1.0549458177039502E-2</v>
      </c>
      <c r="J268">
        <f>_xlfn.NORM.S.INV(0.99)*I268*SQRT(10)</f>
        <v>7.7607700018131429E-2</v>
      </c>
      <c r="K268">
        <f>LN(B277)-LN(B268)</f>
        <v>1.3845184301764846E-2</v>
      </c>
      <c r="L268">
        <f>IF(K268&lt;-(J268),1,0)</f>
        <v>0</v>
      </c>
      <c r="M268" s="72">
        <f t="shared" si="3"/>
        <v>7.4990993839065392E-2</v>
      </c>
      <c r="N268">
        <f>SQRT((N267^2)*0.72+(1-0.72)*(C267^2))</f>
        <v>1.0194490503237473E-2</v>
      </c>
      <c r="O268">
        <f>_xlfn.NORM.S.INV(0.99)*N268*SQRT(10)</f>
        <v>7.4996359768968721E-2</v>
      </c>
      <c r="P268">
        <f>LN(B277)-LN(B268)</f>
        <v>1.3845184301764846E-2</v>
      </c>
      <c r="Q268">
        <f>IF(P268&lt;-(O268),1,0)</f>
        <v>0</v>
      </c>
    </row>
    <row r="269" spans="1:17">
      <c r="A269" s="64">
        <v>41682</v>
      </c>
      <c r="B269">
        <v>1819.26001</v>
      </c>
      <c r="C269" s="68">
        <f>LN(B269)-LN(B268)</f>
        <v>-2.6929851889079259E-4</v>
      </c>
      <c r="D269" s="68"/>
      <c r="E269" s="68"/>
      <c r="F269" s="68"/>
      <c r="G269" s="68"/>
      <c r="H269" s="68"/>
      <c r="I269">
        <f>_xlfn.STDEV.S(C249:C269)</f>
        <v>1.0180833988097476E-2</v>
      </c>
      <c r="J269">
        <f>_xlfn.NORM.S.INV(0.99)*I269*SQRT(10)</f>
        <v>7.4895894824467138E-2</v>
      </c>
      <c r="K269">
        <f>LN(B278)-LN(B269)</f>
        <v>1.4136182528909025E-2</v>
      </c>
      <c r="L269">
        <f>IF(K269&lt;-(J269),1,0)</f>
        <v>0</v>
      </c>
      <c r="M269" s="72">
        <f t="shared" si="3"/>
        <v>7.6678770317329364E-2</v>
      </c>
      <c r="N269">
        <f>SQRT((N268^2)*0.72+(1-0.72)*(C268^2))</f>
        <v>1.0426714444084625E-2</v>
      </c>
      <c r="O269">
        <f>_xlfn.NORM.S.INV(0.99)*N269*SQRT(10)</f>
        <v>7.6704728638331041E-2</v>
      </c>
      <c r="P269">
        <f>LN(B278)-LN(B269)</f>
        <v>1.4136182528909025E-2</v>
      </c>
      <c r="Q269">
        <f>IF(P269&lt;-(O269),1,0)</f>
        <v>0</v>
      </c>
    </row>
    <row r="270" spans="1:17">
      <c r="A270" s="64">
        <v>41683</v>
      </c>
      <c r="B270">
        <v>1829.829956</v>
      </c>
      <c r="C270" s="68">
        <f>LN(B270)-LN(B269)</f>
        <v>5.7932118200598737E-3</v>
      </c>
      <c r="D270" s="68"/>
      <c r="E270" s="68"/>
      <c r="F270" s="68"/>
      <c r="G270" s="68"/>
      <c r="H270" s="68"/>
      <c r="I270">
        <f>_xlfn.STDEV.S(C250:C270)</f>
        <v>9.9740035601535298E-3</v>
      </c>
      <c r="J270">
        <f>_xlfn.NORM.S.INV(0.99)*I270*SQRT(10)</f>
        <v>7.337433480336282E-2</v>
      </c>
      <c r="K270">
        <f>LN(B279)-LN(B270)</f>
        <v>1.3278852180943268E-2</v>
      </c>
      <c r="L270">
        <f>IF(K270&lt;-(J270),1,0)</f>
        <v>0</v>
      </c>
      <c r="M270" s="72">
        <f t="shared" si="3"/>
        <v>6.5053641070033016E-2</v>
      </c>
      <c r="N270">
        <f>SQRT((N269^2)*0.72+(1-0.72)*(C269^2))</f>
        <v>8.8485080903362018E-3</v>
      </c>
      <c r="O270">
        <f>_xlfn.NORM.S.INV(0.99)*N270*SQRT(10)</f>
        <v>6.5094562200116057E-2</v>
      </c>
      <c r="P270">
        <f>LN(B279)-LN(B270)</f>
        <v>1.3278852180943268E-2</v>
      </c>
      <c r="Q270">
        <f>IF(P270&lt;-(O270),1,0)</f>
        <v>0</v>
      </c>
    </row>
    <row r="271" spans="1:17">
      <c r="A271" s="64">
        <v>41684</v>
      </c>
      <c r="B271">
        <v>1838.630005</v>
      </c>
      <c r="C271" s="68">
        <f>LN(B271)-LN(B270)</f>
        <v>4.7976894791714741E-3</v>
      </c>
      <c r="D271" s="68"/>
      <c r="E271" s="68"/>
      <c r="F271" s="68"/>
      <c r="G271" s="68"/>
      <c r="H271" s="68"/>
      <c r="I271">
        <f>_xlfn.STDEV.S(C251:C271)</f>
        <v>9.9647066994455261E-3</v>
      </c>
      <c r="J271">
        <f>_xlfn.NORM.S.INV(0.99)*I271*SQRT(10)</f>
        <v>7.3305941909165881E-2</v>
      </c>
      <c r="K271">
        <f>LN(B280)-LN(B271)</f>
        <v>1.1259986924382126E-2</v>
      </c>
      <c r="L271">
        <f>IF(K271&lt;-(J271),1,0)</f>
        <v>0</v>
      </c>
      <c r="M271" s="72">
        <f t="shared" si="3"/>
        <v>5.9624018194792926E-2</v>
      </c>
      <c r="N271">
        <f>SQRT((N270^2)*0.72+(1-0.72)*(C270^2))</f>
        <v>8.1098923297167978E-3</v>
      </c>
      <c r="O271">
        <f>_xlfn.NORM.S.INV(0.99)*N271*SQRT(10)</f>
        <v>5.9660892582507216E-2</v>
      </c>
      <c r="P271">
        <f>LN(B280)-LN(B271)</f>
        <v>1.1259986924382126E-2</v>
      </c>
      <c r="Q271">
        <f>IF(P271&lt;-(O271),1,0)</f>
        <v>0</v>
      </c>
    </row>
    <row r="272" spans="1:17">
      <c r="A272" s="64">
        <v>41688</v>
      </c>
      <c r="B272">
        <v>1840.76001</v>
      </c>
      <c r="C272" s="68">
        <f>LN(B272)-LN(B271)</f>
        <v>1.1578034561470218E-3</v>
      </c>
      <c r="D272" s="68"/>
      <c r="E272" s="68"/>
      <c r="F272" s="68"/>
      <c r="G272" s="68"/>
      <c r="H272" s="68"/>
      <c r="I272">
        <f>_xlfn.STDEV.S(C252:C272)</f>
        <v>9.9659271996177419E-3</v>
      </c>
      <c r="J272">
        <f>_xlfn.NORM.S.INV(0.99)*I272*SQRT(10)</f>
        <v>7.331492058936423E-2</v>
      </c>
      <c r="K272">
        <f>LN(B281)-LN(B272)</f>
        <v>2.6963171062490687E-3</v>
      </c>
      <c r="L272">
        <f>IF(K272&lt;-(J272),1,0)</f>
        <v>0</v>
      </c>
      <c r="M272" s="72">
        <f t="shared" si="3"/>
        <v>5.3929346878376083E-2</v>
      </c>
      <c r="N272">
        <f>SQRT((N271^2)*0.72+(1-0.72)*(C271^2))</f>
        <v>7.3348241564816178E-3</v>
      </c>
      <c r="O272">
        <f>_xlfn.NORM.S.INV(0.99)*N272*SQRT(10)</f>
        <v>5.3959058680463419E-2</v>
      </c>
      <c r="P272">
        <f>LN(B281)-LN(B272)</f>
        <v>2.6963171062490687E-3</v>
      </c>
      <c r="Q272">
        <f>IF(P272&lt;-(O272),1,0)</f>
        <v>0</v>
      </c>
    </row>
    <row r="273" spans="1:17">
      <c r="A273" s="64">
        <v>41689</v>
      </c>
      <c r="B273">
        <v>1828.75</v>
      </c>
      <c r="C273" s="68">
        <f>LN(B273)-LN(B272)</f>
        <v>-6.5458619005207552E-3</v>
      </c>
      <c r="D273" s="68"/>
      <c r="E273" s="68"/>
      <c r="F273" s="68"/>
      <c r="G273" s="68"/>
      <c r="H273" s="68"/>
      <c r="I273">
        <f>_xlfn.STDEV.S(C253:C273)</f>
        <v>1.0032391296421627E-2</v>
      </c>
      <c r="J273">
        <f>_xlfn.NORM.S.INV(0.99)*I273*SQRT(10)</f>
        <v>7.3803867566561446E-2</v>
      </c>
      <c r="K273">
        <f>LN(B282)-LN(B273)</f>
        <v>2.4394501840986571E-2</v>
      </c>
      <c r="L273">
        <f>IF(K273&lt;-(J273),1,0)</f>
        <v>0</v>
      </c>
      <c r="M273" s="72">
        <f t="shared" si="3"/>
        <v>4.5978464770718278E-2</v>
      </c>
      <c r="N273">
        <f>SQRT((N272^2)*0.72+(1-0.72)*(C272^2))</f>
        <v>6.2538857655655171E-3</v>
      </c>
      <c r="O273">
        <f>_xlfn.NORM.S.INV(0.99)*N273*SQRT(10)</f>
        <v>4.6007072808536852E-2</v>
      </c>
      <c r="P273">
        <f>LN(B282)-LN(B273)</f>
        <v>2.4394501840986571E-2</v>
      </c>
      <c r="Q273">
        <f>IF(P273&lt;-(O273),1,0)</f>
        <v>0</v>
      </c>
    </row>
    <row r="274" spans="1:17">
      <c r="A274" s="64">
        <v>41690</v>
      </c>
      <c r="B274">
        <v>1839.780029</v>
      </c>
      <c r="C274" s="68">
        <f>LN(B274)-LN(B273)</f>
        <v>6.0133416655698824E-3</v>
      </c>
      <c r="D274" s="68"/>
      <c r="E274" s="68"/>
      <c r="F274" s="68"/>
      <c r="G274" s="68"/>
      <c r="H274" s="68"/>
      <c r="I274">
        <f>_xlfn.STDEV.S(C254:C274)</f>
        <v>1.0106039117244987E-2</v>
      </c>
      <c r="J274">
        <f>_xlfn.NORM.S.INV(0.99)*I274*SQRT(10)</f>
        <v>7.4345662025530751E-2</v>
      </c>
      <c r="K274">
        <f>LN(B283)-LN(B274)</f>
        <v>1.8327807738446111E-2</v>
      </c>
      <c r="L274">
        <f>IF(K274&lt;-(J274),1,0)</f>
        <v>0</v>
      </c>
      <c r="M274" s="72">
        <f t="shared" si="3"/>
        <v>4.6596398272350598E-2</v>
      </c>
      <c r="N274">
        <f>SQRT((N273^2)*0.72+(1-0.72)*(C273^2))</f>
        <v>6.3369952664719519E-3</v>
      </c>
      <c r="O274">
        <f>_xlfn.NORM.S.INV(0.99)*N274*SQRT(10)</f>
        <v>4.661847266498078E-2</v>
      </c>
      <c r="P274">
        <f>LN(B283)-LN(B274)</f>
        <v>1.8327807738446111E-2</v>
      </c>
      <c r="Q274">
        <f>IF(P274&lt;-(O274),1,0)</f>
        <v>0</v>
      </c>
    </row>
    <row r="275" spans="1:17">
      <c r="A275" s="64">
        <v>41691</v>
      </c>
      <c r="B275">
        <v>1836.25</v>
      </c>
      <c r="C275" s="68">
        <f>LN(B275)-LN(B274)</f>
        <v>-1.9205665118171567E-3</v>
      </c>
      <c r="D275" s="68"/>
      <c r="E275" s="68"/>
      <c r="F275" s="68"/>
      <c r="G275" s="68"/>
      <c r="H275" s="68"/>
      <c r="I275">
        <f>_xlfn.STDEV.S(C255:C275)</f>
        <v>1.0112328208950956E-2</v>
      </c>
      <c r="J275">
        <f>_xlfn.NORM.S.INV(0.99)*I275*SQRT(10)</f>
        <v>7.4391928092878715E-2</v>
      </c>
      <c r="K275">
        <f>LN(B284)-LN(B275)</f>
        <v>2.1965307372154186E-2</v>
      </c>
      <c r="L275">
        <f>IF(K275&lt;-(J275),1,0)</f>
        <v>0</v>
      </c>
      <c r="M275" s="72">
        <f t="shared" si="3"/>
        <v>4.5948038082110308E-2</v>
      </c>
      <c r="N275">
        <f>SQRT((N274^2)*0.72+(1-0.72)*(C274^2))</f>
        <v>6.2480624453964424E-3</v>
      </c>
      <c r="O275">
        <f>_xlfn.NORM.S.INV(0.99)*N275*SQRT(10)</f>
        <v>4.5964233216473749E-2</v>
      </c>
      <c r="P275">
        <f>LN(B284)-LN(B275)</f>
        <v>2.1965307372154186E-2</v>
      </c>
      <c r="Q275">
        <f>IF(P275&lt;-(O275),1,0)</f>
        <v>0</v>
      </c>
    </row>
    <row r="276" spans="1:17">
      <c r="A276" s="64">
        <v>41694</v>
      </c>
      <c r="B276">
        <v>1847.6099850000001</v>
      </c>
      <c r="C276" s="68">
        <f>LN(B276)-LN(B275)</f>
        <v>6.167455362052543E-3</v>
      </c>
      <c r="D276" s="68"/>
      <c r="E276" s="68"/>
      <c r="F276" s="68"/>
      <c r="G276" s="68"/>
      <c r="H276" s="68"/>
      <c r="I276">
        <f>_xlfn.STDEV.S(C256:C276)</f>
        <v>9.9984028747315077E-3</v>
      </c>
      <c r="J276">
        <f>_xlfn.NORM.S.INV(0.99)*I276*SQRT(10)</f>
        <v>7.3553829774065382E-2</v>
      </c>
      <c r="K276">
        <f>LN(B285)-LN(B276)</f>
        <v>1.6335796712099615E-2</v>
      </c>
      <c r="L276">
        <f>IF(K276&lt;-(J276),1,0)</f>
        <v>0</v>
      </c>
      <c r="M276" s="72">
        <f t="shared" si="3"/>
        <v>3.9677204553337446E-2</v>
      </c>
      <c r="N276">
        <f>SQRT((N275^2)*0.72+(1-0.72)*(C275^2))</f>
        <v>5.3981817230342125E-3</v>
      </c>
      <c r="O276">
        <f>_xlfn.NORM.S.INV(0.99)*N276*SQRT(10)</f>
        <v>3.9712036464242977E-2</v>
      </c>
      <c r="P276">
        <f>LN(B285)-LN(B276)</f>
        <v>1.6335796712099615E-2</v>
      </c>
      <c r="Q276">
        <f>IF(P276&lt;-(O276),1,0)</f>
        <v>0</v>
      </c>
    </row>
    <row r="277" spans="1:17">
      <c r="A277" s="64">
        <v>41695</v>
      </c>
      <c r="B277">
        <v>1845.119995</v>
      </c>
      <c r="C277" s="68">
        <f>LN(B277)-LN(B276)</f>
        <v>-1.3485905500072448E-3</v>
      </c>
      <c r="D277" s="68"/>
      <c r="E277" s="68"/>
      <c r="F277" s="68"/>
      <c r="G277" s="68"/>
      <c r="H277" s="68"/>
      <c r="I277">
        <f>_xlfn.STDEV.S(C257:C277)</f>
        <v>8.711932557306061E-3</v>
      </c>
      <c r="J277">
        <f>_xlfn.NORM.S.INV(0.99)*I277*SQRT(10)</f>
        <v>6.4089836382036733E-2</v>
      </c>
      <c r="K277">
        <f>LN(B286)-LN(B277)</f>
        <v>1.7221033683299858E-2</v>
      </c>
      <c r="L277">
        <f>IF(K277&lt;-(J277),1,0)</f>
        <v>0</v>
      </c>
      <c r="M277" s="72">
        <f t="shared" si="3"/>
        <v>4.1236183050932733E-2</v>
      </c>
      <c r="N277">
        <f>SQRT((N276^2)*0.72+(1-0.72)*(C276^2))</f>
        <v>5.6241946124528297E-3</v>
      </c>
      <c r="O277">
        <f>_xlfn.NORM.S.INV(0.99)*N277*SQRT(10)</f>
        <v>4.1374713374077741E-2</v>
      </c>
      <c r="P277">
        <f>LN(B286)-LN(B277)</f>
        <v>1.7221033683299858E-2</v>
      </c>
      <c r="Q277">
        <f>IF(P277&lt;-(O277),1,0)</f>
        <v>0</v>
      </c>
    </row>
    <row r="278" spans="1:17">
      <c r="A278" s="64">
        <v>41696</v>
      </c>
      <c r="B278">
        <v>1845.160034</v>
      </c>
      <c r="C278" s="68">
        <f>LN(B278)-LN(B277)</f>
        <v>2.1699708253386518E-5</v>
      </c>
      <c r="D278" s="68"/>
      <c r="E278" s="68"/>
      <c r="F278" s="68"/>
      <c r="G278" s="68"/>
      <c r="H278" s="68"/>
      <c r="I278">
        <f>_xlfn.STDEV.S(C258:C278)</f>
        <v>8.598857148420784E-3</v>
      </c>
      <c r="J278">
        <f>_xlfn.NORM.S.INV(0.99)*I278*SQRT(10)</f>
        <v>6.3257990588165003E-2</v>
      </c>
      <c r="K278">
        <f>LN(B287)-LN(B278)</f>
        <v>1.2104237033444321E-2</v>
      </c>
      <c r="L278">
        <f>IF(K278&lt;-(J278),1,0)</f>
        <v>0</v>
      </c>
      <c r="M278" s="72">
        <f t="shared" si="3"/>
        <v>3.5374512647663815E-2</v>
      </c>
      <c r="N278">
        <f>SQRT((N277^2)*0.72+(1-0.72)*(C277^2))</f>
        <v>4.8253457741321039E-3</v>
      </c>
      <c r="O278">
        <f>_xlfn.NORM.S.INV(0.99)*N278*SQRT(10)</f>
        <v>3.5497935632149591E-2</v>
      </c>
      <c r="P278">
        <f>LN(B287)-LN(B278)</f>
        <v>1.2104237033444321E-2</v>
      </c>
      <c r="Q278">
        <f>IF(P278&lt;-(O278),1,0)</f>
        <v>0</v>
      </c>
    </row>
    <row r="279" spans="1:17">
      <c r="A279" s="64">
        <v>41697</v>
      </c>
      <c r="B279">
        <v>1854.290039</v>
      </c>
      <c r="C279" s="68">
        <f>LN(B279)-LN(B278)</f>
        <v>4.9358814720941169E-3</v>
      </c>
      <c r="D279" s="68"/>
      <c r="E279" s="68"/>
      <c r="F279" s="68"/>
      <c r="G279" s="68"/>
      <c r="H279" s="68"/>
      <c r="I279">
        <f>_xlfn.STDEV.S(C259:C279)</f>
        <v>8.5720109579816017E-3</v>
      </c>
      <c r="J279">
        <f>_xlfn.NORM.S.INV(0.99)*I279*SQRT(10)</f>
        <v>6.3060495033486347E-2</v>
      </c>
      <c r="K279">
        <f>LN(B288)-LN(B279)</f>
        <v>7.4734797298132705E-3</v>
      </c>
      <c r="L279">
        <f>IF(K279&lt;-(J279),1,0)</f>
        <v>0</v>
      </c>
      <c r="M279" s="72">
        <f t="shared" si="3"/>
        <v>3.0003125431086686E-2</v>
      </c>
      <c r="N279">
        <f>SQRT((N278^2)*0.72+(1-0.72)*(C278^2))</f>
        <v>4.0944577626845285E-3</v>
      </c>
      <c r="O279">
        <f>_xlfn.NORM.S.INV(0.99)*N279*SQRT(10)</f>
        <v>3.0121115648851636E-2</v>
      </c>
      <c r="P279">
        <f>LN(B288)-LN(B279)</f>
        <v>7.4734797298132705E-3</v>
      </c>
      <c r="Q279">
        <f>IF(P279&lt;-(O279),1,0)</f>
        <v>0</v>
      </c>
    </row>
    <row r="280" spans="1:17">
      <c r="A280" s="64">
        <v>41698</v>
      </c>
      <c r="B280">
        <v>1859.4499510000001</v>
      </c>
      <c r="C280" s="68">
        <f>LN(B280)-LN(B279)</f>
        <v>2.7788242226103321E-3</v>
      </c>
      <c r="D280" s="68"/>
      <c r="E280" s="68"/>
      <c r="F280" s="68"/>
      <c r="G280" s="68"/>
      <c r="H280" s="68"/>
      <c r="I280">
        <f>_xlfn.STDEV.S(C260:C280)</f>
        <v>8.1296317673334641E-3</v>
      </c>
      <c r="J280">
        <f>_xlfn.NORM.S.INV(0.99)*I280*SQRT(10)</f>
        <v>5.9806106898481766E-2</v>
      </c>
      <c r="K280">
        <f>LN(B289)-LN(B280)</f>
        <v>-7.0754359993596694E-3</v>
      </c>
      <c r="L280">
        <f>IF(K280&lt;-(J280),1,0)</f>
        <v>0</v>
      </c>
      <c r="M280" s="72">
        <f t="shared" si="3"/>
        <v>3.1860276479666133E-2</v>
      </c>
      <c r="N280">
        <f>SQRT((N279^2)*0.72+(1-0.72)*(C279^2))</f>
        <v>4.3465066433321861E-3</v>
      </c>
      <c r="O280">
        <f>_xlfn.NORM.S.INV(0.99)*N280*SQRT(10)</f>
        <v>3.1975327835955511E-2</v>
      </c>
      <c r="P280">
        <f>LN(B289)-LN(B280)</f>
        <v>-7.0754359993596694E-3</v>
      </c>
      <c r="Q280">
        <f>IF(P280&lt;-(O280),1,0)</f>
        <v>0</v>
      </c>
    </row>
    <row r="281" spans="1:17">
      <c r="A281" s="64">
        <v>41701</v>
      </c>
      <c r="B281">
        <v>1845.7299800000001</v>
      </c>
      <c r="C281" s="68">
        <f>LN(B281)-LN(B280)</f>
        <v>-7.4058663619860354E-3</v>
      </c>
      <c r="D281" s="68"/>
      <c r="E281" s="68"/>
      <c r="F281" s="68"/>
      <c r="G281" s="68"/>
      <c r="H281" s="68"/>
      <c r="I281">
        <f>_xlfn.STDEV.S(C261:C281)</f>
        <v>8.1173336024647231E-3</v>
      </c>
      <c r="J281">
        <f>_xlfn.NORM.S.INV(0.99)*I281*SQRT(10)</f>
        <v>5.9715634736415273E-2</v>
      </c>
      <c r="K281">
        <f>LN(B290)-LN(B281)</f>
        <v>-2.4953360884900633E-3</v>
      </c>
      <c r="L281">
        <f>IF(K281&lt;-(J281),1,0)</f>
        <v>0</v>
      </c>
      <c r="M281" s="72">
        <f t="shared" ref="M281:M344" si="4">EWMAV(B260:B280,0.72,0.99)*SQRT(10)</f>
        <v>2.9072341944248882E-2</v>
      </c>
      <c r="N281">
        <f>SQRT((N280^2)*0.72+(1-0.72)*(C280^2))</f>
        <v>3.9704468687074322E-3</v>
      </c>
      <c r="O281">
        <f>_xlfn.NORM.S.INV(0.99)*N281*SQRT(10)</f>
        <v>2.9208822325607654E-2</v>
      </c>
      <c r="P281">
        <f>LN(B290)-LN(B281)</f>
        <v>-2.4953360884900633E-3</v>
      </c>
      <c r="Q281">
        <f>IF(P281&lt;-(O281),1,0)</f>
        <v>0</v>
      </c>
    </row>
    <row r="282" spans="1:17">
      <c r="A282" s="64">
        <v>41702</v>
      </c>
      <c r="B282">
        <v>1873.910034</v>
      </c>
      <c r="C282" s="68">
        <f>LN(B282)-LN(B281)</f>
        <v>1.5152322834216747E-2</v>
      </c>
      <c r="D282" s="68"/>
      <c r="E282" s="68"/>
      <c r="F282" s="68"/>
      <c r="G282" s="68"/>
      <c r="H282" s="68"/>
      <c r="I282">
        <f>_xlfn.STDEV.S(C262:C282)</f>
        <v>8.4400279626099684E-3</v>
      </c>
      <c r="J282">
        <f>_xlfn.NORM.S.INV(0.99)*I282*SQRT(10)</f>
        <v>6.2089554484654232E-2</v>
      </c>
      <c r="K282">
        <f>LN(B291)-LN(B282)</f>
        <v>-8.079941320737305E-3</v>
      </c>
      <c r="L282">
        <f>IF(K282&lt;-(J282),1,0)</f>
        <v>0</v>
      </c>
      <c r="M282" s="72">
        <f t="shared" si="4"/>
        <v>3.7931019851299715E-2</v>
      </c>
      <c r="N282">
        <f>SQRT((N281^2)*0.72+(1-0.72)*(C281^2))</f>
        <v>5.1679321437932595E-3</v>
      </c>
      <c r="O282">
        <f>_xlfn.NORM.S.INV(0.99)*N282*SQRT(10)</f>
        <v>3.801819210037561E-2</v>
      </c>
      <c r="P282">
        <f>LN(B291)-LN(B282)</f>
        <v>-8.079941320737305E-3</v>
      </c>
      <c r="Q282">
        <f>IF(P282&lt;-(O282),1,0)</f>
        <v>0</v>
      </c>
    </row>
    <row r="283" spans="1:17">
      <c r="A283" s="64">
        <v>41703</v>
      </c>
      <c r="B283">
        <v>1873.8100589999999</v>
      </c>
      <c r="C283" s="68">
        <f>LN(B283)-LN(B282)</f>
        <v>-5.3352436970577344E-5</v>
      </c>
      <c r="D283" s="68"/>
      <c r="E283" s="68"/>
      <c r="F283" s="68"/>
      <c r="G283" s="68"/>
      <c r="H283" s="68"/>
      <c r="I283">
        <f>_xlfn.STDEV.S(C263:C283)</f>
        <v>6.1494073538193366E-3</v>
      </c>
      <c r="J283">
        <f>_xlfn.NORM.S.INV(0.99)*I283*SQRT(10)</f>
        <v>4.5238471321986967E-2</v>
      </c>
      <c r="K283">
        <f>LN(B292)-LN(B283)</f>
        <v>-8.3290660887325174E-4</v>
      </c>
      <c r="L283">
        <f>IF(K283&lt;-(J283),1,0)</f>
        <v>0</v>
      </c>
      <c r="M283" s="72">
        <f t="shared" si="4"/>
        <v>6.7109381801868206E-2</v>
      </c>
      <c r="N283">
        <f>SQRT((N282^2)*0.72+(1-0.72)*(C282^2))</f>
        <v>9.1386774064469798E-3</v>
      </c>
      <c r="O283">
        <f>_xlfn.NORM.S.INV(0.99)*N283*SQRT(10)</f>
        <v>6.7229209578329674E-2</v>
      </c>
      <c r="P283">
        <f>LN(B292)-LN(B283)</f>
        <v>-8.3290660887325174E-4</v>
      </c>
      <c r="Q283">
        <f>IF(P283&lt;-(O283),1,0)</f>
        <v>0</v>
      </c>
    </row>
    <row r="284" spans="1:17">
      <c r="A284" s="64">
        <v>41704</v>
      </c>
      <c r="B284">
        <v>1877.030029</v>
      </c>
      <c r="C284" s="68">
        <f>LN(B284)-LN(B283)</f>
        <v>1.7169331218909178E-3</v>
      </c>
      <c r="D284" s="68"/>
      <c r="E284" s="68"/>
      <c r="F284" s="68"/>
      <c r="G284" s="68"/>
      <c r="H284" s="68"/>
      <c r="I284">
        <f>_xlfn.STDEV.S(C264:C284)</f>
        <v>6.0853955574878956E-3</v>
      </c>
      <c r="J284">
        <f>_xlfn.NORM.S.INV(0.99)*I284*SQRT(10)</f>
        <v>4.4767564835232559E-2</v>
      </c>
      <c r="K284">
        <f>LN(B293)-LN(B284)</f>
        <v>-8.7003645755876491E-3</v>
      </c>
      <c r="L284">
        <f>IF(K284&lt;-(J284),1,0)</f>
        <v>0</v>
      </c>
      <c r="M284" s="72">
        <f t="shared" si="4"/>
        <v>5.6933770143192383E-2</v>
      </c>
      <c r="N284">
        <f>SQRT((N283^2)*0.72+(1-0.72)*(C283^2))</f>
        <v>7.754476309027182E-3</v>
      </c>
      <c r="O284">
        <f>_xlfn.NORM.S.INV(0.99)*N284*SQRT(10)</f>
        <v>5.7046254043501395E-2</v>
      </c>
      <c r="P284">
        <f>LN(B293)-LN(B284)</f>
        <v>-8.7003645755876491E-3</v>
      </c>
      <c r="Q284">
        <f>IF(P284&lt;-(O284),1,0)</f>
        <v>0</v>
      </c>
    </row>
    <row r="285" spans="1:17">
      <c r="A285" s="64">
        <v>41705</v>
      </c>
      <c r="B285">
        <v>1878.040039</v>
      </c>
      <c r="C285" s="68">
        <f>LN(B285)-LN(B284)</f>
        <v>5.3794470199797217E-4</v>
      </c>
      <c r="D285" s="68"/>
      <c r="E285" s="68"/>
      <c r="F285" s="68"/>
      <c r="G285" s="68"/>
      <c r="H285" s="68"/>
      <c r="I285">
        <f>_xlfn.STDEV.S(C265:C285)</f>
        <v>6.0003328790683482E-3</v>
      </c>
      <c r="J285">
        <f>_xlfn.NORM.S.INV(0.99)*I285*SQRT(10)</f>
        <v>4.4141796315301275E-2</v>
      </c>
      <c r="K285">
        <f>LN(B294)-LN(B285)</f>
        <v>-3.2159753167757543E-3</v>
      </c>
      <c r="L285">
        <f>IF(K285&lt;-(J285),1,0)</f>
        <v>0</v>
      </c>
      <c r="M285" s="72">
        <f t="shared" si="4"/>
        <v>4.8769142587898259E-2</v>
      </c>
      <c r="N285">
        <f>SQRT((N284^2)*0.72+(1-0.72)*(C284^2))</f>
        <v>6.6423166630508413E-3</v>
      </c>
      <c r="O285">
        <f>_xlfn.NORM.S.INV(0.99)*N285*SQRT(10)</f>
        <v>4.8864587200643218E-2</v>
      </c>
      <c r="P285">
        <f>LN(B294)-LN(B285)</f>
        <v>-3.2159753167757543E-3</v>
      </c>
      <c r="Q285">
        <f>IF(P285&lt;-(O285),1,0)</f>
        <v>0</v>
      </c>
    </row>
    <row r="286" spans="1:17">
      <c r="A286" s="64">
        <v>41708</v>
      </c>
      <c r="B286">
        <v>1877.170044</v>
      </c>
      <c r="C286" s="68">
        <f>LN(B286)-LN(B285)</f>
        <v>-4.6335357880700201E-4</v>
      </c>
      <c r="D286" s="68"/>
      <c r="E286" s="68"/>
      <c r="F286" s="68"/>
      <c r="G286" s="68"/>
      <c r="H286" s="68"/>
      <c r="I286">
        <f>_xlfn.STDEV.S(C266:C286)</f>
        <v>5.6777160434257137E-3</v>
      </c>
      <c r="J286">
        <f>_xlfn.NORM.S.INV(0.99)*I286*SQRT(10)</f>
        <v>4.1768446880555352E-2</v>
      </c>
      <c r="K286">
        <f>LN(B295)-LN(B286)</f>
        <v>-5.6896017286414136E-3</v>
      </c>
      <c r="L286">
        <f>IF(K286&lt;-(J286),1,0)</f>
        <v>0</v>
      </c>
      <c r="M286" s="72">
        <f t="shared" si="4"/>
        <v>4.1395745603502655E-2</v>
      </c>
      <c r="N286">
        <f>SQRT((N285^2)*0.72+(1-0.72)*(C285^2))</f>
        <v>5.6433761641670683E-3</v>
      </c>
      <c r="O286">
        <f>_xlfn.NORM.S.INV(0.99)*N286*SQRT(10)</f>
        <v>4.1515823570102868E-2</v>
      </c>
      <c r="P286">
        <f>LN(B295)-LN(B286)</f>
        <v>-5.6896017286414136E-3</v>
      </c>
      <c r="Q286">
        <f>IF(P286&lt;-(O286),1,0)</f>
        <v>0</v>
      </c>
    </row>
    <row r="287" spans="1:17">
      <c r="A287" s="64">
        <v>41709</v>
      </c>
      <c r="B287">
        <v>1867.630005</v>
      </c>
      <c r="C287" s="68">
        <f>LN(B287)-LN(B286)</f>
        <v>-5.0950969416021508E-3</v>
      </c>
      <c r="D287" s="68"/>
      <c r="E287" s="68"/>
      <c r="F287" s="68"/>
      <c r="G287" s="68"/>
      <c r="H287" s="68"/>
      <c r="I287">
        <f>_xlfn.STDEV.S(C267:C287)</f>
        <v>5.3816462085827929E-3</v>
      </c>
      <c r="J287">
        <f>_xlfn.NORM.S.INV(0.99)*I287*SQRT(10)</f>
        <v>3.9590391994578721E-2</v>
      </c>
      <c r="K287">
        <f>LN(B296)-LN(B287)</f>
        <v>-5.4710862162528073E-3</v>
      </c>
      <c r="L287">
        <f>IF(K287&lt;-(J287),1,0)</f>
        <v>0</v>
      </c>
      <c r="M287" s="72">
        <f t="shared" si="4"/>
        <v>3.5118970665369786E-2</v>
      </c>
      <c r="N287">
        <f>SQRT((N286^2)*0.72+(1-0.72)*(C286^2))</f>
        <v>4.7948362946743242E-3</v>
      </c>
      <c r="O287">
        <f>_xlfn.NORM.S.INV(0.99)*N287*SQRT(10)</f>
        <v>3.5273490879657747E-2</v>
      </c>
      <c r="P287">
        <f>LN(B296)-LN(B287)</f>
        <v>-5.4710862162528073E-3</v>
      </c>
      <c r="Q287">
        <f>IF(P287&lt;-(O287),1,0)</f>
        <v>0</v>
      </c>
    </row>
    <row r="288" spans="1:17">
      <c r="A288" s="64">
        <v>41710</v>
      </c>
      <c r="B288">
        <v>1868.1999510000001</v>
      </c>
      <c r="C288" s="68">
        <f>LN(B288)-LN(B287)</f>
        <v>3.0512416846306678E-4</v>
      </c>
      <c r="D288" s="68"/>
      <c r="E288" s="68"/>
      <c r="F288" s="68"/>
      <c r="G288" s="68"/>
      <c r="H288" s="68"/>
      <c r="I288">
        <f>_xlfn.STDEV.S(C268:C288)</f>
        <v>5.3918283887139174E-3</v>
      </c>
      <c r="J288">
        <f>_xlfn.NORM.S.INV(0.99)*I288*SQRT(10)</f>
        <v>3.9665297792382322E-2</v>
      </c>
      <c r="K288">
        <f>LN(B297)-LN(B288)</f>
        <v>-1.3819393799936464E-3</v>
      </c>
      <c r="L288">
        <f>IF(K288&lt;-(J288),1,0)</f>
        <v>0</v>
      </c>
      <c r="M288" s="72">
        <f t="shared" si="4"/>
        <v>3.5795726946823925E-2</v>
      </c>
      <c r="N288">
        <f>SQRT((N287^2)*0.72+(1-0.72)*(C287^2))</f>
        <v>4.8807715848186821E-3</v>
      </c>
      <c r="O288">
        <f>_xlfn.NORM.S.INV(0.99)*N288*SQRT(10)</f>
        <v>3.5905678818277172E-2</v>
      </c>
      <c r="P288">
        <f>LN(B297)-LN(B288)</f>
        <v>-1.3819393799936464E-3</v>
      </c>
      <c r="Q288">
        <f>IF(P288&lt;-(O288),1,0)</f>
        <v>0</v>
      </c>
    </row>
    <row r="289" spans="1:17">
      <c r="A289" s="64">
        <v>41711</v>
      </c>
      <c r="B289">
        <v>1846.339966</v>
      </c>
      <c r="C289" s="68">
        <f>LN(B289)-LN(B288)</f>
        <v>-1.1770091506562608E-2</v>
      </c>
      <c r="D289" s="68"/>
      <c r="E289" s="68"/>
      <c r="F289" s="68"/>
      <c r="G289" s="68"/>
      <c r="H289" s="68"/>
      <c r="I289">
        <f>_xlfn.STDEV.S(C269:C289)</f>
        <v>5.723168163733465E-3</v>
      </c>
      <c r="J289">
        <f>_xlfn.NORM.S.INV(0.99)*I289*SQRT(10)</f>
        <v>4.2102818035816135E-2</v>
      </c>
      <c r="K289">
        <f>LN(B298)-LN(B289)</f>
        <v>3.3632154537990289E-3</v>
      </c>
      <c r="L289">
        <f>IF(K289&lt;-(J289),1,0)</f>
        <v>0</v>
      </c>
      <c r="M289" s="72">
        <f t="shared" si="4"/>
        <v>3.0354581425769453E-2</v>
      </c>
      <c r="N289">
        <f>SQRT((N288^2)*0.72+(1-0.72)*(C288^2))</f>
        <v>4.1446180429293329E-3</v>
      </c>
      <c r="O289">
        <f>_xlfn.NORM.S.INV(0.99)*N289*SQRT(10)</f>
        <v>3.0490122655347646E-2</v>
      </c>
      <c r="P289">
        <f>LN(B298)-LN(B289)</f>
        <v>3.3632154537990289E-3</v>
      </c>
      <c r="Q289">
        <f>IF(P289&lt;-(O289),1,0)</f>
        <v>0</v>
      </c>
    </row>
    <row r="290" spans="1:17">
      <c r="A290" s="64">
        <v>41712</v>
      </c>
      <c r="B290">
        <v>1841.130005</v>
      </c>
      <c r="C290" s="68">
        <f>LN(B290)-LN(B289)</f>
        <v>-2.8257664511164293E-3</v>
      </c>
      <c r="D290" s="68"/>
      <c r="E290" s="68"/>
      <c r="F290" s="68"/>
      <c r="G290" s="68"/>
      <c r="H290" s="68"/>
      <c r="I290">
        <f>_xlfn.STDEV.S(C270:C290)</f>
        <v>5.7715949011448251E-3</v>
      </c>
      <c r="J290">
        <f>_xlfn.NORM.S.INV(0.99)*I290*SQRT(10)</f>
        <v>4.2459072134065225E-2</v>
      </c>
      <c r="K290">
        <f>LN(B299)-LN(B290)</f>
        <v>4.2870903078453537E-3</v>
      </c>
      <c r="L290">
        <f>IF(K290&lt;-(J290),1,0)</f>
        <v>0</v>
      </c>
      <c r="M290" s="72">
        <f t="shared" si="4"/>
        <v>5.2561114398128862E-2</v>
      </c>
      <c r="N290">
        <f>SQRT((N289^2)*0.72+(1-0.72)*(C289^2))</f>
        <v>7.1524732379840677E-3</v>
      </c>
      <c r="O290">
        <f>_xlfn.NORM.S.INV(0.99)*N290*SQRT(10)</f>
        <v>5.2617583588255412E-2</v>
      </c>
      <c r="P290">
        <f>LN(B299)-LN(B290)</f>
        <v>4.2870903078453537E-3</v>
      </c>
      <c r="Q290">
        <f>IF(P290&lt;-(O290),1,0)</f>
        <v>0</v>
      </c>
    </row>
    <row r="291" spans="1:17">
      <c r="A291" s="64">
        <v>41715</v>
      </c>
      <c r="B291">
        <v>1858.829956</v>
      </c>
      <c r="C291" s="68">
        <f>LN(B291)-LN(B290)</f>
        <v>9.5677176019695054E-3</v>
      </c>
      <c r="D291" s="68"/>
      <c r="E291" s="68"/>
      <c r="F291" s="68"/>
      <c r="G291" s="68"/>
      <c r="H291" s="68"/>
      <c r="I291">
        <f>_xlfn.STDEV.S(C271:C291)</f>
        <v>5.9967992019040132E-3</v>
      </c>
      <c r="J291">
        <f>_xlfn.NORM.S.INV(0.99)*I291*SQRT(10)</f>
        <v>4.4115800614600027E-2</v>
      </c>
      <c r="K291">
        <f>LN(B300)-LN(B291)</f>
        <v>-6.5113807999761519E-4</v>
      </c>
      <c r="L291">
        <f>IF(K291&lt;-(J291),1,0)</f>
        <v>0</v>
      </c>
      <c r="M291" s="72">
        <f t="shared" si="4"/>
        <v>4.5928298036764237E-2</v>
      </c>
      <c r="N291">
        <f>SQRT((N290^2)*0.72+(1-0.72)*(C290^2))</f>
        <v>6.2505564994332959E-3</v>
      </c>
      <c r="O291">
        <f>_xlfn.NORM.S.INV(0.99)*N291*SQRT(10)</f>
        <v>4.5982580869431175E-2</v>
      </c>
      <c r="P291">
        <f>LN(B300)-LN(B291)</f>
        <v>-6.5113807999761519E-4</v>
      </c>
      <c r="Q291">
        <f>IF(P291&lt;-(O291),1,0)</f>
        <v>0</v>
      </c>
    </row>
    <row r="292" spans="1:17">
      <c r="A292" s="64">
        <v>41716</v>
      </c>
      <c r="B292">
        <v>1872.25</v>
      </c>
      <c r="C292" s="68">
        <f>LN(B292)-LN(B291)</f>
        <v>7.1936822748934759E-3</v>
      </c>
      <c r="D292" s="68"/>
      <c r="E292" s="68"/>
      <c r="F292" s="68"/>
      <c r="G292" s="68"/>
      <c r="H292" s="68"/>
      <c r="I292">
        <f>_xlfn.STDEV.S(C272:C292)</f>
        <v>6.0995974587517571E-3</v>
      </c>
      <c r="J292">
        <f>_xlfn.NORM.S.INV(0.99)*I292*SQRT(10)</f>
        <v>4.4872041944338664E-2</v>
      </c>
      <c r="K292">
        <f>LN(B301)-LN(B292)</f>
        <v>4.8051188960229752E-5</v>
      </c>
      <c r="L292">
        <f>IF(K292&lt;-(J292),1,0)</f>
        <v>0</v>
      </c>
      <c r="M292" s="72">
        <f t="shared" si="4"/>
        <v>5.3902107899641741E-2</v>
      </c>
      <c r="N292">
        <f>SQRT((N291^2)*0.72+(1-0.72)*(C291^2))</f>
        <v>7.3322268342549263E-3</v>
      </c>
      <c r="O292">
        <f>_xlfn.NORM.S.INV(0.99)*N292*SQRT(10)</f>
        <v>5.3939951329087008E-2</v>
      </c>
      <c r="P292">
        <f>LN(B301)-LN(B292)</f>
        <v>4.8051188960229752E-5</v>
      </c>
      <c r="Q292">
        <f>IF(P292&lt;-(O292),1,0)</f>
        <v>0</v>
      </c>
    </row>
    <row r="293" spans="1:17">
      <c r="A293" s="64">
        <v>41717</v>
      </c>
      <c r="B293">
        <v>1860.7700199999999</v>
      </c>
      <c r="C293" s="68">
        <f>LN(B293)-LN(B292)</f>
        <v>-6.1505248448234795E-3</v>
      </c>
      <c r="D293" s="68"/>
      <c r="E293" s="68"/>
      <c r="F293" s="68"/>
      <c r="G293" s="68"/>
      <c r="H293" s="68"/>
      <c r="I293">
        <f>_xlfn.STDEV.S(C273:C293)</f>
        <v>6.2875234892798169E-3</v>
      </c>
      <c r="J293">
        <f>_xlfn.NORM.S.INV(0.99)*I293*SQRT(10)</f>
        <v>4.6254530671064227E-2</v>
      </c>
      <c r="K293">
        <f>LN(B302)-LN(B293)</f>
        <v>1.3213264230632404E-2</v>
      </c>
      <c r="L293">
        <f>IF(K293&lt;-(J293),1,0)</f>
        <v>0</v>
      </c>
      <c r="M293" s="72">
        <f t="shared" si="4"/>
        <v>5.3628869716789172E-2</v>
      </c>
      <c r="N293">
        <f>SQRT((N292^2)*0.72+(1-0.72)*(C292^2))</f>
        <v>7.2936996345784365E-3</v>
      </c>
      <c r="O293">
        <f>_xlfn.NORM.S.INV(0.99)*N293*SQRT(10)</f>
        <v>5.3656523753485133E-2</v>
      </c>
      <c r="P293">
        <f>LN(B302)-LN(B293)</f>
        <v>1.3213264230632404E-2</v>
      </c>
      <c r="Q293">
        <f>IF(P293&lt;-(O293),1,0)</f>
        <v>0</v>
      </c>
    </row>
    <row r="294" spans="1:17">
      <c r="A294" s="64">
        <v>41718</v>
      </c>
      <c r="B294">
        <v>1872.01001</v>
      </c>
      <c r="C294" s="68">
        <f>LN(B294)-LN(B293)</f>
        <v>6.0223339608098669E-3</v>
      </c>
      <c r="D294" s="68"/>
      <c r="E294" s="68"/>
      <c r="F294" s="68"/>
      <c r="G294" s="68"/>
      <c r="H294" s="68"/>
      <c r="I294">
        <f>_xlfn.STDEV.S(C274:C294)</f>
        <v>6.1790608880293463E-3</v>
      </c>
      <c r="J294">
        <f>_xlfn.NORM.S.INV(0.99)*I294*SQRT(10)</f>
        <v>4.5456619263694209E-2</v>
      </c>
      <c r="K294">
        <f>LN(B303)-LN(B294)</f>
        <v>1.0040193634079486E-2</v>
      </c>
      <c r="L294">
        <f>IF(K294&lt;-(J294),1,0)</f>
        <v>0</v>
      </c>
      <c r="M294" s="72">
        <f t="shared" si="4"/>
        <v>5.1410929383784679E-2</v>
      </c>
      <c r="N294">
        <f>SQRT((N293^2)*0.72+(1-0.72)*(C293^2))</f>
        <v>6.9924750111462807E-3</v>
      </c>
      <c r="O294">
        <f>_xlfn.NORM.S.INV(0.99)*N294*SQRT(10)</f>
        <v>5.1440547366728401E-2</v>
      </c>
      <c r="P294">
        <f>LN(B303)-LN(B294)</f>
        <v>1.0040193634079486E-2</v>
      </c>
      <c r="Q294">
        <f>IF(P294&lt;-(O294),1,0)</f>
        <v>0</v>
      </c>
    </row>
    <row r="295" spans="1:17">
      <c r="A295" s="64">
        <v>41719</v>
      </c>
      <c r="B295">
        <v>1866.5200199999999</v>
      </c>
      <c r="C295" s="68">
        <f>LN(B295)-LN(B294)</f>
        <v>-2.9369799906726612E-3</v>
      </c>
      <c r="D295" s="68"/>
      <c r="E295" s="68"/>
      <c r="F295" s="68"/>
      <c r="G295" s="68"/>
      <c r="H295" s="68"/>
      <c r="I295">
        <f>_xlfn.STDEV.S(C275:C295)</f>
        <v>6.1326837144731151E-3</v>
      </c>
      <c r="J295">
        <f>_xlfn.NORM.S.INV(0.99)*I295*SQRT(10)</f>
        <v>4.511544290063943E-2</v>
      </c>
      <c r="K295">
        <f>LN(B304)-LN(B295)</f>
        <v>1.1850088878895271E-2</v>
      </c>
      <c r="L295">
        <f>IF(K295&lt;-(J295),1,0)</f>
        <v>0</v>
      </c>
      <c r="M295" s="72">
        <f t="shared" si="4"/>
        <v>4.9516057021642475E-2</v>
      </c>
      <c r="N295">
        <f>SQRT((N294^2)*0.72+(1-0.72)*(C294^2))</f>
        <v>6.7349365740614377E-3</v>
      </c>
      <c r="O295">
        <f>_xlfn.NORM.S.INV(0.99)*N295*SQRT(10)</f>
        <v>4.954595093978395E-2</v>
      </c>
      <c r="P295">
        <f>LN(B304)-LN(B295)</f>
        <v>1.1850088878895271E-2</v>
      </c>
      <c r="Q295">
        <f>IF(P295&lt;-(O295),1,0)</f>
        <v>0</v>
      </c>
    </row>
    <row r="296" spans="1:17">
      <c r="A296" s="64">
        <v>41722</v>
      </c>
      <c r="B296">
        <v>1857.4399410000001</v>
      </c>
      <c r="C296" s="68">
        <f>LN(B296)-LN(B295)</f>
        <v>-4.8765814292135445E-3</v>
      </c>
      <c r="D296" s="68"/>
      <c r="E296" s="68"/>
      <c r="F296" s="68"/>
      <c r="G296" s="68"/>
      <c r="H296" s="68"/>
      <c r="I296">
        <f>_xlfn.STDEV.S(C276:C296)</f>
        <v>6.2287033092240035E-3</v>
      </c>
      <c r="J296">
        <f>_xlfn.NORM.S.INV(0.99)*I296*SQRT(10)</f>
        <v>4.5821816610097627E-2</v>
      </c>
      <c r="K296">
        <f>LN(B305)-LN(B296)</f>
        <v>4.1101272309598258E-3</v>
      </c>
      <c r="L296">
        <f>IF(K296&lt;-(J296),1,0)</f>
        <v>0</v>
      </c>
      <c r="M296" s="72">
        <f t="shared" si="4"/>
        <v>4.3542583034534614E-2</v>
      </c>
      <c r="N296">
        <f>SQRT((N295^2)*0.72+(1-0.72)*(C295^2))</f>
        <v>5.9223293798255717E-3</v>
      </c>
      <c r="O296">
        <f>_xlfn.NORM.S.INV(0.99)*N296*SQRT(10)</f>
        <v>4.3567959055794095E-2</v>
      </c>
      <c r="P296">
        <f>LN(B305)-LN(B296)</f>
        <v>4.1101272309598258E-3</v>
      </c>
      <c r="Q296">
        <f>IF(P296&lt;-(O296),1,0)</f>
        <v>0</v>
      </c>
    </row>
    <row r="297" spans="1:17">
      <c r="A297" s="64">
        <v>41723</v>
      </c>
      <c r="B297">
        <v>1865.619995</v>
      </c>
      <c r="C297" s="68">
        <f>LN(B297)-LN(B296)</f>
        <v>4.3942710047222278E-3</v>
      </c>
      <c r="D297" s="68"/>
      <c r="E297" s="68"/>
      <c r="F297" s="68"/>
      <c r="G297" s="68"/>
      <c r="H297" s="68"/>
      <c r="I297">
        <f>_xlfn.STDEV.S(C277:C297)</f>
        <v>6.1603364663039865E-3</v>
      </c>
      <c r="J297">
        <f>_xlfn.NORM.S.INV(0.99)*I297*SQRT(10)</f>
        <v>4.5318871970905519E-2</v>
      </c>
      <c r="K297">
        <f>LN(B306)-LN(B297)</f>
        <v>-1.1092456236129422E-2</v>
      </c>
      <c r="L297">
        <f>IF(K297&lt;-(J297),1,0)</f>
        <v>0</v>
      </c>
      <c r="M297" s="72">
        <f t="shared" si="4"/>
        <v>4.1528811936597798E-2</v>
      </c>
      <c r="N297">
        <f>SQRT((N296^2)*0.72+(1-0.72)*(C296^2))</f>
        <v>5.6490673925768155E-3</v>
      </c>
      <c r="O297">
        <f>_xlfn.NORM.S.INV(0.99)*N297*SQRT(10)</f>
        <v>4.1557691421488789E-2</v>
      </c>
      <c r="P297">
        <f>LN(B306)-LN(B297)</f>
        <v>-1.1092456236129422E-2</v>
      </c>
      <c r="Q297">
        <f>IF(P297&lt;-(O297),1,0)</f>
        <v>0</v>
      </c>
    </row>
    <row r="298" spans="1:17">
      <c r="A298" s="64">
        <v>41724</v>
      </c>
      <c r="B298">
        <v>1852.5600589999999</v>
      </c>
      <c r="C298" s="68">
        <f>LN(B298)-LN(B297)</f>
        <v>-7.0249366727699325E-3</v>
      </c>
      <c r="D298" s="68"/>
      <c r="E298" s="68"/>
      <c r="F298" s="68"/>
      <c r="G298" s="68"/>
      <c r="H298" s="68"/>
      <c r="I298">
        <f>_xlfn.STDEV.S(C278:C298)</f>
        <v>6.3648871442514212E-3</v>
      </c>
      <c r="J298">
        <f>_xlfn.NORM.S.INV(0.99)*I298*SQRT(10)</f>
        <v>4.6823660879135955E-2</v>
      </c>
      <c r="K298">
        <f>LN(B307)-LN(B298)</f>
        <v>-3.2398151555934618E-4</v>
      </c>
      <c r="L298">
        <f>IF(K298&lt;-(J298),1,0)</f>
        <v>0</v>
      </c>
      <c r="M298" s="72">
        <f t="shared" si="4"/>
        <v>3.9170247434662291E-2</v>
      </c>
      <c r="N298">
        <f>SQRT((N297^2)*0.72+(1-0.72)*(C297^2))</f>
        <v>5.3275985094462242E-3</v>
      </c>
      <c r="O298">
        <f>_xlfn.NORM.S.INV(0.99)*N298*SQRT(10)</f>
        <v>3.9192786965877788E-2</v>
      </c>
      <c r="P298">
        <f>LN(B307)-LN(B298)</f>
        <v>-3.2398151555934618E-4</v>
      </c>
      <c r="Q298">
        <f>IF(P298&lt;-(O298),1,0)</f>
        <v>0</v>
      </c>
    </row>
    <row r="299" spans="1:17">
      <c r="A299" s="64">
        <v>41725</v>
      </c>
      <c r="B299">
        <v>1849.040039</v>
      </c>
      <c r="C299" s="68">
        <f>LN(B299)-LN(B298)</f>
        <v>-1.9018915970701045E-3</v>
      </c>
      <c r="D299" s="68"/>
      <c r="E299" s="68"/>
      <c r="F299" s="68"/>
      <c r="G299" s="68"/>
      <c r="H299" s="68"/>
      <c r="I299">
        <f>_xlfn.STDEV.S(C279:C299)</f>
        <v>6.3812754019759244E-3</v>
      </c>
      <c r="J299">
        <f>_xlfn.NORM.S.INV(0.99)*I299*SQRT(10)</f>
        <v>4.6944222046160743E-2</v>
      </c>
      <c r="K299">
        <f>LN(B308)-LN(B299)</f>
        <v>1.2436949544126996E-2</v>
      </c>
      <c r="L299">
        <f>IF(K299&lt;-(J299),1,0)</f>
        <v>0</v>
      </c>
      <c r="M299" s="72">
        <f t="shared" si="4"/>
        <v>4.3040835439017051E-2</v>
      </c>
      <c r="N299">
        <f>SQRT((N298^2)*0.72+(1-0.72)*(C298^2))</f>
        <v>5.8526836668193871E-3</v>
      </c>
      <c r="O299">
        <f>_xlfn.NORM.S.INV(0.99)*N299*SQRT(10)</f>
        <v>4.3055606334751348E-2</v>
      </c>
      <c r="P299">
        <f>LN(B308)-LN(B299)</f>
        <v>1.2436949544126996E-2</v>
      </c>
      <c r="Q299">
        <f>IF(P299&lt;-(O299),1,0)</f>
        <v>0</v>
      </c>
    </row>
    <row r="300" spans="1:17">
      <c r="A300" s="64">
        <v>41726</v>
      </c>
      <c r="B300">
        <v>1857.619995</v>
      </c>
      <c r="C300" s="68">
        <f>LN(B300)-LN(B299)</f>
        <v>4.6294892141265365E-3</v>
      </c>
      <c r="D300" s="68"/>
      <c r="E300" s="68"/>
      <c r="F300" s="68"/>
      <c r="G300" s="68"/>
      <c r="H300" s="68"/>
      <c r="I300">
        <f>_xlfn.STDEV.S(C280:C300)</f>
        <v>6.370006220836816E-3</v>
      </c>
      <c r="J300">
        <f>_xlfn.NORM.S.INV(0.99)*I300*SQRT(10)</f>
        <v>4.6861319662491657E-2</v>
      </c>
      <c r="K300">
        <f>LN(B309)-LN(B300)</f>
        <v>-1.3298507591619213E-2</v>
      </c>
      <c r="L300">
        <f>IF(K300&lt;-(J300),1,0)</f>
        <v>0</v>
      </c>
      <c r="M300" s="72">
        <f t="shared" si="4"/>
        <v>3.7257276675753404E-2</v>
      </c>
      <c r="N300">
        <f>SQRT((N299^2)*0.72+(1-0.72)*(C299^2))</f>
        <v>5.0671122008434776E-3</v>
      </c>
      <c r="O300">
        <f>_xlfn.NORM.S.INV(0.99)*N300*SQRT(10)</f>
        <v>3.7276504351395158E-2</v>
      </c>
      <c r="P300">
        <f>LN(B309)-LN(B300)</f>
        <v>-1.3298507591619213E-2</v>
      </c>
      <c r="Q300">
        <f>IF(P300&lt;-(O300),1,0)</f>
        <v>0</v>
      </c>
    </row>
    <row r="301" spans="1:17">
      <c r="A301" s="64">
        <v>41729</v>
      </c>
      <c r="B301">
        <v>1872.339966</v>
      </c>
      <c r="C301" s="68">
        <f>LN(B301)-LN(B300)</f>
        <v>7.8928715438513208E-3</v>
      </c>
      <c r="D301" s="68"/>
      <c r="E301" s="68"/>
      <c r="F301" s="68"/>
      <c r="G301" s="68"/>
      <c r="H301" s="68"/>
      <c r="I301">
        <f>_xlfn.STDEV.S(C281:C301)</f>
        <v>6.5726549766946989E-3</v>
      </c>
      <c r="J301">
        <f>_xlfn.NORM.S.INV(0.99)*I301*SQRT(10)</f>
        <v>4.8352116970726465E-2</v>
      </c>
      <c r="K301">
        <f>LN(B310)-LN(B301)</f>
        <v>-3.072343906927788E-2</v>
      </c>
      <c r="L301">
        <f>IF(K301&lt;-(J301),1,0)</f>
        <v>0</v>
      </c>
      <c r="M301" s="72">
        <f t="shared" si="4"/>
        <v>3.6387354225074324E-2</v>
      </c>
      <c r="N301">
        <f>SQRT((N300^2)*0.72+(1-0.72)*(C300^2))</f>
        <v>4.9484804200597204E-3</v>
      </c>
      <c r="O301">
        <f>_xlfn.NORM.S.INV(0.99)*N301*SQRT(10)</f>
        <v>3.6403782785872425E-2</v>
      </c>
      <c r="P301">
        <f>LN(B310)-LN(B301)</f>
        <v>-3.072343906927788E-2</v>
      </c>
      <c r="Q301">
        <f>IF(P301&lt;-(O301),1,0)</f>
        <v>0</v>
      </c>
    </row>
    <row r="302" spans="1:17">
      <c r="A302" s="64">
        <v>41730</v>
      </c>
      <c r="B302">
        <v>1885.5200199999999</v>
      </c>
      <c r="C302" s="68">
        <f>LN(B302)-LN(B301)</f>
        <v>7.0146881968486952E-3</v>
      </c>
      <c r="D302" s="68"/>
      <c r="E302" s="68"/>
      <c r="F302" s="68"/>
      <c r="G302" s="68"/>
      <c r="H302" s="68"/>
      <c r="I302">
        <f>_xlfn.STDEV.S(C282:C302)</f>
        <v>6.4767456136560373E-3</v>
      </c>
      <c r="J302">
        <f>_xlfn.NORM.S.INV(0.99)*I302*SQRT(10)</f>
        <v>4.7646554187242986E-2</v>
      </c>
      <c r="K302">
        <f>LN(B311)-LN(B302)</f>
        <v>-2.9554419083688721E-2</v>
      </c>
      <c r="L302">
        <f>IF(K302&lt;-(J302),1,0)</f>
        <v>0</v>
      </c>
      <c r="M302" s="72">
        <f t="shared" si="4"/>
        <v>4.3544865447975478E-2</v>
      </c>
      <c r="N302">
        <f>SQRT((N301^2)*0.72+(1-0.72)*(C301^2))</f>
        <v>5.9223515629284462E-3</v>
      </c>
      <c r="O302">
        <f>_xlfn.NORM.S.INV(0.99)*N302*SQRT(10)</f>
        <v>4.3568122247075056E-2</v>
      </c>
      <c r="P302">
        <f>LN(B311)-LN(B302)</f>
        <v>-2.9554419083688721E-2</v>
      </c>
      <c r="Q302">
        <f>IF(P302&lt;-(O302),1,0)</f>
        <v>0</v>
      </c>
    </row>
    <row r="303" spans="1:17">
      <c r="A303" s="64">
        <v>41731</v>
      </c>
      <c r="B303">
        <v>1890.900024</v>
      </c>
      <c r="C303" s="68">
        <f>LN(B303)-LN(B302)</f>
        <v>2.8492633642569487E-3</v>
      </c>
      <c r="D303" s="68"/>
      <c r="E303" s="68"/>
      <c r="F303" s="68"/>
      <c r="G303" s="68"/>
      <c r="H303" s="68"/>
      <c r="I303">
        <f>_xlfn.STDEV.S(C283:C303)</f>
        <v>5.6359276228268654E-3</v>
      </c>
      <c r="J303">
        <f>_xlfn.NORM.S.INV(0.99)*I303*SQRT(10)</f>
        <v>4.1461027944374784E-2</v>
      </c>
      <c r="K303">
        <f>LN(B312)-LN(B303)</f>
        <v>-2.5669102992538662E-2</v>
      </c>
      <c r="L303">
        <f>IF(K303&lt;-(J303),1,0)</f>
        <v>0</v>
      </c>
      <c r="M303" s="72">
        <f t="shared" si="4"/>
        <v>4.5891028188629654E-2</v>
      </c>
      <c r="N303">
        <f>SQRT((N302^2)*0.72+(1-0.72)*(C302^2))</f>
        <v>6.2474872328693457E-3</v>
      </c>
      <c r="O303">
        <f>_xlfn.NORM.S.INV(0.99)*N303*SQRT(10)</f>
        <v>4.5960001632206537E-2</v>
      </c>
      <c r="P303">
        <f>LN(B312)-LN(B303)</f>
        <v>-2.5669102992538662E-2</v>
      </c>
      <c r="Q303">
        <f>IF(P303&lt;-(O303),1,0)</f>
        <v>0</v>
      </c>
    </row>
    <row r="304" spans="1:17">
      <c r="A304" s="64">
        <v>41732</v>
      </c>
      <c r="B304">
        <v>1888.7700199999999</v>
      </c>
      <c r="C304" s="68">
        <f>LN(B304)-LN(B303)</f>
        <v>-1.1270847458568767E-3</v>
      </c>
      <c r="D304" s="68"/>
      <c r="E304" s="68"/>
      <c r="F304" s="68"/>
      <c r="G304" s="68"/>
      <c r="H304" s="68"/>
      <c r="I304">
        <f>_xlfn.STDEV.S(C284:C304)</f>
        <v>5.6453925967179788E-3</v>
      </c>
      <c r="J304">
        <f>_xlfn.NORM.S.INV(0.99)*I304*SQRT(10)</f>
        <v>4.1530657572939E-2</v>
      </c>
      <c r="K304">
        <f>LN(B313)-LN(B304)</f>
        <v>-1.4108149825429628E-2</v>
      </c>
      <c r="L304">
        <f>IF(K304&lt;-(J304),1,0)</f>
        <v>0</v>
      </c>
      <c r="M304" s="72">
        <f t="shared" si="4"/>
        <v>4.048863166205021E-2</v>
      </c>
      <c r="N304">
        <f>SQRT((N303^2)*0.72+(1-0.72)*(C303^2))</f>
        <v>5.5113985632681524E-3</v>
      </c>
      <c r="O304">
        <f>_xlfn.NORM.S.INV(0.99)*N304*SQRT(10)</f>
        <v>4.0544922706021704E-2</v>
      </c>
      <c r="P304">
        <f>LN(B313)-LN(B304)</f>
        <v>-1.4108149825429628E-2</v>
      </c>
      <c r="Q304">
        <f>IF(P304&lt;-(O304),1,0)</f>
        <v>0</v>
      </c>
    </row>
    <row r="305" spans="1:17">
      <c r="A305" s="64">
        <v>41733</v>
      </c>
      <c r="B305">
        <v>1865.089966</v>
      </c>
      <c r="C305" s="68">
        <f>LN(B305)-LN(B304)</f>
        <v>-1.2616543077148989E-2</v>
      </c>
      <c r="D305" s="68"/>
      <c r="E305" s="68"/>
      <c r="F305" s="68"/>
      <c r="G305" s="68"/>
      <c r="H305" s="68"/>
      <c r="I305">
        <f>_xlfn.STDEV.S(C285:C305)</f>
        <v>6.3036117518085223E-3</v>
      </c>
      <c r="J305">
        <f>_xlfn.NORM.S.INV(0.99)*I305*SQRT(10)</f>
        <v>4.6372884906057843E-2</v>
      </c>
      <c r="K305">
        <f>LN(B314)-LN(B305)</f>
        <v>-1.2868303729440811E-4</v>
      </c>
      <c r="L305">
        <f>IF(K305&lt;-(J305),1,0)</f>
        <v>0</v>
      </c>
      <c r="M305" s="72">
        <f t="shared" si="4"/>
        <v>3.46338566243364E-2</v>
      </c>
      <c r="N305">
        <f>SQRT((N304^2)*0.72+(1-0.72)*(C304^2))</f>
        <v>4.7144522243327451E-3</v>
      </c>
      <c r="O305">
        <f>_xlfn.NORM.S.INV(0.99)*N305*SQRT(10)</f>
        <v>3.4682140810998928E-2</v>
      </c>
      <c r="P305">
        <f>LN(B314)-LN(B305)</f>
        <v>-1.2868303729440811E-4</v>
      </c>
      <c r="Q305">
        <f>IF(P305&lt;-(O305),1,0)</f>
        <v>0</v>
      </c>
    </row>
    <row r="306" spans="1:17">
      <c r="A306" s="64">
        <v>41736</v>
      </c>
      <c r="B306">
        <v>1845.040039</v>
      </c>
      <c r="C306" s="68">
        <f>LN(B306)-LN(B305)</f>
        <v>-1.080831246236702E-2</v>
      </c>
      <c r="D306" s="68"/>
      <c r="E306" s="68"/>
      <c r="F306" s="68"/>
      <c r="G306" s="68"/>
      <c r="H306" s="68"/>
      <c r="I306">
        <f>_xlfn.STDEV.S(C286:C306)</f>
        <v>6.7015465069544264E-3</v>
      </c>
      <c r="J306">
        <f>_xlfn.NORM.S.INV(0.99)*I306*SQRT(10)</f>
        <v>4.9300314977430343E-2</v>
      </c>
      <c r="K306">
        <f>LN(B315)-LN(B306)</f>
        <v>1.4447645046421265E-2</v>
      </c>
      <c r="L306">
        <f>IF(K306&lt;-(J306),1,0)</f>
        <v>0</v>
      </c>
      <c r="M306" s="72">
        <f t="shared" si="4"/>
        <v>5.7233702479024991E-2</v>
      </c>
      <c r="N306">
        <f>SQRT((N305^2)*0.72+(1-0.72)*(C305^2))</f>
        <v>7.782825169518278E-3</v>
      </c>
      <c r="O306">
        <f>_xlfn.NORM.S.INV(0.99)*N306*SQRT(10)</f>
        <v>5.725480407743936E-2</v>
      </c>
      <c r="P306">
        <f>LN(B315)-LN(B306)</f>
        <v>1.4447645046421265E-2</v>
      </c>
      <c r="Q306">
        <f>IF(P306&lt;-(O306),1,0)</f>
        <v>0</v>
      </c>
    </row>
    <row r="307" spans="1:17">
      <c r="A307" s="64">
        <v>41737</v>
      </c>
      <c r="B307">
        <v>1851.959961</v>
      </c>
      <c r="C307" s="68">
        <f>LN(B307)-LN(B306)</f>
        <v>3.7435380478001434E-3</v>
      </c>
      <c r="D307" s="68"/>
      <c r="E307" s="68"/>
      <c r="F307" s="68"/>
      <c r="G307" s="68"/>
      <c r="H307" s="68"/>
      <c r="I307">
        <f>_xlfn.STDEV.S(C287:C307)</f>
        <v>6.7759643507671512E-3</v>
      </c>
      <c r="J307">
        <f>_xlfn.NORM.S.INV(0.99)*I307*SQRT(10)</f>
        <v>4.984777415511437E-2</v>
      </c>
      <c r="K307">
        <f>LN(B316)-LN(B307)</f>
        <v>1.4787895898382253E-2</v>
      </c>
      <c r="L307">
        <f>IF(K307&lt;-(J307),1,0)</f>
        <v>0</v>
      </c>
      <c r="M307" s="72">
        <f t="shared" si="4"/>
        <v>6.4254963232342588E-2</v>
      </c>
      <c r="N307">
        <f>SQRT((N306^2)*0.72+(1-0.72)*(C306^2))</f>
        <v>8.736223314765432E-3</v>
      </c>
      <c r="O307">
        <f>_xlfn.NORM.S.INV(0.99)*N307*SQRT(10)</f>
        <v>6.4268532746009549E-2</v>
      </c>
      <c r="P307">
        <f>LN(B316)-LN(B307)</f>
        <v>1.4787895898382253E-2</v>
      </c>
      <c r="Q307">
        <f>IF(P307&lt;-(O307),1,0)</f>
        <v>0</v>
      </c>
    </row>
    <row r="308" spans="1:17">
      <c r="A308" s="64">
        <v>41738</v>
      </c>
      <c r="B308">
        <v>1872.1800539999999</v>
      </c>
      <c r="C308" s="68">
        <f>LN(B308)-LN(B307)</f>
        <v>1.0859039462616238E-2</v>
      </c>
      <c r="D308" s="68"/>
      <c r="E308" s="68"/>
      <c r="F308" s="68"/>
      <c r="G308" s="68"/>
      <c r="H308" s="68"/>
      <c r="I308">
        <f>_xlfn.STDEV.S(C288:C308)</f>
        <v>7.1367219557362371E-3</v>
      </c>
      <c r="J308">
        <f>_xlfn.NORM.S.INV(0.99)*I308*SQRT(10)</f>
        <v>5.2501708368213211E-2</v>
      </c>
      <c r="K308">
        <f>LN(B317)-LN(B308)</f>
        <v>1.7130896692600928E-3</v>
      </c>
      <c r="L308">
        <f>IF(K308&lt;-(J308),1,0)</f>
        <v>0</v>
      </c>
      <c r="M308" s="72">
        <f t="shared" si="4"/>
        <v>5.6431129692056908E-2</v>
      </c>
      <c r="N308">
        <f>SQRT((N307^2)*0.72+(1-0.72)*(C307^2))</f>
        <v>7.6730366877929392E-3</v>
      </c>
      <c r="O308">
        <f>_xlfn.NORM.S.INV(0.99)*N308*SQRT(10)</f>
        <v>5.6447138753571768E-2</v>
      </c>
      <c r="P308">
        <f>LN(B317)-LN(B308)</f>
        <v>1.7130896692600928E-3</v>
      </c>
      <c r="Q308">
        <f>IF(P308&lt;-(O308),1,0)</f>
        <v>0</v>
      </c>
    </row>
    <row r="309" spans="1:17">
      <c r="A309" s="64">
        <v>41739</v>
      </c>
      <c r="B309">
        <v>1833.079956</v>
      </c>
      <c r="C309" s="68">
        <f>LN(B309)-LN(B308)</f>
        <v>-2.1105967921619673E-2</v>
      </c>
      <c r="D309" s="68"/>
      <c r="E309" s="68"/>
      <c r="F309" s="68"/>
      <c r="G309" s="68"/>
      <c r="H309" s="68"/>
      <c r="I309">
        <f>_xlfn.STDEV.S(C289:C309)</f>
        <v>8.5063400913554313E-3</v>
      </c>
      <c r="J309">
        <f>_xlfn.NORM.S.INV(0.99)*I309*SQRT(10)</f>
        <v>6.2577383500028921E-2</v>
      </c>
      <c r="K309">
        <f>LN(B318)-LN(B309)</f>
        <v>2.453454549161016E-2</v>
      </c>
      <c r="L309">
        <f>IF(K309&lt;-(J309),1,0)</f>
        <v>0</v>
      </c>
      <c r="M309" s="72">
        <f t="shared" si="4"/>
        <v>6.3872346772952587E-2</v>
      </c>
      <c r="N309">
        <f>SQRT((N308^2)*0.72+(1-0.72)*(C308^2))</f>
        <v>8.6837550001701291E-3</v>
      </c>
      <c r="O309">
        <f>_xlfn.NORM.S.INV(0.99)*N309*SQRT(10)</f>
        <v>6.3882546551151526E-2</v>
      </c>
      <c r="P309">
        <f>LN(B318)-LN(B309)</f>
        <v>2.453454549161016E-2</v>
      </c>
      <c r="Q309">
        <f>IF(P309&lt;-(O309),1,0)</f>
        <v>0</v>
      </c>
    </row>
    <row r="310" spans="1:17">
      <c r="A310" s="64">
        <v>41740</v>
      </c>
      <c r="B310">
        <v>1815.6899410000001</v>
      </c>
      <c r="C310" s="68">
        <f>LN(B310)-LN(B309)</f>
        <v>-9.5320599338073464E-3</v>
      </c>
      <c r="D310" s="68"/>
      <c r="E310" s="68"/>
      <c r="F310" s="68"/>
      <c r="G310" s="68"/>
      <c r="H310" s="68"/>
      <c r="I310">
        <f>_xlfn.STDEV.S(C290:C310)</f>
        <v>8.3764194931937406E-3</v>
      </c>
      <c r="J310">
        <f>_xlfn.NORM.S.INV(0.99)*I310*SQRT(10)</f>
        <v>6.1621615095709008E-2</v>
      </c>
      <c r="K310">
        <f>LN(B319)-LN(B310)</f>
        <v>2.5937260646847982E-2</v>
      </c>
      <c r="L310">
        <f>IF(K310&lt;-(J310),1,0)</f>
        <v>0</v>
      </c>
      <c r="M310" s="72">
        <f t="shared" si="4"/>
        <v>9.8410589908924456E-2</v>
      </c>
      <c r="N310">
        <f>SQRT((N309^2)*0.72+(1-0.72)*(C309^2))</f>
        <v>1.3379940193607304E-2</v>
      </c>
      <c r="O310">
        <f>_xlfn.NORM.S.INV(0.99)*N310*SQRT(10)</f>
        <v>9.8430304891489462E-2</v>
      </c>
      <c r="P310">
        <f>LN(B319)-LN(B310)</f>
        <v>2.5937260646847982E-2</v>
      </c>
      <c r="Q310">
        <f>IF(P310&lt;-(O310),1,0)</f>
        <v>0</v>
      </c>
    </row>
    <row r="311" spans="1:17">
      <c r="A311" s="64">
        <v>41743</v>
      </c>
      <c r="B311">
        <v>1830.6099850000001</v>
      </c>
      <c r="C311" s="68">
        <f>LN(B311)-LN(B310)</f>
        <v>8.1837081824378544E-3</v>
      </c>
      <c r="D311" s="68"/>
      <c r="E311" s="68"/>
      <c r="F311" s="68"/>
      <c r="G311" s="68"/>
      <c r="H311" s="68"/>
      <c r="I311">
        <f>_xlfn.STDEV.S(C291:C311)</f>
        <v>8.5850345075759987E-3</v>
      </c>
      <c r="J311">
        <f>_xlfn.NORM.S.INV(0.99)*I311*SQRT(10)</f>
        <v>6.3156303530295499E-2</v>
      </c>
      <c r="K311">
        <f>LN(B320)-LN(B311)</f>
        <v>2.0984364003745704E-2</v>
      </c>
      <c r="L311">
        <f>IF(K311&lt;-(J311),1,0)</f>
        <v>0</v>
      </c>
      <c r="M311" s="72">
        <f t="shared" si="4"/>
        <v>9.1376178458138571E-2</v>
      </c>
      <c r="N311">
        <f>SQRT((N310^2)*0.72+(1-0.72)*(C310^2))</f>
        <v>1.2423254901342105E-2</v>
      </c>
      <c r="O311">
        <f>_xlfn.NORM.S.INV(0.99)*N311*SQRT(10)</f>
        <v>9.1392394135516239E-2</v>
      </c>
      <c r="P311">
        <f>LN(B320)-LN(B311)</f>
        <v>2.0984364003745704E-2</v>
      </c>
      <c r="Q311">
        <f>IF(P311&lt;-(O311),1,0)</f>
        <v>0</v>
      </c>
    </row>
    <row r="312" spans="1:17">
      <c r="A312" s="64">
        <v>41744</v>
      </c>
      <c r="B312">
        <v>1842.9799800000001</v>
      </c>
      <c r="C312" s="68">
        <f>LN(B312)-LN(B311)</f>
        <v>6.7345794554070082E-3</v>
      </c>
      <c r="D312" s="68"/>
      <c r="E312" s="68"/>
      <c r="F312" s="68"/>
      <c r="G312" s="68"/>
      <c r="H312" s="68"/>
      <c r="I312">
        <f>_xlfn.STDEV.S(C292:C312)</f>
        <v>8.4437589624789897E-3</v>
      </c>
      <c r="J312">
        <f>_xlfn.NORM.S.INV(0.99)*I312*SQRT(10)</f>
        <v>6.2117001801259827E-2</v>
      </c>
      <c r="K312">
        <f>LN(B321)-LN(B312)</f>
        <v>1.8999244869231546E-2</v>
      </c>
      <c r="L312">
        <f>IF(K312&lt;-(J312),1,0)</f>
        <v>0</v>
      </c>
      <c r="M312" s="72">
        <f t="shared" si="4"/>
        <v>8.3813098183485438E-2</v>
      </c>
      <c r="N312">
        <f>SQRT((N311^2)*0.72+(1-0.72)*(C311^2))</f>
        <v>1.1396284095255038E-2</v>
      </c>
      <c r="O312">
        <f>_xlfn.NORM.S.INV(0.99)*N312*SQRT(10)</f>
        <v>8.3837423926747645E-2</v>
      </c>
      <c r="P312">
        <f>LN(B321)-LN(B312)</f>
        <v>1.8999244869231546E-2</v>
      </c>
      <c r="Q312">
        <f>IF(P312&lt;-(O312),1,0)</f>
        <v>0</v>
      </c>
    </row>
    <row r="313" spans="1:17">
      <c r="A313" s="64">
        <v>41745</v>
      </c>
      <c r="B313">
        <v>1862.3100589999999</v>
      </c>
      <c r="C313" s="68">
        <f>LN(B313)-LN(B312)</f>
        <v>1.0433868421252157E-2</v>
      </c>
      <c r="D313" s="68"/>
      <c r="E313" s="68"/>
      <c r="F313" s="68"/>
      <c r="G313" s="68"/>
      <c r="H313" s="68"/>
      <c r="I313">
        <f>_xlfn.STDEV.S(C293:C313)</f>
        <v>8.6174256267846482E-3</v>
      </c>
      <c r="J313">
        <f>_xlfn.NORM.S.INV(0.99)*I313*SQRT(10)</f>
        <v>6.3394590674583889E-2</v>
      </c>
      <c r="K313">
        <f>LN(B322)-LN(B313)</f>
        <v>1.1552926188564072E-2</v>
      </c>
      <c r="L313">
        <f>IF(K313&lt;-(J313),1,0)</f>
        <v>0</v>
      </c>
      <c r="M313" s="72">
        <f t="shared" si="4"/>
        <v>7.5788586284496681E-2</v>
      </c>
      <c r="N313">
        <f>SQRT((N312^2)*0.72+(1-0.72)*(C312^2))</f>
        <v>1.0305798686805529E-2</v>
      </c>
      <c r="O313">
        <f>_xlfn.NORM.S.INV(0.99)*N313*SQRT(10)</f>
        <v>7.5815204867451011E-2</v>
      </c>
      <c r="P313">
        <f>LN(B322)-LN(B313)</f>
        <v>1.1552926188564072E-2</v>
      </c>
      <c r="Q313">
        <f>IF(P313&lt;-(O313),1,0)</f>
        <v>0</v>
      </c>
    </row>
    <row r="314" spans="1:17">
      <c r="A314" s="64">
        <v>41746</v>
      </c>
      <c r="B314">
        <v>1864.849976</v>
      </c>
      <c r="C314" s="68">
        <f>LN(B314)-LN(B313)</f>
        <v>1.3629237109862302E-3</v>
      </c>
      <c r="D314" s="68"/>
      <c r="E314" s="68"/>
      <c r="F314" s="68"/>
      <c r="G314" s="68"/>
      <c r="H314" s="68"/>
      <c r="I314">
        <f>_xlfn.STDEV.S(C294:C314)</f>
        <v>8.5157208567569059E-3</v>
      </c>
      <c r="J314">
        <f>_xlfn.NORM.S.INV(0.99)*I314*SQRT(10)</f>
        <v>6.2646393643962434E-2</v>
      </c>
      <c r="K314">
        <f>LN(B323)-LN(B314)</f>
        <v>1.0046730977933294E-2</v>
      </c>
      <c r="L314">
        <f>IF(K314&lt;-(J314),1,0)</f>
        <v>0</v>
      </c>
      <c r="M314" s="72">
        <f t="shared" si="4"/>
        <v>7.6055803875050773E-2</v>
      </c>
      <c r="N314">
        <f>SQRT((N313^2)*0.72+(1-0.72)*(C313^2))</f>
        <v>1.0341818079887785E-2</v>
      </c>
      <c r="O314">
        <f>_xlfn.NORM.S.INV(0.99)*N314*SQRT(10)</f>
        <v>7.6080183618610672E-2</v>
      </c>
      <c r="P314">
        <f>LN(B323)-LN(B314)</f>
        <v>1.0046730977933294E-2</v>
      </c>
      <c r="Q314">
        <f>IF(P314&lt;-(O314),1,0)</f>
        <v>0</v>
      </c>
    </row>
    <row r="315" spans="1:17">
      <c r="A315" s="64">
        <v>41750</v>
      </c>
      <c r="B315">
        <v>1871.8900149999999</v>
      </c>
      <c r="C315" s="68">
        <f>LN(B315)-LN(B314)</f>
        <v>3.7680156213486526E-3</v>
      </c>
      <c r="D315" s="68"/>
      <c r="E315" s="68"/>
      <c r="F315" s="68"/>
      <c r="G315" s="68"/>
      <c r="H315" s="68"/>
      <c r="I315">
        <f>_xlfn.STDEV.S(C295:C315)</f>
        <v>8.4513540478583782E-3</v>
      </c>
      <c r="J315">
        <f>_xlfn.NORM.S.INV(0.99)*I315*SQRT(10)</f>
        <v>6.2172875486698816E-2</v>
      </c>
      <c r="K315">
        <f>LN(B324)-LN(B315)</f>
        <v>4.9293603601459068E-3</v>
      </c>
      <c r="L315">
        <f>IF(K315&lt;-(J315),1,0)</f>
        <v>0</v>
      </c>
      <c r="M315" s="72">
        <f t="shared" si="4"/>
        <v>6.4747256761689326E-2</v>
      </c>
      <c r="N315">
        <f>SQRT((N314^2)*0.72+(1-0.72)*(C314^2))</f>
        <v>8.8049089690891615E-3</v>
      </c>
      <c r="O315">
        <f>_xlfn.NORM.S.INV(0.99)*N315*SQRT(10)</f>
        <v>6.4773822739756015E-2</v>
      </c>
      <c r="P315">
        <f>LN(B324)-LN(B315)</f>
        <v>4.9293603601459068E-3</v>
      </c>
      <c r="Q315">
        <f>IF(P315&lt;-(O315),1,0)</f>
        <v>0</v>
      </c>
    </row>
    <row r="316" spans="1:17">
      <c r="A316" s="64">
        <v>41751</v>
      </c>
      <c r="B316">
        <v>1879.5500489999999</v>
      </c>
      <c r="C316" s="68">
        <f>LN(B316)-LN(B315)</f>
        <v>4.0837888997611316E-3</v>
      </c>
      <c r="D316" s="68"/>
      <c r="E316" s="68"/>
      <c r="F316" s="68"/>
      <c r="G316" s="68"/>
      <c r="H316" s="68"/>
      <c r="I316">
        <f>_xlfn.STDEV.S(C296:C316)</f>
        <v>8.4683376366090427E-3</v>
      </c>
      <c r="J316">
        <f>_xlfn.NORM.S.INV(0.99)*I316*SQRT(10)</f>
        <v>6.229781624089429E-2</v>
      </c>
      <c r="K316">
        <f>LN(B325)-LN(B316)</f>
        <v>2.7150387604937265E-3</v>
      </c>
      <c r="L316">
        <f>IF(K316&lt;-(J316),1,0)</f>
        <v>0</v>
      </c>
      <c r="M316" s="72">
        <f t="shared" si="4"/>
        <v>5.6862568922831265E-2</v>
      </c>
      <c r="N316">
        <f>SQRT((N315^2)*0.72+(1-0.72)*(C315^2))</f>
        <v>7.7326869514551897E-3</v>
      </c>
      <c r="O316">
        <f>_xlfn.NORM.S.INV(0.99)*N316*SQRT(10)</f>
        <v>5.6885959372660812E-2</v>
      </c>
      <c r="P316">
        <f>LN(B325)-LN(B316)</f>
        <v>2.7150387604937265E-3</v>
      </c>
      <c r="Q316">
        <f>IF(P316&lt;-(O316),1,0)</f>
        <v>0</v>
      </c>
    </row>
    <row r="317" spans="1:17">
      <c r="A317" s="64">
        <v>41752</v>
      </c>
      <c r="B317">
        <v>1875.3900149999999</v>
      </c>
      <c r="C317" s="68">
        <f>LN(B317)-LN(B316)</f>
        <v>-2.2157667665059222E-3</v>
      </c>
      <c r="D317" s="68"/>
      <c r="E317" s="68"/>
      <c r="F317" s="68"/>
      <c r="G317" s="68"/>
      <c r="H317" s="68"/>
      <c r="I317">
        <f>_xlfn.STDEV.S(C297:C317)</f>
        <v>8.406198270547359E-3</v>
      </c>
      <c r="J317">
        <f>_xlfn.NORM.S.INV(0.99)*I317*SQRT(10)</f>
        <v>6.1840684395855272E-2</v>
      </c>
      <c r="K317">
        <f>LN(B326)-LN(B317)</f>
        <v>-4.0982256806980644E-3</v>
      </c>
      <c r="L317">
        <f>IF(K317&lt;-(J317),1,0)</f>
        <v>0</v>
      </c>
      <c r="M317" s="72">
        <f t="shared" si="4"/>
        <v>5.0795913502237444E-2</v>
      </c>
      <c r="N317">
        <f>SQRT((N316^2)*0.72+(1-0.72)*(C316^2))</f>
        <v>6.9080862103780439E-3</v>
      </c>
      <c r="O317">
        <f>_xlfn.NORM.S.INV(0.99)*N317*SQRT(10)</f>
        <v>5.0819736266764476E-2</v>
      </c>
      <c r="P317">
        <f>LN(B326)-LN(B317)</f>
        <v>-4.0982256806980644E-3</v>
      </c>
      <c r="Q317">
        <f>IF(P317&lt;-(O317),1,0)</f>
        <v>0</v>
      </c>
    </row>
    <row r="318" spans="1:17">
      <c r="A318" s="64">
        <v>41753</v>
      </c>
      <c r="B318">
        <v>1878.6099850000001</v>
      </c>
      <c r="C318" s="68">
        <f>LN(B318)-LN(B317)</f>
        <v>1.7154879007303947E-3</v>
      </c>
      <c r="D318" s="68"/>
      <c r="E318" s="68"/>
      <c r="F318" s="68"/>
      <c r="G318" s="68"/>
      <c r="H318" s="68"/>
      <c r="I318">
        <f>_xlfn.STDEV.S(C298:C318)</f>
        <v>8.3636971280245491E-3</v>
      </c>
      <c r="J318">
        <f>_xlfn.NORM.S.INV(0.99)*I318*SQRT(10)</f>
        <v>6.1528022279566025E-2</v>
      </c>
      <c r="K318">
        <f>LN(B327)-LN(B318)</f>
        <v>-2.1295883606953225E-4</v>
      </c>
      <c r="L318">
        <f>IF(K318&lt;-(J318),1,0)</f>
        <v>0</v>
      </c>
      <c r="M318" s="72">
        <f t="shared" si="4"/>
        <v>4.3951663675543463E-2</v>
      </c>
      <c r="N318">
        <f>SQRT((N317^2)*0.72+(1-0.72)*(C317^2))</f>
        <v>5.9778161502847841E-3</v>
      </c>
      <c r="O318">
        <f>_xlfn.NORM.S.INV(0.99)*N318*SQRT(10)</f>
        <v>4.3976150696019352E-2</v>
      </c>
      <c r="P318">
        <f>LN(B327)-LN(B318)</f>
        <v>-2.1295883606953225E-4</v>
      </c>
      <c r="Q318">
        <f>IF(P318&lt;-(O318),1,0)</f>
        <v>0</v>
      </c>
    </row>
    <row r="319" spans="1:17">
      <c r="A319" s="64">
        <v>41754</v>
      </c>
      <c r="B319">
        <v>1863.400024</v>
      </c>
      <c r="C319" s="68">
        <f>LN(B319)-LN(B318)</f>
        <v>-8.129344778569525E-3</v>
      </c>
      <c r="D319" s="68"/>
      <c r="E319" s="68"/>
      <c r="F319" s="68"/>
      <c r="G319" s="68"/>
      <c r="H319" s="68"/>
      <c r="I319">
        <f>_xlfn.STDEV.S(C299:C319)</f>
        <v>8.4155714208654139E-3</v>
      </c>
      <c r="J319">
        <f>_xlfn.NORM.S.INV(0.99)*I319*SQRT(10)</f>
        <v>6.1909638518986607E-2</v>
      </c>
      <c r="K319">
        <f>LN(B328)-LN(B319)</f>
        <v>6.541816738915962E-3</v>
      </c>
      <c r="L319">
        <f>IF(K319&lt;-(J319),1,0)</f>
        <v>0</v>
      </c>
      <c r="M319" s="72">
        <f t="shared" si="4"/>
        <v>3.7873546679074437E-2</v>
      </c>
      <c r="N319">
        <f>SQRT((N318^2)*0.72+(1-0.72)*(C318^2))</f>
        <v>5.1529309634101147E-3</v>
      </c>
      <c r="O319">
        <f>_xlfn.NORM.S.INV(0.99)*N319*SQRT(10)</f>
        <v>3.7907835048140756E-2</v>
      </c>
      <c r="P319">
        <f>LN(B328)-LN(B319)</f>
        <v>6.541816738915962E-3</v>
      </c>
      <c r="Q319">
        <f>IF(P319&lt;-(O319),1,0)</f>
        <v>0</v>
      </c>
    </row>
    <row r="320" spans="1:17">
      <c r="A320" s="64">
        <v>41757</v>
      </c>
      <c r="B320">
        <v>1869.4300539999999</v>
      </c>
      <c r="C320" s="68">
        <f>LN(B320)-LN(B319)</f>
        <v>3.2308115393355763E-3</v>
      </c>
      <c r="D320" s="68"/>
      <c r="E320" s="68"/>
      <c r="F320" s="68"/>
      <c r="G320" s="68"/>
      <c r="H320" s="68"/>
      <c r="I320">
        <f>_xlfn.STDEV.S(C300:C320)</f>
        <v>8.423631407719177E-3</v>
      </c>
      <c r="J320">
        <f>_xlfn.NORM.S.INV(0.99)*I320*SQRT(10)</f>
        <v>6.1968932279045139E-2</v>
      </c>
      <c r="K320">
        <f>LN(B329)-LN(B320)</f>
        <v>4.8293280824438511E-3</v>
      </c>
      <c r="L320">
        <f>IF(K320&lt;-(J320),1,0)</f>
        <v>0</v>
      </c>
      <c r="M320" s="72">
        <f t="shared" si="4"/>
        <v>4.5101221363979482E-2</v>
      </c>
      <c r="N320">
        <f>SQRT((N319^2)*0.72+(1-0.72)*(C319^2))</f>
        <v>6.1336849640263131E-3</v>
      </c>
      <c r="O320">
        <f>_xlfn.NORM.S.INV(0.99)*N320*SQRT(10)</f>
        <v>4.5122808650961757E-2</v>
      </c>
      <c r="P320">
        <f>LN(B329)-LN(B320)</f>
        <v>4.8293280824438511E-3</v>
      </c>
      <c r="Q320">
        <f>IF(P320&lt;-(O320),1,0)</f>
        <v>0</v>
      </c>
    </row>
    <row r="321" spans="1:17">
      <c r="A321" s="64">
        <v>41758</v>
      </c>
      <c r="B321">
        <v>1878.329956</v>
      </c>
      <c r="C321" s="68">
        <f>LN(B321)-LN(B320)</f>
        <v>4.749460320892851E-3</v>
      </c>
      <c r="D321" s="68"/>
      <c r="E321" s="68"/>
      <c r="F321" s="68"/>
      <c r="G321" s="68"/>
      <c r="H321" s="68"/>
      <c r="I321">
        <f>_xlfn.STDEV.S(C301:C321)</f>
        <v>8.4265963844828411E-3</v>
      </c>
      <c r="J321">
        <f>_xlfn.NORM.S.INV(0.99)*I321*SQRT(10)</f>
        <v>6.1990744302314355E-2</v>
      </c>
      <c r="K321">
        <f>LN(B330)-LN(B321)</f>
        <v>9.7061239650901854E-3</v>
      </c>
      <c r="L321">
        <f>IF(K321&lt;-(J321),1,0)</f>
        <v>0</v>
      </c>
      <c r="M321" s="72">
        <f t="shared" si="4"/>
        <v>4.0277582605394123E-2</v>
      </c>
      <c r="N321">
        <f>SQRT((N320^2)*0.72+(1-0.72)*(C320^2))</f>
        <v>5.4781918356389524E-3</v>
      </c>
      <c r="O321">
        <f>_xlfn.NORM.S.INV(0.99)*N321*SQRT(10)</f>
        <v>4.0300635491154153E-2</v>
      </c>
      <c r="P321">
        <f>LN(B330)-LN(B321)</f>
        <v>9.7061239650901854E-3</v>
      </c>
      <c r="Q321">
        <f>IF(P321&lt;-(O321),1,0)</f>
        <v>0</v>
      </c>
    </row>
    <row r="322" spans="1:17">
      <c r="A322" s="64">
        <v>41759</v>
      </c>
      <c r="B322">
        <v>1883.9499510000001</v>
      </c>
      <c r="C322" s="68">
        <f>LN(B322)-LN(B321)</f>
        <v>2.9875497405846829E-3</v>
      </c>
      <c r="D322" s="68"/>
      <c r="E322" s="68"/>
      <c r="F322" s="68"/>
      <c r="G322" s="68"/>
      <c r="H322" s="68"/>
      <c r="I322">
        <f>_xlfn.STDEV.S(C302:C322)</f>
        <v>8.2789259052284143E-3</v>
      </c>
      <c r="J322">
        <f>_xlfn.NORM.S.INV(0.99)*I322*SQRT(10)</f>
        <v>6.0904397869807107E-2</v>
      </c>
      <c r="K322">
        <f>LN(B331)-LN(B322)</f>
        <v>7.1402431405198641E-3</v>
      </c>
      <c r="L322">
        <f>IF(K322&lt;-(J322),1,0)</f>
        <v>0</v>
      </c>
      <c r="M322" s="72">
        <f t="shared" si="4"/>
        <v>3.8839925009912887E-2</v>
      </c>
      <c r="N322">
        <f>SQRT((N321^2)*0.72+(1-0.72)*(C321^2))</f>
        <v>5.2842867354573123E-3</v>
      </c>
      <c r="O322">
        <f>_xlfn.NORM.S.INV(0.99)*N322*SQRT(10)</f>
        <v>3.8874161392262983E-2</v>
      </c>
      <c r="P322">
        <f>LN(B331)-LN(B322)</f>
        <v>7.1402431405198641E-3</v>
      </c>
      <c r="Q322">
        <f>IF(P322&lt;-(O322),1,0)</f>
        <v>0</v>
      </c>
    </row>
    <row r="323" spans="1:17">
      <c r="A323" s="64">
        <v>41760</v>
      </c>
      <c r="B323">
        <v>1883.6800539999999</v>
      </c>
      <c r="C323" s="68">
        <f>LN(B323)-LN(B322)</f>
        <v>-1.4327149964454833E-4</v>
      </c>
      <c r="D323" s="68"/>
      <c r="E323" s="68"/>
      <c r="F323" s="68"/>
      <c r="G323" s="68"/>
      <c r="H323" s="68"/>
      <c r="I323">
        <f>_xlfn.STDEV.S(C303:C323)</f>
        <v>8.1344982079159765E-3</v>
      </c>
      <c r="J323">
        <f>_xlfn.NORM.S.INV(0.99)*I323*SQRT(10)</f>
        <v>5.9841907150451644E-2</v>
      </c>
      <c r="K323">
        <f>LN(B332)-LN(B323)</f>
        <v>2.5714250085302481E-3</v>
      </c>
      <c r="L323">
        <f>IF(K323&lt;-(J323),1,0)</f>
        <v>0</v>
      </c>
      <c r="M323" s="72">
        <f t="shared" si="4"/>
        <v>3.4933559968287932E-2</v>
      </c>
      <c r="N323">
        <f>SQRT((N322^2)*0.72+(1-0.72)*(C322^2))</f>
        <v>4.7543854602369586E-3</v>
      </c>
      <c r="O323">
        <f>_xlfn.NORM.S.INV(0.99)*N323*SQRT(10)</f>
        <v>3.4975911973536222E-2</v>
      </c>
      <c r="P323">
        <f>LN(B332)-LN(B323)</f>
        <v>2.5714250085302481E-3</v>
      </c>
      <c r="Q323">
        <f>IF(P323&lt;-(O323),1,0)</f>
        <v>0</v>
      </c>
    </row>
    <row r="324" spans="1:17">
      <c r="A324" s="64">
        <v>41761</v>
      </c>
      <c r="B324">
        <v>1881.1400149999999</v>
      </c>
      <c r="C324" s="68">
        <f>LN(B324)-LN(B323)</f>
        <v>-1.3493549964387341E-3</v>
      </c>
      <c r="D324" s="68"/>
      <c r="E324" s="68"/>
      <c r="F324" s="68"/>
      <c r="G324" s="68"/>
      <c r="H324" s="68"/>
      <c r="I324">
        <f>_xlfn.STDEV.S(C304:C324)</f>
        <v>8.1113310668014596E-3</v>
      </c>
      <c r="J324">
        <f>_xlfn.NORM.S.INV(0.99)*I324*SQRT(10)</f>
        <v>5.9671476735190472E-2</v>
      </c>
      <c r="K324">
        <f>LN(B333)-LN(B324)</f>
        <v>-5.4851238004438585E-3</v>
      </c>
      <c r="L324">
        <f>IF(K324&lt;-(J324),1,0)</f>
        <v>0</v>
      </c>
      <c r="M324" s="72">
        <f t="shared" si="4"/>
        <v>2.9644446605259066E-2</v>
      </c>
      <c r="N324">
        <f>SQRT((N323^2)*0.72+(1-0.72)*(C323^2))</f>
        <v>4.0349421157657248E-3</v>
      </c>
      <c r="O324">
        <f>_xlfn.NORM.S.INV(0.99)*N324*SQRT(10)</f>
        <v>2.9683285345631673E-2</v>
      </c>
      <c r="P324">
        <f>LN(B333)-LN(B324)</f>
        <v>-5.4851238004438585E-3</v>
      </c>
      <c r="Q324">
        <f>IF(P324&lt;-(O324),1,0)</f>
        <v>0</v>
      </c>
    </row>
    <row r="325" spans="1:17">
      <c r="A325" s="64">
        <v>41764</v>
      </c>
      <c r="B325">
        <v>1884.660034</v>
      </c>
      <c r="C325" s="68">
        <f>LN(B325)-LN(B324)</f>
        <v>1.8694673001089512E-3</v>
      </c>
      <c r="D325" s="68"/>
      <c r="E325" s="68"/>
      <c r="F325" s="68"/>
      <c r="G325" s="68"/>
      <c r="H325" s="68"/>
      <c r="I325">
        <f>_xlfn.STDEV.S(C305:C325)</f>
        <v>8.1214151725458802E-3</v>
      </c>
      <c r="J325">
        <f>_xlfn.NORM.S.INV(0.99)*I325*SQRT(10)</f>
        <v>5.9745661043088621E-2</v>
      </c>
      <c r="K325">
        <f>LN(B334)-LN(B325)</f>
        <v>-3.6146286900899938E-3</v>
      </c>
      <c r="L325">
        <f>IF(K325&lt;-(J325),1,0)</f>
        <v>0</v>
      </c>
      <c r="M325" s="72">
        <f t="shared" si="4"/>
        <v>2.569619907018611E-2</v>
      </c>
      <c r="N325">
        <f>SQRT((N324^2)*0.72+(1-0.72)*(C324^2))</f>
        <v>3.4974216453915819E-3</v>
      </c>
      <c r="O325">
        <f>_xlfn.NORM.S.INV(0.99)*N325*SQRT(10)</f>
        <v>2.5728984876514302E-2</v>
      </c>
      <c r="P325">
        <f>LN(B334)-LN(B325)</f>
        <v>-3.6146286900899938E-3</v>
      </c>
      <c r="Q325">
        <f>IF(P325&lt;-(O325),1,0)</f>
        <v>0</v>
      </c>
    </row>
    <row r="326" spans="1:17">
      <c r="A326" s="64">
        <v>41765</v>
      </c>
      <c r="B326">
        <v>1867.719971</v>
      </c>
      <c r="C326" s="68">
        <f>LN(B326)-LN(B325)</f>
        <v>-9.0290312076977131E-3</v>
      </c>
      <c r="D326" s="68"/>
      <c r="E326" s="68"/>
      <c r="F326" s="68"/>
      <c r="G326" s="68"/>
      <c r="H326" s="68"/>
      <c r="I326">
        <f>_xlfn.STDEV.S(C306:C326)</f>
        <v>7.8791666693063794E-3</v>
      </c>
      <c r="J326">
        <f>_xlfn.NORM.S.INV(0.99)*I326*SQRT(10)</f>
        <v>5.7963545899945935E-2</v>
      </c>
      <c r="K326">
        <f>LN(B335)-LN(B326)</f>
        <v>9.2518168655155719E-3</v>
      </c>
      <c r="L326">
        <f>IF(K326&lt;-(J326),1,0)</f>
        <v>0</v>
      </c>
      <c r="M326" s="72">
        <f t="shared" si="4"/>
        <v>2.2912673475657997E-2</v>
      </c>
      <c r="N326">
        <f>SQRT((N325^2)*0.72+(1-0.72)*(C325^2))</f>
        <v>3.1281918284210169E-3</v>
      </c>
      <c r="O326">
        <f>_xlfn.NORM.S.INV(0.99)*N326*SQRT(10)</f>
        <v>2.3012724345185039E-2</v>
      </c>
      <c r="P326">
        <f>LN(B335)-LN(B326)</f>
        <v>9.2518168655155719E-3</v>
      </c>
      <c r="Q326">
        <f>IF(P326&lt;-(O326),1,0)</f>
        <v>0</v>
      </c>
    </row>
    <row r="327" spans="1:17">
      <c r="A327" s="64">
        <v>41766</v>
      </c>
      <c r="B327">
        <v>1878.209961</v>
      </c>
      <c r="C327" s="68">
        <f>LN(B327)-LN(B326)</f>
        <v>5.6007547453589268E-3</v>
      </c>
      <c r="D327" s="68"/>
      <c r="E327" s="68"/>
      <c r="F327" s="68"/>
      <c r="G327" s="68"/>
      <c r="H327" s="68"/>
      <c r="I327">
        <f>_xlfn.STDEV.S(C307:C327)</f>
        <v>7.5536423539024986E-3</v>
      </c>
      <c r="J327">
        <f>_xlfn.NORM.S.INV(0.99)*I327*SQRT(10)</f>
        <v>5.5568807421958855E-2</v>
      </c>
      <c r="K327">
        <f>LN(B336)-LN(B327)</f>
        <v>-2.8685424885761535E-3</v>
      </c>
      <c r="L327">
        <f>IF(K327&lt;-(J327),1,0)</f>
        <v>0</v>
      </c>
      <c r="M327" s="72">
        <f t="shared" si="4"/>
        <v>4.0135532102185081E-2</v>
      </c>
      <c r="N327">
        <f>SQRT((N326^2)*0.72+(1-0.72)*(C326^2))</f>
        <v>5.4655442397779745E-3</v>
      </c>
      <c r="O327">
        <f>_xlfn.NORM.S.INV(0.99)*N327*SQRT(10)</f>
        <v>4.0207592719757074E-2</v>
      </c>
      <c r="P327">
        <f>LN(B336)-LN(B327)</f>
        <v>-2.8685424885761535E-3</v>
      </c>
      <c r="Q327">
        <f>IF(P327&lt;-(O327),1,0)</f>
        <v>0</v>
      </c>
    </row>
    <row r="328" spans="1:17">
      <c r="A328" s="64">
        <v>41767</v>
      </c>
      <c r="B328">
        <v>1875.630005</v>
      </c>
      <c r="C328" s="68">
        <f>LN(B328)-LN(B327)</f>
        <v>-1.3745692035840307E-3</v>
      </c>
      <c r="D328" s="68"/>
      <c r="E328" s="68"/>
      <c r="F328" s="68"/>
      <c r="G328" s="68"/>
      <c r="H328" s="68"/>
      <c r="I328">
        <f>_xlfn.STDEV.S(C308:C328)</f>
        <v>7.5381148755660149E-3</v>
      </c>
      <c r="J328">
        <f>_xlfn.NORM.S.INV(0.99)*I328*SQRT(10)</f>
        <v>5.5454578628351361E-2</v>
      </c>
      <c r="K328">
        <f>LN(B337)-LN(B328)</f>
        <v>6.5893671347145855E-3</v>
      </c>
      <c r="L328">
        <f>IF(K328&lt;-(J328),1,0)</f>
        <v>0</v>
      </c>
      <c r="M328" s="72">
        <f t="shared" si="4"/>
        <v>4.0433376581696823E-2</v>
      </c>
      <c r="N328">
        <f>SQRT((N327^2)*0.72+(1-0.72)*(C327^2))</f>
        <v>5.5037380209784232E-3</v>
      </c>
      <c r="O328">
        <f>_xlfn.NORM.S.INV(0.99)*N328*SQRT(10)</f>
        <v>4.0488567483031063E-2</v>
      </c>
      <c r="P328">
        <f>LN(B337)-LN(B328)</f>
        <v>6.5893671347145855E-3</v>
      </c>
      <c r="Q328">
        <f>IF(P328&lt;-(O328),1,0)</f>
        <v>0</v>
      </c>
    </row>
    <row r="329" spans="1:17">
      <c r="A329" s="64">
        <v>41768</v>
      </c>
      <c r="B329">
        <v>1878.4799800000001</v>
      </c>
      <c r="C329" s="68">
        <f>LN(B329)-LN(B328)</f>
        <v>1.5183228828634654E-3</v>
      </c>
      <c r="D329" s="68"/>
      <c r="E329" s="68"/>
      <c r="F329" s="68"/>
      <c r="G329" s="68"/>
      <c r="H329" s="68"/>
      <c r="I329">
        <f>_xlfn.STDEV.S(C309:C329)</f>
        <v>7.1693558584768708E-3</v>
      </c>
      <c r="J329">
        <f>_xlfn.NORM.S.INV(0.99)*I329*SQRT(10)</f>
        <v>5.274178156361467E-2</v>
      </c>
      <c r="K329">
        <f>LN(B338)-LN(B329)</f>
        <v>7.4304884799607507E-3</v>
      </c>
      <c r="L329">
        <f>IF(K329&lt;-(J329),1,0)</f>
        <v>0</v>
      </c>
      <c r="M329" s="72">
        <f t="shared" si="4"/>
        <v>3.468752477685301E-2</v>
      </c>
      <c r="N329">
        <f>SQRT((N328^2)*0.72+(1-0.72)*(C328^2))</f>
        <v>4.7263790077912045E-3</v>
      </c>
      <c r="O329">
        <f>_xlfn.NORM.S.INV(0.99)*N329*SQRT(10)</f>
        <v>3.4769880884213289E-2</v>
      </c>
      <c r="P329">
        <f>LN(B338)-LN(B329)</f>
        <v>7.4304884799607507E-3</v>
      </c>
      <c r="Q329">
        <f>IF(P329&lt;-(O329),1,0)</f>
        <v>0</v>
      </c>
    </row>
    <row r="330" spans="1:17">
      <c r="A330" s="64">
        <v>41771</v>
      </c>
      <c r="B330">
        <v>1896.650024</v>
      </c>
      <c r="C330" s="68">
        <f>LN(B330)-LN(B329)</f>
        <v>9.6262562035391852E-3</v>
      </c>
      <c r="D330" s="68"/>
      <c r="E330" s="68"/>
      <c r="F330" s="68"/>
      <c r="G330" s="68"/>
      <c r="H330" s="68"/>
      <c r="I330">
        <f>_xlfn.STDEV.S(C310:C330)</f>
        <v>5.569510649086085E-3</v>
      </c>
      <c r="J330">
        <f>_xlfn.NORM.S.INV(0.99)*I330*SQRT(10)</f>
        <v>4.097242763072028E-2</v>
      </c>
      <c r="K330">
        <f>LN(B339)-LN(B330)</f>
        <v>2.0436251619448953E-3</v>
      </c>
      <c r="L330">
        <f>IF(K330&lt;-(J330),1,0)</f>
        <v>0</v>
      </c>
      <c r="M330" s="72">
        <f t="shared" si="4"/>
        <v>2.986290103938714E-2</v>
      </c>
      <c r="N330">
        <f>SQRT((N329^2)*0.72+(1-0.72)*(C329^2))</f>
        <v>4.0901490637461927E-3</v>
      </c>
      <c r="O330">
        <f>_xlfn.NORM.S.INV(0.99)*N330*SQRT(10)</f>
        <v>3.0089418455587002E-2</v>
      </c>
      <c r="P330">
        <f>LN(B339)-LN(B330)</f>
        <v>2.0436251619448953E-3</v>
      </c>
      <c r="Q330">
        <f>IF(P330&lt;-(O330),1,0)</f>
        <v>0</v>
      </c>
    </row>
    <row r="331" spans="1:17">
      <c r="A331" s="64">
        <v>41772</v>
      </c>
      <c r="B331">
        <v>1897.4499510000001</v>
      </c>
      <c r="C331" s="68">
        <f>LN(B331)-LN(B330)</f>
        <v>4.2166891601436163E-4</v>
      </c>
      <c r="D331" s="68"/>
      <c r="E331" s="68"/>
      <c r="F331" s="68"/>
      <c r="G331" s="68"/>
      <c r="H331" s="68"/>
      <c r="I331">
        <f>_xlfn.STDEV.S(C311:C331)</f>
        <v>4.9632183278729598E-3</v>
      </c>
      <c r="J331">
        <f>_xlfn.NORM.S.INV(0.99)*I331*SQRT(10)</f>
        <v>3.6512203058200174E-2</v>
      </c>
      <c r="K331">
        <f>LN(B340)-LN(B331)</f>
        <v>7.5919065196830005E-3</v>
      </c>
      <c r="L331">
        <f>IF(K331&lt;-(J331),1,0)</f>
        <v>0</v>
      </c>
      <c r="M331" s="72">
        <f t="shared" si="4"/>
        <v>4.5214367482540936E-2</v>
      </c>
      <c r="N331">
        <f>SQRT((N330^2)*0.72+(1-0.72)*(C330^2))</f>
        <v>6.1637047561322591E-3</v>
      </c>
      <c r="O331">
        <f>_xlfn.NORM.S.INV(0.99)*N331*SQRT(10)</f>
        <v>4.5343650990091133E-2</v>
      </c>
      <c r="P331">
        <f>LN(B340)-LN(B331)</f>
        <v>7.5919065196830005E-3</v>
      </c>
      <c r="Q331">
        <f>IF(P331&lt;-(O331),1,0)</f>
        <v>0</v>
      </c>
    </row>
    <row r="332" spans="1:17">
      <c r="A332" s="64">
        <v>41773</v>
      </c>
      <c r="B332">
        <v>1888.530029</v>
      </c>
      <c r="C332" s="68">
        <f>LN(B332)-LN(B331)</f>
        <v>-4.7120896316341643E-3</v>
      </c>
      <c r="D332" s="68"/>
      <c r="E332" s="68"/>
      <c r="F332" s="68"/>
      <c r="G332" s="68"/>
      <c r="H332" s="68"/>
      <c r="I332">
        <f>_xlfn.STDEV.S(C312:C332)</f>
        <v>4.9702993352952283E-3</v>
      </c>
      <c r="J332">
        <f>_xlfn.NORM.S.INV(0.99)*I332*SQRT(10)</f>
        <v>3.6564294899376397E-2</v>
      </c>
      <c r="K332">
        <f>LN(B341)-LN(B332)</f>
        <v>1.1189303339791401E-2</v>
      </c>
      <c r="L332">
        <f>IF(K332&lt;-(J332),1,0)</f>
        <v>0</v>
      </c>
      <c r="M332" s="72">
        <f t="shared" si="4"/>
        <v>3.8382234307379554E-2</v>
      </c>
      <c r="N332">
        <f>SQRT((N331^2)*0.72+(1-0.72)*(C331^2))</f>
        <v>5.234834272436685E-3</v>
      </c>
      <c r="O332">
        <f>_xlfn.NORM.S.INV(0.99)*N332*SQRT(10)</f>
        <v>3.851036148416765E-2</v>
      </c>
      <c r="P332">
        <f>LN(B341)-LN(B332)</f>
        <v>1.1189303339791401E-2</v>
      </c>
      <c r="Q332">
        <f>IF(P332&lt;-(O332),1,0)</f>
        <v>0</v>
      </c>
    </row>
    <row r="333" spans="1:17">
      <c r="A333" s="64">
        <v>41774</v>
      </c>
      <c r="B333">
        <v>1870.849976</v>
      </c>
      <c r="C333" s="68">
        <f>LN(B333)-LN(B332)</f>
        <v>-9.4059038054128408E-3</v>
      </c>
      <c r="D333" s="68"/>
      <c r="E333" s="68"/>
      <c r="F333" s="68"/>
      <c r="G333" s="68"/>
      <c r="H333" s="68"/>
      <c r="I333">
        <f>_xlfn.STDEV.S(C313:C333)</f>
        <v>5.3510335326970738E-3</v>
      </c>
      <c r="J333">
        <f>_xlfn.NORM.S.INV(0.99)*I333*SQRT(10)</f>
        <v>3.9365188071588439E-2</v>
      </c>
      <c r="K333">
        <f>LN(B342)-LN(B333)</f>
        <v>2.5947965803395867E-2</v>
      </c>
      <c r="L333">
        <f>IF(K333&lt;-(J333),1,0)</f>
        <v>0</v>
      </c>
      <c r="M333" s="72">
        <f t="shared" si="4"/>
        <v>3.7365739489794762E-2</v>
      </c>
      <c r="N333">
        <f>SQRT((N332^2)*0.72+(1-0.72)*(C332^2))</f>
        <v>5.0938760815460683E-3</v>
      </c>
      <c r="O333">
        <f>_xlfn.NORM.S.INV(0.99)*N333*SQRT(10)</f>
        <v>3.7473394389729867E-2</v>
      </c>
      <c r="P333">
        <f>LN(B342)-LN(B333)</f>
        <v>2.5947965803395867E-2</v>
      </c>
      <c r="Q333">
        <f>IF(P333&lt;-(O333),1,0)</f>
        <v>0</v>
      </c>
    </row>
    <row r="334" spans="1:17">
      <c r="A334" s="64">
        <v>41775</v>
      </c>
      <c r="B334">
        <v>1877.8599850000001</v>
      </c>
      <c r="C334" s="68">
        <f>LN(B334)-LN(B333)</f>
        <v>3.739962410462816E-3</v>
      </c>
      <c r="D334" s="68"/>
      <c r="E334" s="68"/>
      <c r="F334" s="68"/>
      <c r="G334" s="68"/>
      <c r="H334" s="68"/>
      <c r="I334">
        <f>_xlfn.STDEV.S(C314:C334)</f>
        <v>4.9255845462582663E-3</v>
      </c>
      <c r="J334">
        <f>_xlfn.NORM.S.INV(0.99)*I334*SQRT(10)</f>
        <v>3.6235347964309397E-2</v>
      </c>
      <c r="K334">
        <f>LN(B343)-LN(B334)</f>
        <v>2.4049983840380484E-2</v>
      </c>
      <c r="L334">
        <f>IF(K334&lt;-(J334),1,0)</f>
        <v>0</v>
      </c>
      <c r="M334" s="72">
        <f t="shared" si="4"/>
        <v>4.8410525559977671E-2</v>
      </c>
      <c r="N334">
        <f>SQRT((N333^2)*0.72+(1-0.72)*(C333^2))</f>
        <v>6.5919754501709326E-3</v>
      </c>
      <c r="O334">
        <f>_xlfn.NORM.S.INV(0.99)*N334*SQRT(10)</f>
        <v>4.8494249152738922E-2</v>
      </c>
      <c r="P334">
        <f>LN(B343)-LN(B334)</f>
        <v>2.4049983840380484E-2</v>
      </c>
      <c r="Q334">
        <f>IF(P334&lt;-(O334),1,0)</f>
        <v>0</v>
      </c>
    </row>
    <row r="335" spans="1:17">
      <c r="A335" s="64">
        <v>41778</v>
      </c>
      <c r="B335">
        <v>1885.079956</v>
      </c>
      <c r="C335" s="68">
        <f>LN(B335)-LN(B334)</f>
        <v>3.8374143479078526E-3</v>
      </c>
      <c r="D335" s="68"/>
      <c r="E335" s="68"/>
      <c r="F335" s="68"/>
      <c r="G335" s="68"/>
      <c r="H335" s="68"/>
      <c r="I335">
        <f>_xlfn.STDEV.S(C315:C335)</f>
        <v>4.9791800549574472E-3</v>
      </c>
      <c r="J335">
        <f>_xlfn.NORM.S.INV(0.99)*I335*SQRT(10)</f>
        <v>3.6629626427870501E-2</v>
      </c>
      <c r="K335">
        <f>LN(B344)-LN(B335)</f>
        <v>2.0940131161028219E-2</v>
      </c>
      <c r="L335">
        <f>IF(K335&lt;-(J335),1,0)</f>
        <v>0</v>
      </c>
      <c r="M335" s="72">
        <f t="shared" si="4"/>
        <v>4.3580861790939819E-2</v>
      </c>
      <c r="N335">
        <f>SQRT((N334^2)*0.72+(1-0.72)*(C334^2))</f>
        <v>5.9332478723327807E-3</v>
      </c>
      <c r="O335">
        <f>_xlfn.NORM.S.INV(0.99)*N335*SQRT(10)</f>
        <v>4.3648281578233583E-2</v>
      </c>
      <c r="P335">
        <f>LN(B344)-LN(B335)</f>
        <v>2.0940131161028219E-2</v>
      </c>
      <c r="Q335">
        <f>IF(P335&lt;-(O335),1,0)</f>
        <v>0</v>
      </c>
    </row>
    <row r="336" spans="1:17">
      <c r="A336" s="64">
        <v>41779</v>
      </c>
      <c r="B336">
        <v>1872.829956</v>
      </c>
      <c r="C336" s="68">
        <f>LN(B336)-LN(B335)</f>
        <v>-6.5196046087327986E-3</v>
      </c>
      <c r="D336" s="68"/>
      <c r="E336" s="68"/>
      <c r="F336" s="68"/>
      <c r="G336" s="68"/>
      <c r="H336" s="68"/>
      <c r="I336">
        <f>_xlfn.STDEV.S(C316:C336)</f>
        <v>5.1462782949325469E-3</v>
      </c>
      <c r="J336">
        <f>_xlfn.NORM.S.INV(0.99)*I336*SQRT(10)</f>
        <v>3.7858894307217124E-2</v>
      </c>
      <c r="K336">
        <f>LN(B345)-LN(B336)</f>
        <v>2.7080447024201426E-2</v>
      </c>
      <c r="L336">
        <f>IF(K336&lt;-(J336),1,0)</f>
        <v>0</v>
      </c>
      <c r="M336" s="72">
        <f t="shared" si="4"/>
        <v>3.9878967884809761E-2</v>
      </c>
      <c r="N336">
        <f>SQRT((N335^2)*0.72+(1-0.72)*(C335^2))</f>
        <v>5.4285983008671764E-3</v>
      </c>
      <c r="O336">
        <f>_xlfn.NORM.S.INV(0.99)*N336*SQRT(10)</f>
        <v>3.9935797780551757E-2</v>
      </c>
      <c r="P336">
        <f>LN(B345)-LN(B336)</f>
        <v>2.7080447024201426E-2</v>
      </c>
      <c r="Q336">
        <f>IF(P336&lt;-(O336),1,0)</f>
        <v>0</v>
      </c>
    </row>
    <row r="337" spans="1:17">
      <c r="A337" s="64">
        <v>41780</v>
      </c>
      <c r="B337">
        <v>1888.030029</v>
      </c>
      <c r="C337" s="68">
        <f>LN(B337)-LN(B336)</f>
        <v>8.0833404197067082E-3</v>
      </c>
      <c r="D337" s="68"/>
      <c r="E337" s="68"/>
      <c r="F337" s="68"/>
      <c r="G337" s="68"/>
      <c r="H337" s="68"/>
      <c r="I337">
        <f>_xlfn.STDEV.S(C317:C337)</f>
        <v>5.3730517978514726E-3</v>
      </c>
      <c r="J337">
        <f>_xlfn.NORM.S.INV(0.99)*I337*SQRT(10)</f>
        <v>3.952716671431545E-2</v>
      </c>
      <c r="K337">
        <f>LN(B346)-LN(B337)</f>
        <v>2.0886983393444858E-2</v>
      </c>
      <c r="L337">
        <f>IF(K337&lt;-(J337),1,0)</f>
        <v>0</v>
      </c>
      <c r="M337" s="72">
        <f t="shared" si="4"/>
        <v>4.2293968524793391E-2</v>
      </c>
      <c r="N337">
        <f>SQRT((N336^2)*0.72+(1-0.72)*(C336^2))</f>
        <v>5.75496634568326E-3</v>
      </c>
      <c r="O337">
        <f>_xlfn.NORM.S.INV(0.99)*N337*SQRT(10)</f>
        <v>4.2336743202821651E-2</v>
      </c>
      <c r="P337">
        <f>LN(B346)-LN(B337)</f>
        <v>2.0886983393444858E-2</v>
      </c>
      <c r="Q337">
        <f>IF(P337&lt;-(O337),1,0)</f>
        <v>0</v>
      </c>
    </row>
    <row r="338" spans="1:17">
      <c r="A338" s="64">
        <v>41781</v>
      </c>
      <c r="B338">
        <v>1892.48999</v>
      </c>
      <c r="C338" s="68">
        <f>LN(B338)-LN(B337)</f>
        <v>2.3594442281096306E-3</v>
      </c>
      <c r="D338" s="68"/>
      <c r="E338" s="68"/>
      <c r="F338" s="68"/>
      <c r="G338" s="68"/>
      <c r="H338" s="68"/>
      <c r="I338">
        <f>_xlfn.STDEV.S(C318:C338)</f>
        <v>5.3623352852480597E-3</v>
      </c>
      <c r="J338">
        <f>_xlfn.NORM.S.INV(0.99)*I338*SQRT(10)</f>
        <v>3.9448330068735271E-2</v>
      </c>
      <c r="K338">
        <f>LN(B347)-LN(B338)</f>
        <v>2.5031621256420777E-2</v>
      </c>
      <c r="L338">
        <f>IF(K338&lt;-(J338),1,0)</f>
        <v>0</v>
      </c>
      <c r="M338" s="72">
        <f t="shared" si="4"/>
        <v>4.7727769811118148E-2</v>
      </c>
      <c r="N338">
        <f>SQRT((N337^2)*0.72+(1-0.72)*(C337^2))</f>
        <v>6.4916445494345868E-3</v>
      </c>
      <c r="O338">
        <f>_xlfn.NORM.S.INV(0.99)*N338*SQRT(10)</f>
        <v>4.7756159071122961E-2</v>
      </c>
      <c r="P338">
        <f>LN(B347)-LN(B338)</f>
        <v>2.5031621256420777E-2</v>
      </c>
      <c r="Q338">
        <f>IF(P338&lt;-(O338),1,0)</f>
        <v>0</v>
      </c>
    </row>
    <row r="339" spans="1:17">
      <c r="A339" s="64">
        <v>41782</v>
      </c>
      <c r="B339">
        <v>1900.530029</v>
      </c>
      <c r="C339" s="68">
        <f>LN(B339)-LN(B338)</f>
        <v>4.2393928855233298E-3</v>
      </c>
      <c r="D339" s="68"/>
      <c r="E339" s="68"/>
      <c r="F339" s="68"/>
      <c r="G339" s="68"/>
      <c r="H339" s="68"/>
      <c r="I339">
        <f>_xlfn.STDEV.S(C319:C339)</f>
        <v>5.4205037073646635E-3</v>
      </c>
      <c r="J339">
        <f>_xlfn.NORM.S.INV(0.99)*I339*SQRT(10)</f>
        <v>3.987624943467756E-2</v>
      </c>
      <c r="K339">
        <f>LN(B348)-LN(B339)</f>
        <v>2.540931167831495E-2</v>
      </c>
      <c r="L339">
        <f>IF(K339&lt;-(J339),1,0)</f>
        <v>0</v>
      </c>
      <c r="M339" s="72">
        <f t="shared" si="4"/>
        <v>4.152604482197883E-2</v>
      </c>
      <c r="N339">
        <f>SQRT((N338^2)*0.72+(1-0.72)*(C338^2))</f>
        <v>5.6480613334863386E-3</v>
      </c>
      <c r="O339">
        <f>_xlfn.NORM.S.INV(0.99)*N339*SQRT(10)</f>
        <v>4.1550290289526948E-2</v>
      </c>
      <c r="P339">
        <f>LN(B348)-LN(B339)</f>
        <v>2.540931167831495E-2</v>
      </c>
      <c r="Q339">
        <f>IF(P339&lt;-(O339),1,0)</f>
        <v>0</v>
      </c>
    </row>
    <row r="340" spans="1:17">
      <c r="A340" s="64">
        <v>41786</v>
      </c>
      <c r="B340">
        <v>1911.910034</v>
      </c>
      <c r="C340" s="68">
        <f>LN(B340)-LN(B339)</f>
        <v>5.9699502737524668E-3</v>
      </c>
      <c r="D340" s="68"/>
      <c r="E340" s="68"/>
      <c r="F340" s="68"/>
      <c r="G340" s="68"/>
      <c r="H340" s="68"/>
      <c r="I340">
        <f>_xlfn.STDEV.S(C320:C340)</f>
        <v>5.158235164629669E-3</v>
      </c>
      <c r="J340">
        <f>_xlfn.NORM.S.INV(0.99)*I340*SQRT(10)</f>
        <v>3.794685571158856E-2</v>
      </c>
      <c r="K340">
        <f>LN(B349)-LN(B340)</f>
        <v>2.0377692709669937E-2</v>
      </c>
      <c r="L340">
        <f>IF(K340&lt;-(J340),1,0)</f>
        <v>0</v>
      </c>
      <c r="M340" s="72">
        <f t="shared" si="4"/>
        <v>3.8891069448142572E-2</v>
      </c>
      <c r="N340">
        <f>SQRT((N339^2)*0.72+(1-0.72)*(C339^2))</f>
        <v>5.2915703043523981E-3</v>
      </c>
      <c r="O340">
        <f>_xlfn.NORM.S.INV(0.99)*N340*SQRT(10)</f>
        <v>3.8927743388644701E-2</v>
      </c>
      <c r="P340">
        <f>LN(B349)-LN(B340)</f>
        <v>2.0377692709669937E-2</v>
      </c>
      <c r="Q340">
        <f>IF(P340&lt;-(O340),1,0)</f>
        <v>0</v>
      </c>
    </row>
    <row r="341" spans="1:17">
      <c r="A341" s="64">
        <v>41787</v>
      </c>
      <c r="B341">
        <v>1909.780029</v>
      </c>
      <c r="C341" s="68">
        <f>LN(B341)-LN(B340)</f>
        <v>-1.1146928115257637E-3</v>
      </c>
      <c r="D341" s="68"/>
      <c r="E341" s="68"/>
      <c r="F341" s="68"/>
      <c r="G341" s="68"/>
      <c r="H341" s="68"/>
      <c r="I341">
        <f>_xlfn.STDEV.S(C321:C341)</f>
        <v>5.1608580418030289E-3</v>
      </c>
      <c r="J341">
        <f>_xlfn.NORM.S.INV(0.99)*I341*SQRT(10)</f>
        <v>3.7966151059410078E-2</v>
      </c>
      <c r="K341">
        <f>LN(B350)-LN(B341)</f>
        <v>2.1246371367050543E-2</v>
      </c>
      <c r="L341">
        <f>IF(K341&lt;-(J341),1,0)</f>
        <v>0</v>
      </c>
      <c r="M341" s="72">
        <f t="shared" si="4"/>
        <v>4.0359109332845804E-2</v>
      </c>
      <c r="N341">
        <f>SQRT((N340^2)*0.72+(1-0.72)*(C340^2))</f>
        <v>5.4899728124784535E-3</v>
      </c>
      <c r="O341">
        <f>_xlfn.NORM.S.INV(0.99)*N341*SQRT(10)</f>
        <v>4.0387302929532215E-2</v>
      </c>
      <c r="P341">
        <f>LN(B350)-LN(B341)</f>
        <v>2.1246371367050543E-2</v>
      </c>
      <c r="Q341">
        <f>IF(P341&lt;-(O341),1,0)</f>
        <v>0</v>
      </c>
    </row>
    <row r="342" spans="1:17">
      <c r="A342" s="64">
        <v>41788</v>
      </c>
      <c r="B342">
        <v>1920.030029</v>
      </c>
      <c r="C342" s="68">
        <f>LN(B342)-LN(B341)</f>
        <v>5.3527586581916253E-3</v>
      </c>
      <c r="D342" s="68"/>
      <c r="E342" s="68"/>
      <c r="F342" s="68"/>
      <c r="G342" s="68"/>
      <c r="H342" s="68"/>
      <c r="I342">
        <f>_xlfn.STDEV.S(C322:C342)</f>
        <v>5.1843006825414697E-3</v>
      </c>
      <c r="J342">
        <f>_xlfn.NORM.S.INV(0.99)*I342*SQRT(10)</f>
        <v>3.8138608203609335E-2</v>
      </c>
      <c r="K342">
        <f>LN(B351)-LN(B342)</f>
        <v>1.2350301770085892E-2</v>
      </c>
      <c r="L342">
        <f>IF(K342&lt;-(J342),1,0)</f>
        <v>0</v>
      </c>
      <c r="M342" s="72">
        <f t="shared" si="4"/>
        <v>3.4512708015903226E-2</v>
      </c>
      <c r="N342">
        <f>SQRT((N341^2)*0.72+(1-0.72)*(C341^2))</f>
        <v>4.6955903020600804E-3</v>
      </c>
      <c r="O342">
        <f>_xlfn.NORM.S.INV(0.99)*N342*SQRT(10)</f>
        <v>3.4543381987471075E-2</v>
      </c>
      <c r="P342">
        <f>LN(B351)-LN(B342)</f>
        <v>1.2350301770085892E-2</v>
      </c>
      <c r="Q342">
        <f>IF(P342&lt;-(O342),1,0)</f>
        <v>0</v>
      </c>
    </row>
    <row r="343" spans="1:17">
      <c r="A343" s="64">
        <v>41789</v>
      </c>
      <c r="B343">
        <v>1923.5699460000001</v>
      </c>
      <c r="C343" s="68">
        <f>LN(B343)-LN(B342)</f>
        <v>1.8419804474474333E-3</v>
      </c>
      <c r="D343" s="68"/>
      <c r="E343" s="68"/>
      <c r="F343" s="68"/>
      <c r="G343" s="68"/>
      <c r="H343" s="68"/>
      <c r="I343">
        <f>_xlfn.STDEV.S(C323:C343)</f>
        <v>5.1688492458840402E-3</v>
      </c>
      <c r="J343">
        <f>_xlfn.NORM.S.INV(0.99)*I343*SQRT(10)</f>
        <v>3.802493881501752E-2</v>
      </c>
      <c r="K343">
        <f>LN(B352)-LN(B343)</f>
        <v>3.394181870726598E-3</v>
      </c>
      <c r="L343">
        <f>IF(K343&lt;-(J343),1,0)</f>
        <v>0</v>
      </c>
      <c r="M343" s="72">
        <f t="shared" si="4"/>
        <v>3.5938763657082574E-2</v>
      </c>
      <c r="N343">
        <f>SQRT((N342^2)*0.72+(1-0.72)*(C342^2))</f>
        <v>4.888510635751262E-3</v>
      </c>
      <c r="O343">
        <f>_xlfn.NORM.S.INV(0.99)*N343*SQRT(10)</f>
        <v>3.5962611594645526E-2</v>
      </c>
      <c r="P343">
        <f>LN(B352)-LN(B343)</f>
        <v>3.394181870726598E-3</v>
      </c>
      <c r="Q343">
        <f>IF(P343&lt;-(O343),1,0)</f>
        <v>0</v>
      </c>
    </row>
    <row r="344" spans="1:17">
      <c r="A344" s="64">
        <v>41792</v>
      </c>
      <c r="B344">
        <v>1924.969971</v>
      </c>
      <c r="C344" s="68">
        <f>LN(B344)-LN(B343)</f>
        <v>7.2756166855558746E-4</v>
      </c>
      <c r="D344" s="68"/>
      <c r="E344" s="68"/>
      <c r="F344" s="68"/>
      <c r="G344" s="68"/>
      <c r="H344" s="68"/>
      <c r="I344">
        <f>_xlfn.STDEV.S(C324:C344)</f>
        <v>5.1627834902342063E-3</v>
      </c>
      <c r="J344">
        <f>_xlfn.NORM.S.INV(0.99)*I344*SQRT(10)</f>
        <v>3.7980315732300332E-2</v>
      </c>
      <c r="K344">
        <f>LN(B353)-LN(B344)</f>
        <v>5.7962794905828119E-3</v>
      </c>
      <c r="L344">
        <f>IF(K344&lt;-(J344),1,0)</f>
        <v>0</v>
      </c>
      <c r="M344" s="72">
        <f t="shared" si="4"/>
        <v>3.1326686654291794E-2</v>
      </c>
      <c r="N344">
        <f>SQRT((N343^2)*0.72+(1-0.72)*(C343^2))</f>
        <v>4.2610134758144487E-3</v>
      </c>
      <c r="O344">
        <f>_xlfn.NORM.S.INV(0.99)*N344*SQRT(10)</f>
        <v>3.134639239804296E-2</v>
      </c>
      <c r="P344">
        <f>LN(B353)-LN(B344)</f>
        <v>5.7962794905828119E-3</v>
      </c>
      <c r="Q344">
        <f>IF(P344&lt;-(O344),1,0)</f>
        <v>0</v>
      </c>
    </row>
    <row r="345" spans="1:17">
      <c r="A345" s="64">
        <v>41793</v>
      </c>
      <c r="B345">
        <v>1924.23999</v>
      </c>
      <c r="C345" s="68">
        <f>LN(B345)-LN(B344)</f>
        <v>-3.7928874555959169E-4</v>
      </c>
      <c r="D345" s="68"/>
      <c r="E345" s="68"/>
      <c r="F345" s="68"/>
      <c r="G345" s="68"/>
      <c r="H345" s="68"/>
      <c r="I345">
        <f>_xlfn.STDEV.S(C325:C345)</f>
        <v>5.1447143837734695E-3</v>
      </c>
      <c r="J345">
        <f>_xlfn.NORM.S.INV(0.99)*I345*SQRT(10)</f>
        <v>3.7847389304206371E-2</v>
      </c>
      <c r="K345">
        <f>LN(B354)-LN(B345)</f>
        <v>7.0119235065311258E-3</v>
      </c>
      <c r="L345">
        <f>IF(K345&lt;-(J345),1,0)</f>
        <v>0</v>
      </c>
      <c r="M345" s="72">
        <f t="shared" ref="M345:M408" si="5">EWMAV(B324:B344,0.72,0.99)*SQRT(10)</f>
        <v>2.6731307511601698E-2</v>
      </c>
      <c r="N345">
        <f>SQRT((N344^2)*0.72+(1-0.72)*(C344^2))</f>
        <v>3.6360289713376136E-3</v>
      </c>
      <c r="O345">
        <f>_xlfn.NORM.S.INV(0.99)*N345*SQRT(10)</f>
        <v>2.6748657696844275E-2</v>
      </c>
      <c r="P345">
        <f>LN(B354)-LN(B345)</f>
        <v>7.0119235065311258E-3</v>
      </c>
      <c r="Q345">
        <f>IF(P345&lt;-(O345),1,0)</f>
        <v>0</v>
      </c>
    </row>
    <row r="346" spans="1:17">
      <c r="A346" s="64">
        <v>41794</v>
      </c>
      <c r="B346">
        <v>1927.880005</v>
      </c>
      <c r="C346" s="68">
        <f>LN(B346)-LN(B345)</f>
        <v>1.88987678895014E-3</v>
      </c>
      <c r="D346" s="68"/>
      <c r="E346" s="68"/>
      <c r="F346" s="68"/>
      <c r="G346" s="68"/>
      <c r="H346" s="68"/>
      <c r="I346">
        <f>_xlfn.STDEV.S(C326:C346)</f>
        <v>5.1448731571732097E-3</v>
      </c>
      <c r="J346">
        <f>_xlfn.NORM.S.INV(0.99)*I346*SQRT(10)</f>
        <v>3.7848557329916419E-2</v>
      </c>
      <c r="K346">
        <f>LN(B355)-LN(B346)</f>
        <v>7.292259194985995E-3</v>
      </c>
      <c r="L346">
        <f>IF(K346&lt;-(J346),1,0)</f>
        <v>0</v>
      </c>
      <c r="M346" s="72">
        <f t="shared" si="5"/>
        <v>2.2728636964317702E-2</v>
      </c>
      <c r="N346">
        <f>SQRT((N345^2)*0.72+(1-0.72)*(C345^2))</f>
        <v>3.0917939123743261E-3</v>
      </c>
      <c r="O346">
        <f>_xlfn.NORM.S.INV(0.99)*N346*SQRT(10)</f>
        <v>2.2744960967916554E-2</v>
      </c>
      <c r="P346">
        <f>LN(B355)-LN(B346)</f>
        <v>7.292259194985995E-3</v>
      </c>
      <c r="Q346">
        <f>IF(P346&lt;-(O346),1,0)</f>
        <v>0</v>
      </c>
    </row>
    <row r="347" spans="1:17">
      <c r="A347" s="64">
        <v>41795</v>
      </c>
      <c r="B347">
        <v>1940.459961</v>
      </c>
      <c r="C347" s="68">
        <f>LN(B347)-LN(B346)</f>
        <v>6.5040820910855501E-3</v>
      </c>
      <c r="D347" s="68"/>
      <c r="E347" s="68"/>
      <c r="F347" s="68"/>
      <c r="G347" s="68"/>
      <c r="H347" s="68"/>
      <c r="I347">
        <f>_xlfn.STDEV.S(C327:C347)</f>
        <v>4.7177470748437167E-3</v>
      </c>
      <c r="J347">
        <f>_xlfn.NORM.S.INV(0.99)*I347*SQRT(10)</f>
        <v>3.4706379569593812E-2</v>
      </c>
      <c r="K347">
        <f>LN(B356)-LN(B347)</f>
        <v>8.4774201457902265E-3</v>
      </c>
      <c r="L347">
        <f>IF(K347&lt;-(J347),1,0)</f>
        <v>0</v>
      </c>
      <c r="M347" s="72">
        <f t="shared" si="5"/>
        <v>2.0599416711347553E-2</v>
      </c>
      <c r="N347">
        <f>SQRT((N346^2)*0.72+(1-0.72)*(C346^2))</f>
        <v>2.8076100347491023E-3</v>
      </c>
      <c r="O347">
        <f>_xlfn.NORM.S.INV(0.99)*N347*SQRT(10)</f>
        <v>2.0654345814549786E-2</v>
      </c>
      <c r="P347">
        <f>LN(B356)-LN(B347)</f>
        <v>8.4774201457902265E-3</v>
      </c>
      <c r="Q347">
        <f>IF(P347&lt;-(O347),1,0)</f>
        <v>0</v>
      </c>
    </row>
    <row r="348" spans="1:17">
      <c r="A348" s="64">
        <v>41796</v>
      </c>
      <c r="B348">
        <v>1949.4399410000001</v>
      </c>
      <c r="C348" s="68">
        <f>LN(B348)-LN(B347)</f>
        <v>4.6170833074175022E-3</v>
      </c>
      <c r="D348" s="68"/>
      <c r="E348" s="68"/>
      <c r="F348" s="68"/>
      <c r="G348" s="68"/>
      <c r="H348" s="68"/>
      <c r="I348">
        <f>_xlfn.STDEV.S(C328:C348)</f>
        <v>4.6830811840844321E-3</v>
      </c>
      <c r="J348">
        <f>_xlfn.NORM.S.INV(0.99)*I348*SQRT(10)</f>
        <v>3.4451357936656934E-2</v>
      </c>
      <c r="K348">
        <f>LN(B357)-LN(B348)</f>
        <v>5.13700013384355E-3</v>
      </c>
      <c r="L348">
        <f>IF(K348&lt;-(J348),1,0)</f>
        <v>0</v>
      </c>
      <c r="M348" s="72">
        <f t="shared" si="5"/>
        <v>3.0755278153002705E-2</v>
      </c>
      <c r="N348">
        <f>SQRT((N347^2)*0.72+(1-0.72)*(C347^2))</f>
        <v>4.1857363551140577E-3</v>
      </c>
      <c r="O348">
        <f>_xlfn.NORM.S.INV(0.99)*N348*SQRT(10)</f>
        <v>3.0792611900172493E-2</v>
      </c>
      <c r="P348">
        <f>LN(B357)-LN(B348)</f>
        <v>5.13700013384355E-3</v>
      </c>
      <c r="Q348">
        <f>IF(P348&lt;-(O348),1,0)</f>
        <v>0</v>
      </c>
    </row>
    <row r="349" spans="1:17">
      <c r="A349" s="64">
        <v>41799</v>
      </c>
      <c r="B349">
        <v>1951.2700199999999</v>
      </c>
      <c r="C349" s="68">
        <f>LN(B349)-LN(B348)</f>
        <v>9.3833130510745377E-4</v>
      </c>
      <c r="D349" s="68"/>
      <c r="E349" s="68"/>
      <c r="F349" s="68"/>
      <c r="G349" s="68"/>
      <c r="H349" s="68"/>
      <c r="I349">
        <f>_xlfn.STDEV.S(C329:C349)</f>
        <v>4.6322885459505678E-3</v>
      </c>
      <c r="J349">
        <f>_xlfn.NORM.S.INV(0.99)*I349*SQRT(10)</f>
        <v>3.4077698952729038E-2</v>
      </c>
      <c r="K349">
        <f>LN(B358)-LN(B349)</f>
        <v>5.9272325039314566E-3</v>
      </c>
      <c r="L349">
        <f>IF(K349&lt;-(J349),1,0)</f>
        <v>0</v>
      </c>
      <c r="M349" s="72">
        <f t="shared" si="5"/>
        <v>3.168640937395252E-2</v>
      </c>
      <c r="N349">
        <f>SQRT((N348^2)*0.72+(1-0.72)*(C348^2))</f>
        <v>4.3108663022406839E-3</v>
      </c>
      <c r="O349">
        <f>_xlfn.NORM.S.INV(0.99)*N349*SQRT(10)</f>
        <v>3.1713137602717441E-2</v>
      </c>
      <c r="P349">
        <f>LN(B358)-LN(B349)</f>
        <v>5.9272325039314566E-3</v>
      </c>
      <c r="Q349">
        <f>IF(P349&lt;-(O349),1,0)</f>
        <v>0</v>
      </c>
    </row>
    <row r="350" spans="1:17">
      <c r="A350" s="64">
        <v>41800</v>
      </c>
      <c r="B350">
        <v>1950.790039</v>
      </c>
      <c r="C350" s="68">
        <f>LN(B350)-LN(B349)</f>
        <v>-2.460141541451577E-4</v>
      </c>
      <c r="D350" s="68"/>
      <c r="E350" s="68"/>
      <c r="F350" s="68"/>
      <c r="G350" s="68"/>
      <c r="H350" s="68"/>
      <c r="I350">
        <f>_xlfn.STDEV.S(C330:C350)</f>
        <v>4.6551703556658346E-3</v>
      </c>
      <c r="J350">
        <f>_xlfn.NORM.S.INV(0.99)*I350*SQRT(10)</f>
        <v>3.4246030311027548E-2</v>
      </c>
      <c r="K350">
        <f>LN(B359)-LN(B350)</f>
        <v>6.0407736857497341E-3</v>
      </c>
      <c r="L350">
        <f>IF(K350&lt;-(J350),1,0)</f>
        <v>0</v>
      </c>
      <c r="M350" s="72">
        <f t="shared" si="5"/>
        <v>2.7132886815596672E-2</v>
      </c>
      <c r="N350">
        <f>SQRT((N349^2)*0.72+(1-0.72)*(C349^2))</f>
        <v>3.6914359722542089E-3</v>
      </c>
      <c r="O350">
        <f>_xlfn.NORM.S.INV(0.99)*N350*SQRT(10)</f>
        <v>2.7156262507809666E-2</v>
      </c>
      <c r="P350">
        <f>LN(B359)-LN(B350)</f>
        <v>6.0407736857497341E-3</v>
      </c>
      <c r="Q350">
        <f>IF(P350&lt;-(O350),1,0)</f>
        <v>0</v>
      </c>
    </row>
    <row r="351" spans="1:17">
      <c r="A351" s="64">
        <v>41801</v>
      </c>
      <c r="B351">
        <v>1943.8900149999999</v>
      </c>
      <c r="C351" s="68">
        <f>LN(B351)-LN(B350)</f>
        <v>-3.5433109387730255E-3</v>
      </c>
      <c r="D351" s="68"/>
      <c r="E351" s="68"/>
      <c r="F351" s="68"/>
      <c r="G351" s="68"/>
      <c r="H351" s="68"/>
      <c r="I351">
        <f>_xlfn.STDEV.S(C331:C351)</f>
        <v>4.4295498910095904E-3</v>
      </c>
      <c r="J351">
        <f>_xlfn.NORM.S.INV(0.99)*I351*SQRT(10)</f>
        <v>3.2586240296683229E-2</v>
      </c>
      <c r="K351">
        <f>LN(B360)-LN(B351)</f>
        <v>3.1279780646480404E-3</v>
      </c>
      <c r="L351">
        <f>IF(K351&lt;-(J351),1,0)</f>
        <v>0</v>
      </c>
      <c r="M351" s="72">
        <f t="shared" si="5"/>
        <v>2.300017964369214E-2</v>
      </c>
      <c r="N351">
        <f>SQRT((N350^2)*0.72+(1-0.72)*(C350^2))</f>
        <v>3.1349912434890216E-3</v>
      </c>
      <c r="O351">
        <f>_xlfn.NORM.S.INV(0.99)*N351*SQRT(10)</f>
        <v>2.3062744635899583E-2</v>
      </c>
      <c r="P351">
        <f>LN(B360)-LN(B351)</f>
        <v>3.1279780646480404E-3</v>
      </c>
      <c r="Q351">
        <f>IF(P351&lt;-(O351),1,0)</f>
        <v>0</v>
      </c>
    </row>
    <row r="352" spans="1:17">
      <c r="A352" s="64">
        <v>41802</v>
      </c>
      <c r="B352">
        <v>1930.1099850000001</v>
      </c>
      <c r="C352" s="68">
        <f>LN(B352)-LN(B351)</f>
        <v>-7.1141394519118606E-3</v>
      </c>
      <c r="D352" s="68"/>
      <c r="E352" s="68"/>
      <c r="F352" s="68"/>
      <c r="G352" s="68"/>
      <c r="H352" s="68"/>
      <c r="I352">
        <f>_xlfn.STDEV.S(C332:C352)</f>
        <v>4.784370007091694E-3</v>
      </c>
      <c r="J352">
        <f>_xlfn.NORM.S.INV(0.99)*I352*SQRT(10)</f>
        <v>3.5196495028933954E-2</v>
      </c>
      <c r="K352">
        <f>LN(B361)-LN(B352)</f>
        <v>1.5127675028161036E-2</v>
      </c>
      <c r="L352">
        <f>IF(K352&lt;-(J352),1,0)</f>
        <v>0</v>
      </c>
      <c r="M352" s="72">
        <f t="shared" si="5"/>
        <v>2.3898382878830275E-2</v>
      </c>
      <c r="N352">
        <f>SQRT((N351^2)*0.72+(1-0.72)*(C351^2))</f>
        <v>3.2544887684756341E-3</v>
      </c>
      <c r="O352">
        <f>_xlfn.NORM.S.INV(0.99)*N352*SQRT(10)</f>
        <v>2.3941835098787483E-2</v>
      </c>
      <c r="P352">
        <f>LN(B361)-LN(B352)</f>
        <v>1.5127675028161036E-2</v>
      </c>
      <c r="Q352">
        <f>IF(P352&lt;-(O352),1,0)</f>
        <v>0</v>
      </c>
    </row>
    <row r="353" spans="1:17">
      <c r="A353" s="64">
        <v>41803</v>
      </c>
      <c r="B353">
        <v>1936.160034</v>
      </c>
      <c r="C353" s="68">
        <f>LN(B353)-LN(B352)</f>
        <v>3.1296592884118013E-3</v>
      </c>
      <c r="D353" s="68"/>
      <c r="E353" s="68"/>
      <c r="F353" s="68"/>
      <c r="G353" s="68"/>
      <c r="H353" s="68"/>
      <c r="I353">
        <f>_xlfn.STDEV.S(C333:C353)</f>
        <v>4.6353053298710169E-3</v>
      </c>
      <c r="J353">
        <f>_xlfn.NORM.S.INV(0.99)*I353*SQRT(10)</f>
        <v>3.4099892098347392E-2</v>
      </c>
      <c r="K353">
        <f>LN(B362)-LN(B353)</f>
        <v>1.0818436615295468E-2</v>
      </c>
      <c r="L353">
        <f>IF(K353&lt;-(J353),1,0)</f>
        <v>0</v>
      </c>
      <c r="M353" s="72">
        <f t="shared" si="5"/>
        <v>3.4317160779731674E-2</v>
      </c>
      <c r="N353">
        <f>SQRT((N352^2)*0.72+(1-0.72)*(C352^2))</f>
        <v>4.6687360584344645E-3</v>
      </c>
      <c r="O353">
        <f>_xlfn.NORM.S.INV(0.99)*N353*SQRT(10)</f>
        <v>3.4345827189060048E-2</v>
      </c>
      <c r="P353">
        <f>LN(B362)-LN(B353)</f>
        <v>1.0818436615295468E-2</v>
      </c>
      <c r="Q353">
        <f>IF(P353&lt;-(O353),1,0)</f>
        <v>0</v>
      </c>
    </row>
    <row r="354" spans="1:17">
      <c r="A354" s="64">
        <v>41806</v>
      </c>
      <c r="B354">
        <v>1937.780029</v>
      </c>
      <c r="C354" s="68">
        <f>LN(B354)-LN(B353)</f>
        <v>8.3635527038872226E-4</v>
      </c>
      <c r="D354" s="68"/>
      <c r="E354" s="68"/>
      <c r="F354" s="68"/>
      <c r="G354" s="68"/>
      <c r="H354" s="68"/>
      <c r="I354">
        <f>_xlfn.STDEV.S(C334:C354)</f>
        <v>3.953844176499805E-3</v>
      </c>
      <c r="J354">
        <f>_xlfn.NORM.S.INV(0.99)*I354*SQRT(10)</f>
        <v>2.9086683658889462E-2</v>
      </c>
      <c r="K354">
        <f>LN(B363)-LN(B354)</f>
        <v>1.189112646318069E-2</v>
      </c>
      <c r="L354">
        <f>IF(K354&lt;-(J354),1,0)</f>
        <v>0</v>
      </c>
      <c r="M354" s="72">
        <f t="shared" si="5"/>
        <v>3.1535132322805651E-2</v>
      </c>
      <c r="N354">
        <f>SQRT((N353^2)*0.72+(1-0.72)*(C353^2))</f>
        <v>4.2937680688675635E-3</v>
      </c>
      <c r="O354">
        <f>_xlfn.NORM.S.INV(0.99)*N354*SQRT(10)</f>
        <v>3.158735345871759E-2</v>
      </c>
      <c r="P354">
        <f>LN(B363)-LN(B354)</f>
        <v>1.189112646318069E-2</v>
      </c>
      <c r="Q354">
        <f>IF(P354&lt;-(O354),1,0)</f>
        <v>0</v>
      </c>
    </row>
    <row r="355" spans="1:17">
      <c r="A355" s="64">
        <v>41807</v>
      </c>
      <c r="B355">
        <v>1941.98999</v>
      </c>
      <c r="C355" s="68">
        <f>LN(B355)-LN(B354)</f>
        <v>2.1702124774050091E-3</v>
      </c>
      <c r="D355" s="68"/>
      <c r="E355" s="68"/>
      <c r="F355" s="68"/>
      <c r="G355" s="68"/>
      <c r="H355" s="68"/>
      <c r="I355">
        <f>_xlfn.STDEV.S(C335:C355)</f>
        <v>3.927580591855267E-3</v>
      </c>
      <c r="J355">
        <f>_xlfn.NORM.S.INV(0.99)*I355*SQRT(10)</f>
        <v>2.8893474077478894E-2</v>
      </c>
      <c r="K355">
        <f>LN(B364)-LN(B355)</f>
        <v>9.3485877177723609E-3</v>
      </c>
      <c r="L355">
        <f>IF(K355&lt;-(J355),1,0)</f>
        <v>0</v>
      </c>
      <c r="M355" s="72">
        <f t="shared" si="5"/>
        <v>2.6950268742572895E-2</v>
      </c>
      <c r="N355">
        <f>SQRT((N354^2)*0.72+(1-0.72)*(C354^2))</f>
        <v>3.6701630868081559E-3</v>
      </c>
      <c r="O355">
        <f>_xlfn.NORM.S.INV(0.99)*N355*SQRT(10)</f>
        <v>2.6999767294073419E-2</v>
      </c>
      <c r="P355">
        <f>LN(B364)-LN(B355)</f>
        <v>9.3485877177723609E-3</v>
      </c>
      <c r="Q355">
        <f>IF(P355&lt;-(O355),1,0)</f>
        <v>0</v>
      </c>
    </row>
    <row r="356" spans="1:17">
      <c r="A356" s="64">
        <v>41808</v>
      </c>
      <c r="B356">
        <v>1956.9799800000001</v>
      </c>
      <c r="C356" s="68">
        <f>LN(B356)-LN(B355)</f>
        <v>7.6892430418897817E-3</v>
      </c>
      <c r="D356" s="68"/>
      <c r="E356" s="68"/>
      <c r="F356" s="68"/>
      <c r="G356" s="68"/>
      <c r="H356" s="68"/>
      <c r="I356">
        <f>_xlfn.STDEV.S(C336:C356)</f>
        <v>4.1224466806524572E-3</v>
      </c>
      <c r="J356">
        <f>_xlfn.NORM.S.INV(0.99)*I356*SQRT(10)</f>
        <v>3.0327017744772995E-2</v>
      </c>
      <c r="K356">
        <f>LN(B365)-LN(B356)</f>
        <v>8.3149176653494195E-3</v>
      </c>
      <c r="L356">
        <f>IF(K356&lt;-(J356),1,0)</f>
        <v>0</v>
      </c>
      <c r="M356" s="72">
        <f t="shared" si="5"/>
        <v>2.437221413766338E-2</v>
      </c>
      <c r="N356">
        <f>SQRT((N355^2)*0.72+(1-0.72)*(C355^2))</f>
        <v>3.3192198052399953E-3</v>
      </c>
      <c r="O356">
        <f>_xlfn.NORM.S.INV(0.99)*N356*SQRT(10)</f>
        <v>2.4418032719439216E-2</v>
      </c>
      <c r="P356">
        <f>LN(B365)-LN(B356)</f>
        <v>8.3149176653494195E-3</v>
      </c>
      <c r="Q356">
        <f>IF(P356&lt;-(O356),1,0)</f>
        <v>0</v>
      </c>
    </row>
    <row r="357" spans="1:17">
      <c r="A357" s="64">
        <v>41809</v>
      </c>
      <c r="B357">
        <v>1959.4799800000001</v>
      </c>
      <c r="C357" s="68">
        <f>LN(B357)-LN(B356)</f>
        <v>1.2766632954708257E-3</v>
      </c>
      <c r="D357" s="68"/>
      <c r="E357" s="68"/>
      <c r="F357" s="68"/>
      <c r="G357" s="68"/>
      <c r="H357" s="68"/>
      <c r="I357">
        <f>_xlfn.STDEV.S(C337:C357)</f>
        <v>3.6628410985032034E-3</v>
      </c>
      <c r="J357">
        <f>_xlfn.NORM.S.INV(0.99)*I357*SQRT(10)</f>
        <v>2.6945902663078079E-2</v>
      </c>
      <c r="K357">
        <f>LN(B366)-LN(B357)</f>
        <v>7.6968505321399761E-3</v>
      </c>
      <c r="L357">
        <f>IF(K357&lt;-(J357),1,0)</f>
        <v>0</v>
      </c>
      <c r="M357" s="72">
        <f t="shared" si="5"/>
        <v>3.636910190121289E-2</v>
      </c>
      <c r="N357">
        <f>SQRT((N356^2)*0.72+(1-0.72)*(C356^2))</f>
        <v>4.9484590408720441E-3</v>
      </c>
      <c r="O357">
        <f>_xlfn.NORM.S.INV(0.99)*N357*SQRT(10)</f>
        <v>3.6403625508640174E-2</v>
      </c>
      <c r="P357">
        <f>LN(B366)-LN(B357)</f>
        <v>7.6968505321399761E-3</v>
      </c>
      <c r="Q357">
        <f>IF(P357&lt;-(O357),1,0)</f>
        <v>0</v>
      </c>
    </row>
    <row r="358" spans="1:17">
      <c r="A358" s="64">
        <v>41810</v>
      </c>
      <c r="B358">
        <v>1962.869995</v>
      </c>
      <c r="C358" s="68">
        <f>LN(B358)-LN(B357)</f>
        <v>1.7285636751953604E-3</v>
      </c>
      <c r="D358" s="68"/>
      <c r="E358" s="68"/>
      <c r="F358" s="68"/>
      <c r="G358" s="68"/>
      <c r="H358" s="68"/>
      <c r="I358">
        <f>_xlfn.STDEV.S(C338:C358)</f>
        <v>3.4016589514768276E-3</v>
      </c>
      <c r="J358">
        <f>_xlfn.NORM.S.INV(0.99)*I358*SQRT(10)</f>
        <v>2.5024501072934732E-2</v>
      </c>
      <c r="K358">
        <f>LN(B367)-LN(B358)</f>
        <v>1.1432836939349933E-2</v>
      </c>
      <c r="L358">
        <f>IF(K358&lt;-(J358),1,0)</f>
        <v>0</v>
      </c>
      <c r="M358" s="72">
        <f t="shared" si="5"/>
        <v>3.1235595040652171E-2</v>
      </c>
      <c r="N358">
        <f>SQRT((N357^2)*0.72+(1-0.72)*(C357^2))</f>
        <v>4.252902670014473E-3</v>
      </c>
      <c r="O358">
        <f>_xlfn.NORM.S.INV(0.99)*N358*SQRT(10)</f>
        <v>3.1286724785463592E-2</v>
      </c>
      <c r="P358">
        <f>LN(B367)-LN(B358)</f>
        <v>1.1432836939349933E-2</v>
      </c>
      <c r="Q358">
        <f>IF(P358&lt;-(O358),1,0)</f>
        <v>0</v>
      </c>
    </row>
    <row r="359" spans="1:17">
      <c r="A359" s="64">
        <v>41813</v>
      </c>
      <c r="B359">
        <v>1962.6099850000001</v>
      </c>
      <c r="C359" s="68">
        <f>LN(B359)-LN(B358)</f>
        <v>-1.3247297232688027E-4</v>
      </c>
      <c r="D359" s="68"/>
      <c r="E359" s="68"/>
      <c r="F359" s="68"/>
      <c r="G359" s="68"/>
      <c r="H359" s="68"/>
      <c r="I359">
        <f>_xlfn.STDEV.S(C339:C359)</f>
        <v>3.426414073260717E-3</v>
      </c>
      <c r="J359">
        <f>_xlfn.NORM.S.INV(0.99)*I359*SQRT(10)</f>
        <v>2.5206613559953048E-2</v>
      </c>
      <c r="K359">
        <f>LN(B368)-LN(B359)</f>
        <v>7.6340708525961531E-3</v>
      </c>
      <c r="L359">
        <f>IF(K359&lt;-(J359),1,0)</f>
        <v>0</v>
      </c>
      <c r="M359" s="72">
        <f t="shared" si="5"/>
        <v>2.7342928368693894E-2</v>
      </c>
      <c r="N359">
        <f>SQRT((N358^2)*0.72+(1-0.72)*(C358^2))</f>
        <v>3.7228203653978604E-3</v>
      </c>
      <c r="O359">
        <f>_xlfn.NORM.S.INV(0.99)*N359*SQRT(10)</f>
        <v>2.7387143613499507E-2</v>
      </c>
      <c r="P359">
        <f>LN(B368)-LN(B359)</f>
        <v>7.6340708525961531E-3</v>
      </c>
      <c r="Q359">
        <f>IF(P359&lt;-(O359),1,0)</f>
        <v>0</v>
      </c>
    </row>
    <row r="360" spans="1:17">
      <c r="A360" s="64">
        <v>41814</v>
      </c>
      <c r="B360">
        <v>1949.9799800000001</v>
      </c>
      <c r="C360" s="68">
        <f>LN(B360)-LN(B359)</f>
        <v>-6.4561065598747192E-3</v>
      </c>
      <c r="D360" s="68"/>
      <c r="E360" s="68"/>
      <c r="F360" s="68"/>
      <c r="G360" s="68"/>
      <c r="H360" s="68"/>
      <c r="I360">
        <f>_xlfn.STDEV.S(C340:C360)</f>
        <v>3.8087202333353253E-3</v>
      </c>
      <c r="J360">
        <f>_xlfn.NORM.S.INV(0.99)*I360*SQRT(10)</f>
        <v>2.8019070966602552E-2</v>
      </c>
      <c r="K360">
        <f>LN(B369)-LN(B360)</f>
        <v>7.0164154719885019E-3</v>
      </c>
      <c r="L360">
        <f>IF(K360&lt;-(J360),1,0)</f>
        <v>0</v>
      </c>
      <c r="M360" s="72">
        <f t="shared" si="5"/>
        <v>2.3198748161188967E-2</v>
      </c>
      <c r="N360">
        <f>SQRT((N359^2)*0.72+(1-0.72)*(C359^2))</f>
        <v>3.1596954925002434E-3</v>
      </c>
      <c r="O360">
        <f>_xlfn.NORM.S.INV(0.99)*N360*SQRT(10)</f>
        <v>2.3244482874419634E-2</v>
      </c>
      <c r="P360">
        <f>LN(B369)-LN(B360)</f>
        <v>7.0164154719885019E-3</v>
      </c>
      <c r="Q360">
        <f>IF(P360&lt;-(O360),1,0)</f>
        <v>0</v>
      </c>
    </row>
    <row r="361" spans="1:17">
      <c r="A361" s="64">
        <v>41815</v>
      </c>
      <c r="B361">
        <v>1959.530029</v>
      </c>
      <c r="C361" s="68">
        <f>LN(B361)-LN(B360)</f>
        <v>4.8855575116011352E-3</v>
      </c>
      <c r="D361" s="68"/>
      <c r="E361" s="68"/>
      <c r="F361" s="68"/>
      <c r="G361" s="68"/>
      <c r="H361" s="68"/>
      <c r="I361">
        <f>_xlfn.STDEV.S(C341:C361)</f>
        <v>3.7480136854679711E-3</v>
      </c>
      <c r="J361">
        <f>_xlfn.NORM.S.INV(0.99)*I361*SQRT(10)</f>
        <v>2.7572479731587288E-2</v>
      </c>
      <c r="K361">
        <f>LN(B370)-LN(B361)</f>
        <v>6.7643744540992756E-3</v>
      </c>
      <c r="L361">
        <f>IF(K361&lt;-(J361),1,0)</f>
        <v>0</v>
      </c>
      <c r="M361" s="72">
        <f t="shared" si="5"/>
        <v>3.1911496083152829E-2</v>
      </c>
      <c r="N361">
        <f>SQRT((N360^2)*0.72+(1-0.72)*(C360^2))</f>
        <v>4.3426966013438064E-3</v>
      </c>
      <c r="O361">
        <f>_xlfn.NORM.S.INV(0.99)*N361*SQRT(10)</f>
        <v>3.1947299041421372E-2</v>
      </c>
      <c r="P361">
        <f>LN(B370)-LN(B361)</f>
        <v>6.7643744540992756E-3</v>
      </c>
      <c r="Q361">
        <f>IF(P361&lt;-(O361),1,0)</f>
        <v>0</v>
      </c>
    </row>
    <row r="362" spans="1:17">
      <c r="A362" s="64">
        <v>41816</v>
      </c>
      <c r="B362">
        <v>1957.219971</v>
      </c>
      <c r="C362" s="68">
        <f>LN(B362)-LN(B361)</f>
        <v>-1.1795791244537668E-3</v>
      </c>
      <c r="D362" s="68"/>
      <c r="E362" s="68"/>
      <c r="F362" s="68"/>
      <c r="G362" s="68"/>
      <c r="H362" s="68"/>
      <c r="I362">
        <f>_xlfn.STDEV.S(C342:C362)</f>
        <v>3.7500188613615727E-3</v>
      </c>
      <c r="J362">
        <f>_xlfn.NORM.S.INV(0.99)*I362*SQRT(10)</f>
        <v>2.7587230924172035E-2</v>
      </c>
      <c r="K362">
        <f>LN(B371)-LN(B362)</f>
        <v>3.8043254289288342E-3</v>
      </c>
      <c r="L362">
        <f>IF(K362&lt;-(J362),1,0)</f>
        <v>0</v>
      </c>
      <c r="M362" s="72">
        <f t="shared" si="5"/>
        <v>3.308882353810115E-2</v>
      </c>
      <c r="N362">
        <f>SQRT((N361^2)*0.72+(1-0.72)*(C361^2))</f>
        <v>4.5013018262629349E-3</v>
      </c>
      <c r="O362">
        <f>_xlfn.NORM.S.INV(0.99)*N362*SQRT(10)</f>
        <v>3.3114087563662457E-2</v>
      </c>
      <c r="P362">
        <f>LN(B371)-LN(B362)</f>
        <v>3.8043254289288342E-3</v>
      </c>
      <c r="Q362">
        <f>IF(P362&lt;-(O362),1,0)</f>
        <v>0</v>
      </c>
    </row>
    <row r="363" spans="1:17">
      <c r="A363" s="64">
        <v>41817</v>
      </c>
      <c r="B363">
        <v>1960.959961</v>
      </c>
      <c r="C363" s="68">
        <f>LN(B363)-LN(B362)</f>
        <v>1.9090451182739443E-3</v>
      </c>
      <c r="D363" s="68"/>
      <c r="E363" s="68"/>
      <c r="F363" s="68"/>
      <c r="G363" s="68"/>
      <c r="H363" s="68"/>
      <c r="I363">
        <f>_xlfn.STDEV.S(C343:C363)</f>
        <v>3.6313083544159699E-3</v>
      </c>
      <c r="J363">
        <f>_xlfn.NORM.S.INV(0.99)*I363*SQRT(10)</f>
        <v>2.6713930205080498E-2</v>
      </c>
      <c r="K363">
        <f>LN(B372)-LN(B363)</f>
        <v>3.3651220146593275E-3</v>
      </c>
      <c r="L363">
        <f>IF(K363&lt;-(J363),1,0)</f>
        <v>0</v>
      </c>
      <c r="M363" s="72">
        <f t="shared" si="5"/>
        <v>2.8439100102540457E-2</v>
      </c>
      <c r="N363">
        <f>SQRT((N362^2)*0.72+(1-0.72)*(C362^2))</f>
        <v>3.8701461199084171E-3</v>
      </c>
      <c r="O363">
        <f>_xlfn.NORM.S.INV(0.99)*N363*SQRT(10)</f>
        <v>2.8470954058464819E-2</v>
      </c>
      <c r="P363">
        <f>LN(B372)-LN(B363)</f>
        <v>3.3651220146593275E-3</v>
      </c>
      <c r="Q363">
        <f>IF(P363&lt;-(O363),1,0)</f>
        <v>0</v>
      </c>
    </row>
    <row r="364" spans="1:17">
      <c r="A364" s="64">
        <v>41820</v>
      </c>
      <c r="B364">
        <v>1960.2299800000001</v>
      </c>
      <c r="C364" s="68">
        <f>LN(B364)-LN(B363)</f>
        <v>-3.7232626800332014E-4</v>
      </c>
      <c r="D364" s="68"/>
      <c r="E364" s="68"/>
      <c r="F364" s="68"/>
      <c r="G364" s="68"/>
      <c r="H364" s="68"/>
      <c r="I364">
        <f>_xlfn.STDEV.S(C344:C364)</f>
        <v>3.6379152579151283E-3</v>
      </c>
      <c r="J364">
        <f>_xlfn.NORM.S.INV(0.99)*I364*SQRT(10)</f>
        <v>2.6762534273290128E-2</v>
      </c>
      <c r="K364">
        <f>LN(B373)-LN(B364)</f>
        <v>8.569309366002642E-3</v>
      </c>
      <c r="L364">
        <f>IF(K364&lt;-(J364),1,0)</f>
        <v>0</v>
      </c>
      <c r="M364" s="72">
        <f t="shared" si="5"/>
        <v>2.5248302571831336E-2</v>
      </c>
      <c r="N364">
        <f>SQRT((N363^2)*0.72+(1-0.72)*(C363^2))</f>
        <v>3.4357865513165876E-3</v>
      </c>
      <c r="O364">
        <f>_xlfn.NORM.S.INV(0.99)*N364*SQRT(10)</f>
        <v>2.5275562737548694E-2</v>
      </c>
      <c r="P364">
        <f>LN(B373)-LN(B364)</f>
        <v>8.569309366002642E-3</v>
      </c>
      <c r="Q364">
        <f>IF(P364&lt;-(O364),1,0)</f>
        <v>0</v>
      </c>
    </row>
    <row r="365" spans="1:17">
      <c r="A365" s="64">
        <v>41821</v>
      </c>
      <c r="B365">
        <v>1973.3199460000001</v>
      </c>
      <c r="C365" s="68">
        <f>LN(B365)-LN(B364)</f>
        <v>6.6555729894668403E-3</v>
      </c>
      <c r="D365" s="68"/>
      <c r="E365" s="68"/>
      <c r="F365" s="68"/>
      <c r="G365" s="68"/>
      <c r="H365" s="68"/>
      <c r="I365">
        <f>_xlfn.STDEV.S(C345:C365)</f>
        <v>3.8478818573135067E-3</v>
      </c>
      <c r="J365">
        <f>_xlfn.NORM.S.INV(0.99)*I365*SQRT(10)</f>
        <v>2.8307165721320516E-2</v>
      </c>
      <c r="K365">
        <f>LN(B374)-LN(B365)</f>
        <v>-2.0228551286471941E-5</v>
      </c>
      <c r="L365">
        <f>IF(K365&lt;-(J365),1,0)</f>
        <v>0</v>
      </c>
      <c r="M365" s="72">
        <f t="shared" si="5"/>
        <v>2.1472603360114025E-2</v>
      </c>
      <c r="N365">
        <f>SQRT((N364^2)*0.72+(1-0.72)*(C364^2))</f>
        <v>2.9220110473484502E-3</v>
      </c>
      <c r="O365">
        <f>_xlfn.NORM.S.INV(0.99)*N365*SQRT(10)</f>
        <v>2.1495943488912261E-2</v>
      </c>
      <c r="P365">
        <f>LN(B374)-LN(B365)</f>
        <v>-2.0228551286471941E-5</v>
      </c>
      <c r="Q365">
        <f>IF(P365&lt;-(O365),1,0)</f>
        <v>0</v>
      </c>
    </row>
    <row r="366" spans="1:17">
      <c r="A366" s="64">
        <v>41822</v>
      </c>
      <c r="B366">
        <v>1974.619995</v>
      </c>
      <c r="C366" s="68">
        <f>LN(B366)-LN(B365)</f>
        <v>6.5859616226138229E-4</v>
      </c>
      <c r="D366" s="68"/>
      <c r="E366" s="68"/>
      <c r="F366" s="68"/>
      <c r="G366" s="68"/>
      <c r="H366" s="68"/>
      <c r="I366">
        <f>_xlfn.STDEV.S(C346:C366)</f>
        <v>3.8334736937563518E-3</v>
      </c>
      <c r="J366">
        <f>_xlfn.NORM.S.INV(0.99)*I366*SQRT(10)</f>
        <v>2.820117123170876E-2</v>
      </c>
      <c r="K366">
        <f>LN(B375)-LN(B366)</f>
        <v>3.513460300472282E-3</v>
      </c>
      <c r="L366">
        <f>IF(K366&lt;-(J366),1,0)</f>
        <v>0</v>
      </c>
      <c r="M366" s="72">
        <f t="shared" si="5"/>
        <v>3.1673489451712764E-2</v>
      </c>
      <c r="N366">
        <f>SQRT((N365^2)*0.72+(1-0.72)*(C365^2))</f>
        <v>4.3070325599963554E-3</v>
      </c>
      <c r="O366">
        <f>_xlfn.NORM.S.INV(0.99)*N366*SQRT(10)</f>
        <v>3.1684934455877896E-2</v>
      </c>
      <c r="P366">
        <f>LN(B375)-LN(B366)</f>
        <v>3.513460300472282E-3</v>
      </c>
      <c r="Q366">
        <f>IF(P366&lt;-(O366),1,0)</f>
        <v>0</v>
      </c>
    </row>
    <row r="367" spans="1:17">
      <c r="A367" s="64">
        <v>41823</v>
      </c>
      <c r="B367">
        <v>1985.4399410000001</v>
      </c>
      <c r="C367" s="68">
        <f>LN(B367)-LN(B366)</f>
        <v>5.4645500824053173E-3</v>
      </c>
      <c r="D367" s="68"/>
      <c r="E367" s="68"/>
      <c r="F367" s="68"/>
      <c r="G367" s="68"/>
      <c r="H367" s="68"/>
      <c r="I367">
        <f>_xlfn.STDEV.S(C347:C367)</f>
        <v>3.9420351855346892E-3</v>
      </c>
      <c r="J367">
        <f>_xlfn.NORM.S.INV(0.99)*I367*SQRT(10)</f>
        <v>2.8999810132973966E-2</v>
      </c>
      <c r="K367">
        <f>LN(B376)-LN(B367)</f>
        <v>-1.3855695623382402E-2</v>
      </c>
      <c r="L367">
        <f>IF(K367&lt;-(J367),1,0)</f>
        <v>0</v>
      </c>
      <c r="M367" s="72">
        <f t="shared" si="5"/>
        <v>2.6996444575395084E-2</v>
      </c>
      <c r="N367">
        <f>SQRT((N366^2)*0.72+(1-0.72)*(C366^2))</f>
        <v>3.6712165441240619E-3</v>
      </c>
      <c r="O367">
        <f>_xlfn.NORM.S.INV(0.99)*N367*SQRT(10)</f>
        <v>2.7007517113825555E-2</v>
      </c>
      <c r="P367">
        <f>LN(B376)-LN(B367)</f>
        <v>-1.3855695623382402E-2</v>
      </c>
      <c r="Q367">
        <f>IF(P367&lt;-(O367),1,0)</f>
        <v>0</v>
      </c>
    </row>
    <row r="368" spans="1:17">
      <c r="A368" s="64">
        <v>41827</v>
      </c>
      <c r="B368">
        <v>1977.650024</v>
      </c>
      <c r="C368" s="68">
        <f>LN(B368)-LN(B367)</f>
        <v>-3.9312390590806601E-3</v>
      </c>
      <c r="D368" s="68"/>
      <c r="E368" s="68"/>
      <c r="F368" s="68"/>
      <c r="G368" s="68"/>
      <c r="H368" s="68"/>
      <c r="I368">
        <f>_xlfn.STDEV.S(C348:C368)</f>
        <v>3.9242655953470214E-3</v>
      </c>
      <c r="J368">
        <f>_xlfn.NORM.S.INV(0.99)*I368*SQRT(10)</f>
        <v>2.8869087113688373E-2</v>
      </c>
      <c r="K368">
        <f>LN(B377)-LN(B368)</f>
        <v>2.8815254528780088E-4</v>
      </c>
      <c r="L368">
        <f>IF(K368&lt;-(J368),1,0)</f>
        <v>0</v>
      </c>
      <c r="M368" s="72">
        <f t="shared" si="5"/>
        <v>3.1246451559710314E-2</v>
      </c>
      <c r="N368">
        <f>SQRT((N367^2)*0.72+(1-0.72)*(C367^2))</f>
        <v>4.2503181512499304E-3</v>
      </c>
      <c r="O368">
        <f>_xlfn.NORM.S.INV(0.99)*N368*SQRT(10)</f>
        <v>3.1267711623497944E-2</v>
      </c>
      <c r="P368">
        <f>LN(B377)-LN(B368)</f>
        <v>2.8815254528780088E-4</v>
      </c>
      <c r="Q368">
        <f>IF(P368&lt;-(O368),1,0)</f>
        <v>0</v>
      </c>
    </row>
    <row r="369" spans="1:17">
      <c r="A369" s="64">
        <v>41828</v>
      </c>
      <c r="B369">
        <v>1963.709961</v>
      </c>
      <c r="C369" s="68">
        <f>LN(B369)-LN(B368)</f>
        <v>-7.0737619404823704E-3</v>
      </c>
      <c r="D369" s="68"/>
      <c r="E369" s="68"/>
      <c r="F369" s="68"/>
      <c r="G369" s="68"/>
      <c r="H369" s="68"/>
      <c r="I369">
        <f>_xlfn.STDEV.S(C349:C369)</f>
        <v>4.191341107333069E-3</v>
      </c>
      <c r="J369">
        <f>_xlfn.NORM.S.INV(0.99)*I369*SQRT(10)</f>
        <v>3.0833843584453274E-2</v>
      </c>
      <c r="K369">
        <f>LN(B378)-LN(B369)</f>
        <v>5.0389679711706492E-3</v>
      </c>
      <c r="L369">
        <f>IF(K369&lt;-(J369),1,0)</f>
        <v>0</v>
      </c>
      <c r="M369" s="72">
        <f t="shared" si="5"/>
        <v>3.0605578186905767E-2</v>
      </c>
      <c r="N369">
        <f>SQRT((N368^2)*0.72+(1-0.72)*(C368^2))</f>
        <v>4.1634416664134638E-3</v>
      </c>
      <c r="O369">
        <f>_xlfn.NORM.S.INV(0.99)*N369*SQRT(10)</f>
        <v>3.0628599731619695E-2</v>
      </c>
      <c r="P369">
        <f>LN(B378)-LN(B369)</f>
        <v>5.0389679711706492E-3</v>
      </c>
      <c r="Q369">
        <f>IF(P369&lt;-(O369),1,0)</f>
        <v>0</v>
      </c>
    </row>
    <row r="370" spans="1:17">
      <c r="A370" s="64">
        <v>41829</v>
      </c>
      <c r="B370">
        <v>1972.829956</v>
      </c>
      <c r="C370" s="68">
        <f>LN(B370)-LN(B369)</f>
        <v>4.6335164937119089E-3</v>
      </c>
      <c r="D370" s="68"/>
      <c r="E370" s="68"/>
      <c r="F370" s="68"/>
      <c r="G370" s="68"/>
      <c r="H370" s="68"/>
      <c r="I370">
        <f>_xlfn.STDEV.S(C350:C370)</f>
        <v>4.29370990558224E-3</v>
      </c>
      <c r="J370">
        <f>_xlfn.NORM.S.INV(0.99)*I370*SQRT(10)</f>
        <v>3.1586925577140768E-2</v>
      </c>
      <c r="K370">
        <f>LN(B379)-LN(B370)</f>
        <v>5.409062435711931E-3</v>
      </c>
      <c r="L370">
        <f>IF(K370&lt;-(J370),1,0)</f>
        <v>0</v>
      </c>
      <c r="M370" s="72">
        <f t="shared" si="5"/>
        <v>3.7850350074365484E-2</v>
      </c>
      <c r="N370">
        <f>SQRT((N369^2)*0.72+(1-0.72)*(C369^2))</f>
        <v>5.1469726756905067E-3</v>
      </c>
      <c r="O370">
        <f>_xlfn.NORM.S.INV(0.99)*N370*SQRT(10)</f>
        <v>3.7864002559475932E-2</v>
      </c>
      <c r="P370">
        <f>LN(B379)-LN(B370)</f>
        <v>5.409062435711931E-3</v>
      </c>
      <c r="Q370">
        <f>IF(P370&lt;-(O370),1,0)</f>
        <v>0</v>
      </c>
    </row>
    <row r="371" spans="1:17">
      <c r="A371" s="64">
        <v>41830</v>
      </c>
      <c r="B371">
        <v>1964.6800539999999</v>
      </c>
      <c r="C371" s="68">
        <f>LN(B371)-LN(B370)</f>
        <v>-4.1396281496242082E-3</v>
      </c>
      <c r="D371" s="68"/>
      <c r="E371" s="68"/>
      <c r="F371" s="68"/>
      <c r="G371" s="68"/>
      <c r="H371" s="68"/>
      <c r="I371">
        <f>_xlfn.STDEV.S(C351:C371)</f>
        <v>4.411052985712211E-3</v>
      </c>
      <c r="J371">
        <f>_xlfn.NORM.S.INV(0.99)*I371*SQRT(10)</f>
        <v>3.2450166741672871E-2</v>
      </c>
      <c r="K371">
        <f>LN(B380)-LN(B371)</f>
        <v>1.1301591629973018E-2</v>
      </c>
      <c r="L371">
        <f>IF(K371&lt;-(J371),1,0)</f>
        <v>0</v>
      </c>
      <c r="M371" s="72">
        <f t="shared" si="5"/>
        <v>3.6835302179232164E-2</v>
      </c>
      <c r="N371">
        <f>SQRT((N370^2)*0.72+(1-0.72)*(C370^2))</f>
        <v>5.0085136506551982E-3</v>
      </c>
      <c r="O371">
        <f>_xlfn.NORM.S.INV(0.99)*N371*SQRT(10)</f>
        <v>3.6845420723384072E-2</v>
      </c>
      <c r="P371">
        <f>LN(B380)-LN(B371)</f>
        <v>1.1301591629973018E-2</v>
      </c>
      <c r="Q371">
        <f>IF(P371&lt;-(O371),1,0)</f>
        <v>0</v>
      </c>
    </row>
    <row r="372" spans="1:17">
      <c r="A372" s="64">
        <v>41831</v>
      </c>
      <c r="B372">
        <v>1967.5699460000001</v>
      </c>
      <c r="C372" s="68">
        <f>LN(B372)-LN(B371)</f>
        <v>1.4698417040044376E-3</v>
      </c>
      <c r="D372" s="68"/>
      <c r="E372" s="68"/>
      <c r="F372" s="68"/>
      <c r="G372" s="68"/>
      <c r="H372" s="68"/>
      <c r="I372">
        <f>_xlfn.STDEV.S(C352:C372)</f>
        <v>4.3253263374349558E-3</v>
      </c>
      <c r="J372">
        <f>_xlfn.NORM.S.INV(0.99)*I372*SQRT(10)</f>
        <v>3.1819513689031631E-2</v>
      </c>
      <c r="K372">
        <f>LN(B381)-LN(B372)</f>
        <v>1.0319786384773266E-2</v>
      </c>
      <c r="L372">
        <f>IF(K372&lt;-(J372),1,0)</f>
        <v>0</v>
      </c>
      <c r="M372" s="72">
        <f t="shared" si="5"/>
        <v>3.5161522746419552E-2</v>
      </c>
      <c r="N372">
        <f>SQRT((N371^2)*0.72+(1-0.72)*(C371^2))</f>
        <v>4.7811689379000958E-3</v>
      </c>
      <c r="O372">
        <f>_xlfn.NORM.S.INV(0.99)*N372*SQRT(10)</f>
        <v>3.5172946178046088E-2</v>
      </c>
      <c r="P372">
        <f>LN(B381)-LN(B372)</f>
        <v>1.0319786384773266E-2</v>
      </c>
      <c r="Q372">
        <f>IF(P372&lt;-(O372),1,0)</f>
        <v>0</v>
      </c>
    </row>
    <row r="373" spans="1:17">
      <c r="A373" s="64">
        <v>41834</v>
      </c>
      <c r="B373">
        <v>1977.099976</v>
      </c>
      <c r="C373" s="68">
        <f>LN(B373)-LN(B372)</f>
        <v>4.8318610833399944E-3</v>
      </c>
      <c r="D373" s="68"/>
      <c r="E373" s="68"/>
      <c r="F373" s="68"/>
      <c r="G373" s="68"/>
      <c r="H373" s="68"/>
      <c r="I373">
        <f>_xlfn.STDEV.S(C353:C373)</f>
        <v>4.0393916996455887E-3</v>
      </c>
      <c r="J373">
        <f>_xlfn.NORM.S.INV(0.99)*I373*SQRT(10)</f>
        <v>2.9716018967127566E-2</v>
      </c>
      <c r="K373">
        <f>LN(B382)-LN(B373)</f>
        <v>6.2697958194402048E-4</v>
      </c>
      <c r="L373">
        <f>IF(K373&lt;-(J373),1,0)</f>
        <v>0</v>
      </c>
      <c r="M373" s="72">
        <f t="shared" si="5"/>
        <v>3.0361526156360102E-2</v>
      </c>
      <c r="N373">
        <f>SQRT((N372^2)*0.72+(1-0.72)*(C372^2))</f>
        <v>4.1308372898149733E-3</v>
      </c>
      <c r="O373">
        <f>_xlfn.NORM.S.INV(0.99)*N373*SQRT(10)</f>
        <v>3.0388743746992818E-2</v>
      </c>
      <c r="P373">
        <f>LN(B382)-LN(B373)</f>
        <v>6.2697958194402048E-4</v>
      </c>
      <c r="Q373">
        <f>IF(P373&lt;-(O373),1,0)</f>
        <v>0</v>
      </c>
    </row>
    <row r="374" spans="1:17">
      <c r="A374" s="64">
        <v>41835</v>
      </c>
      <c r="B374">
        <v>1973.280029</v>
      </c>
      <c r="C374" s="68">
        <f>LN(B374)-LN(B373)</f>
        <v>-1.9339649278222737E-3</v>
      </c>
      <c r="D374" s="68"/>
      <c r="E374" s="68"/>
      <c r="F374" s="68"/>
      <c r="G374" s="68"/>
      <c r="H374" s="68"/>
      <c r="I374">
        <f>_xlfn.STDEV.S(C354:C374)</f>
        <v>4.0660686941136372E-3</v>
      </c>
      <c r="J374">
        <f>_xlfn.NORM.S.INV(0.99)*I374*SQRT(10)</f>
        <v>2.9912269821846124E-2</v>
      </c>
      <c r="K374">
        <f>LN(B383)-LN(B374)</f>
        <v>2.8490577216899737E-3</v>
      </c>
      <c r="L374">
        <f>IF(K374&lt;-(J374),1,0)</f>
        <v>0</v>
      </c>
      <c r="M374" s="72">
        <f t="shared" si="5"/>
        <v>3.1894927423775581E-2</v>
      </c>
      <c r="N374">
        <f>SQRT((N373^2)*0.72+(1-0.72)*(C373^2))</f>
        <v>4.3385567718748838E-3</v>
      </c>
      <c r="O374">
        <f>_xlfn.NORM.S.INV(0.99)*N374*SQRT(10)</f>
        <v>3.1916844146188027E-2</v>
      </c>
      <c r="P374">
        <f>LN(B383)-LN(B374)</f>
        <v>2.8490577216899737E-3</v>
      </c>
      <c r="Q374">
        <f>IF(P374&lt;-(O374),1,0)</f>
        <v>0</v>
      </c>
    </row>
    <row r="375" spans="1:17">
      <c r="A375" s="64">
        <v>41836</v>
      </c>
      <c r="B375">
        <v>1981.5699460000001</v>
      </c>
      <c r="C375" s="68">
        <f>LN(B375)-LN(B374)</f>
        <v>4.1922850140201362E-3</v>
      </c>
      <c r="D375" s="68"/>
      <c r="E375" s="68"/>
      <c r="F375" s="68"/>
      <c r="G375" s="68"/>
      <c r="H375" s="68"/>
      <c r="I375">
        <f>_xlfn.STDEV.S(C355:C375)</f>
        <v>4.1287295822842705E-3</v>
      </c>
      <c r="J375">
        <f>_xlfn.NORM.S.INV(0.99)*I375*SQRT(10)</f>
        <v>3.0373238274481941E-2</v>
      </c>
      <c r="K375">
        <f>LN(B384)-LN(B375)</f>
        <v>-5.8812957024905188E-3</v>
      </c>
      <c r="L375">
        <f>IF(K375&lt;-(J375),1,0)</f>
        <v>0</v>
      </c>
      <c r="M375" s="72">
        <f t="shared" si="5"/>
        <v>2.8091066992763286E-2</v>
      </c>
      <c r="N375">
        <f>SQRT((N374^2)*0.72+(1-0.72)*(C374^2))</f>
        <v>3.8209783559941383E-3</v>
      </c>
      <c r="O375">
        <f>_xlfn.NORM.S.INV(0.99)*N375*SQRT(10)</f>
        <v>2.8109248555832789E-2</v>
      </c>
      <c r="P375">
        <f>LN(B384)-LN(B375)</f>
        <v>-5.8812957024905188E-3</v>
      </c>
      <c r="Q375">
        <f>IF(P375&lt;-(O375),1,0)</f>
        <v>0</v>
      </c>
    </row>
    <row r="376" spans="1:17">
      <c r="A376" s="64">
        <v>41837</v>
      </c>
      <c r="B376">
        <v>1958.119995</v>
      </c>
      <c r="C376" s="68">
        <f>LN(B376)-LN(B375)</f>
        <v>-1.1904605841449367E-2</v>
      </c>
      <c r="D376" s="68"/>
      <c r="E376" s="68"/>
      <c r="F376" s="68"/>
      <c r="G376" s="68"/>
      <c r="H376" s="68"/>
      <c r="I376">
        <f>_xlfn.STDEV.S(C356:C376)</f>
        <v>4.9922895042651327E-3</v>
      </c>
      <c r="J376">
        <f>_xlfn.NORM.S.INV(0.99)*I376*SQRT(10)</f>
        <v>3.6726066850895071E-2</v>
      </c>
      <c r="K376">
        <f>LN(B385)-LN(B376)</f>
        <v>6.0842209988898333E-3</v>
      </c>
      <c r="L376">
        <f>IF(K376&lt;-(J376),1,0)</f>
        <v>0</v>
      </c>
      <c r="M376" s="72">
        <f t="shared" si="5"/>
        <v>2.8885652552918462E-2</v>
      </c>
      <c r="N376">
        <f>SQRT((N375^2)*0.72+(1-0.72)*(C375^2))</f>
        <v>3.9284833522213467E-3</v>
      </c>
      <c r="O376">
        <f>_xlfn.NORM.S.INV(0.99)*N376*SQRT(10)</f>
        <v>2.890011528639249E-2</v>
      </c>
      <c r="P376">
        <f>LN(B385)-LN(B376)</f>
        <v>6.0842209988898333E-3</v>
      </c>
      <c r="Q376">
        <f>IF(P376&lt;-(O376),1,0)</f>
        <v>0</v>
      </c>
    </row>
    <row r="377" spans="1:17">
      <c r="A377" s="64">
        <v>41838</v>
      </c>
      <c r="B377">
        <v>1978.219971</v>
      </c>
      <c r="C377" s="68">
        <f>LN(B377)-LN(B376)</f>
        <v>1.0212609109589543E-2</v>
      </c>
      <c r="D377" s="68"/>
      <c r="E377" s="68"/>
      <c r="F377" s="68"/>
      <c r="G377" s="68"/>
      <c r="H377" s="68"/>
      <c r="I377">
        <f>_xlfn.STDEV.S(C357:C377)</f>
        <v>5.2026001640800151E-3</v>
      </c>
      <c r="J377">
        <f>_xlfn.NORM.S.INV(0.99)*I377*SQRT(10)</f>
        <v>3.8273229399304651E-2</v>
      </c>
      <c r="K377">
        <f>LN(B386)-LN(B377)</f>
        <v>-2.4330320090876434E-2</v>
      </c>
      <c r="L377">
        <f>IF(K377&lt;-(J377),1,0)</f>
        <v>0</v>
      </c>
      <c r="M377" s="72">
        <f t="shared" si="5"/>
        <v>5.2412014866503542E-2</v>
      </c>
      <c r="N377">
        <f>SQRT((N376^2)*0.72+(1-0.72)*(C376^2))</f>
        <v>7.1269380459160368E-3</v>
      </c>
      <c r="O377">
        <f>_xlfn.NORM.S.INV(0.99)*N377*SQRT(10)</f>
        <v>5.2429732469016485E-2</v>
      </c>
      <c r="P377">
        <f>LN(B386)-LN(B377)</f>
        <v>-2.4330320090876434E-2</v>
      </c>
      <c r="Q377">
        <f>IF(P377&lt;-(O377),1,0)</f>
        <v>0</v>
      </c>
    </row>
    <row r="378" spans="1:17">
      <c r="A378" s="64">
        <v>41841</v>
      </c>
      <c r="B378">
        <v>1973.630005</v>
      </c>
      <c r="C378" s="68">
        <f>LN(B378)-LN(B377)</f>
        <v>-2.3229465145995221E-3</v>
      </c>
      <c r="D378" s="68"/>
      <c r="E378" s="68"/>
      <c r="F378" s="68"/>
      <c r="G378" s="68"/>
      <c r="H378" s="68"/>
      <c r="I378">
        <f>_xlfn.STDEV.S(C358:C378)</f>
        <v>5.23541261772229E-3</v>
      </c>
      <c r="J378">
        <f>_xlfn.NORM.S.INV(0.99)*I378*SQRT(10)</f>
        <v>3.8514616114754249E-2</v>
      </c>
      <c r="K378">
        <f>LN(B387)-LN(B378)</f>
        <v>-2.4870590050982244E-2</v>
      </c>
      <c r="L378">
        <f>IF(K378&lt;-(J378),1,0)</f>
        <v>0</v>
      </c>
      <c r="M378" s="72">
        <f t="shared" si="5"/>
        <v>5.9651230500040182E-2</v>
      </c>
      <c r="N378">
        <f>SQRT((N377^2)*0.72+(1-0.72)*(C377^2))</f>
        <v>8.1101420953341094E-3</v>
      </c>
      <c r="O378">
        <f>_xlfn.NORM.S.INV(0.99)*N378*SQRT(10)</f>
        <v>5.9662729997735371E-2</v>
      </c>
      <c r="P378">
        <f>LN(B387)-LN(B378)</f>
        <v>-2.4870590050982244E-2</v>
      </c>
      <c r="Q378">
        <f>IF(P378&lt;-(O378),1,0)</f>
        <v>0</v>
      </c>
    </row>
    <row r="379" spans="1:17">
      <c r="A379" s="64">
        <v>41842</v>
      </c>
      <c r="B379">
        <v>1983.530029</v>
      </c>
      <c r="C379" s="68">
        <f>LN(B379)-LN(B378)</f>
        <v>5.0036109582531907E-3</v>
      </c>
      <c r="D379" s="68"/>
      <c r="E379" s="68"/>
      <c r="F379" s="68"/>
      <c r="G379" s="68"/>
      <c r="H379" s="68"/>
      <c r="I379">
        <f>_xlfn.STDEV.S(C359:C379)</f>
        <v>5.3267440110603276E-3</v>
      </c>
      <c r="J379">
        <f>_xlfn.NORM.S.INV(0.99)*I379*SQRT(10)</f>
        <v>3.9186500799016345E-2</v>
      </c>
      <c r="K379">
        <f>LN(B388)-LN(B379)</f>
        <v>-2.2710886465382885E-2</v>
      </c>
      <c r="L379">
        <f>IF(K379&lt;-(J379),1,0)</f>
        <v>0</v>
      </c>
      <c r="M379" s="72">
        <f t="shared" si="5"/>
        <v>5.1416523439472082E-2</v>
      </c>
      <c r="N379">
        <f>SQRT((N378^2)*0.72+(1-0.72)*(C378^2))</f>
        <v>6.9905989731496301E-3</v>
      </c>
      <c r="O379">
        <f>_xlfn.NORM.S.INV(0.99)*N379*SQRT(10)</f>
        <v>5.1426746184561181E-2</v>
      </c>
      <c r="P379">
        <f>LN(B388)-LN(B379)</f>
        <v>-2.2710886465382885E-2</v>
      </c>
      <c r="Q379">
        <f>IF(P379&lt;-(O379),1,0)</f>
        <v>0</v>
      </c>
    </row>
    <row r="380" spans="1:17">
      <c r="A380" s="64">
        <v>41843</v>
      </c>
      <c r="B380">
        <v>1987.01001</v>
      </c>
      <c r="C380" s="68">
        <f>LN(B380)-LN(B379)</f>
        <v>1.7529010446368787E-3</v>
      </c>
      <c r="D380" s="68"/>
      <c r="E380" s="68"/>
      <c r="F380" s="68"/>
      <c r="G380" s="68"/>
      <c r="H380" s="68"/>
      <c r="I380">
        <f>_xlfn.STDEV.S(C360:C380)</f>
        <v>5.331462360841574E-3</v>
      </c>
      <c r="J380">
        <f>_xlfn.NORM.S.INV(0.99)*I380*SQRT(10)</f>
        <v>3.9221211612430494E-2</v>
      </c>
      <c r="K380">
        <f>LN(B389)-LN(B380)</f>
        <v>-3.4196466553932936E-2</v>
      </c>
      <c r="L380">
        <f>IF(K380&lt;-(J380),1,0)</f>
        <v>0</v>
      </c>
      <c r="M380" s="72">
        <f t="shared" si="5"/>
        <v>4.7778802935846604E-2</v>
      </c>
      <c r="N380">
        <f>SQRT((N379^2)*0.72+(1-0.72)*(C379^2))</f>
        <v>6.4957998442441919E-3</v>
      </c>
      <c r="O380">
        <f>_xlfn.NORM.S.INV(0.99)*N380*SQRT(10)</f>
        <v>4.7786727738030672E-2</v>
      </c>
      <c r="P380">
        <f>LN(B389)-LN(B380)</f>
        <v>-3.4196466553932936E-2</v>
      </c>
      <c r="Q380">
        <f>IF(P380&lt;-(O380),1,0)</f>
        <v>0</v>
      </c>
    </row>
    <row r="381" spans="1:17">
      <c r="A381" s="64">
        <v>41844</v>
      </c>
      <c r="B381">
        <v>1987.9799800000001</v>
      </c>
      <c r="C381" s="68">
        <f>LN(B381)-LN(B380)</f>
        <v>4.8803645880468594E-4</v>
      </c>
      <c r="D381" s="68"/>
      <c r="E381" s="68"/>
      <c r="F381" s="68"/>
      <c r="G381" s="68"/>
      <c r="H381" s="68"/>
      <c r="I381">
        <f>_xlfn.STDEV.S(C361:C381)</f>
        <v>5.0822188978370039E-3</v>
      </c>
      <c r="J381">
        <f>_xlfn.NORM.S.INV(0.99)*I381*SQRT(10)</f>
        <v>3.7387637642684955E-2</v>
      </c>
      <c r="K381">
        <f>LN(B390)-LN(B381)</f>
        <v>-3.4668864740980965E-2</v>
      </c>
      <c r="L381">
        <f>IF(K381&lt;-(J381),1,0)</f>
        <v>0</v>
      </c>
      <c r="M381" s="72">
        <f t="shared" si="5"/>
        <v>4.1101116216099007E-2</v>
      </c>
      <c r="N381">
        <f>SQRT((N380^2)*0.72+(1-0.72)*(C380^2))</f>
        <v>5.5893688931854014E-3</v>
      </c>
      <c r="O381">
        <f>_xlfn.NORM.S.INV(0.99)*N381*SQRT(10)</f>
        <v>4.1118515953464739E-2</v>
      </c>
      <c r="P381">
        <f>LN(B390)-LN(B381)</f>
        <v>-3.4668864740980965E-2</v>
      </c>
      <c r="Q381">
        <f>IF(P381&lt;-(O381),1,0)</f>
        <v>0</v>
      </c>
    </row>
    <row r="382" spans="1:17">
      <c r="A382" s="64">
        <v>41845</v>
      </c>
      <c r="B382">
        <v>1978.339966</v>
      </c>
      <c r="C382" s="68">
        <f>LN(B382)-LN(B381)</f>
        <v>-4.8609457194892514E-3</v>
      </c>
      <c r="D382" s="68"/>
      <c r="E382" s="68"/>
      <c r="F382" s="68"/>
      <c r="G382" s="68"/>
      <c r="H382" s="68"/>
      <c r="I382">
        <f>_xlfn.STDEV.S(C362:C382)</f>
        <v>5.1465060879739895E-3</v>
      </c>
      <c r="J382">
        <f>_xlfn.NORM.S.INV(0.99)*I382*SQRT(10)</f>
        <v>3.7860570079918415E-2</v>
      </c>
      <c r="K382">
        <f>LN(B391)-LN(B382)</f>
        <v>-3.5380034497545232E-2</v>
      </c>
      <c r="L382">
        <f>IF(K382&lt;-(J382),1,0)</f>
        <v>0</v>
      </c>
      <c r="M382" s="72">
        <f t="shared" si="5"/>
        <v>3.4919901159133897E-2</v>
      </c>
      <c r="N382">
        <f>SQRT((N381^2)*0.72+(1-0.72)*(C381^2))</f>
        <v>4.7497623533385887E-3</v>
      </c>
      <c r="O382">
        <f>_xlfn.NORM.S.INV(0.99)*N382*SQRT(10)</f>
        <v>3.4941901819905648E-2</v>
      </c>
      <c r="P382">
        <f>LN(B391)-LN(B382)</f>
        <v>-3.5380034497545232E-2</v>
      </c>
      <c r="Q382">
        <f>IF(P382&lt;-(O382),1,0)</f>
        <v>1</v>
      </c>
    </row>
    <row r="383" spans="1:17">
      <c r="A383" s="64">
        <v>41848</v>
      </c>
      <c r="B383">
        <v>1978.910034</v>
      </c>
      <c r="C383" s="68">
        <f>LN(B383)-LN(B382)</f>
        <v>2.8811321192367956E-4</v>
      </c>
      <c r="D383" s="68"/>
      <c r="E383" s="68"/>
      <c r="F383" s="68"/>
      <c r="G383" s="68"/>
      <c r="H383" s="68"/>
      <c r="I383">
        <f>_xlfn.STDEV.S(C363:C383)</f>
        <v>5.1331478793068732E-3</v>
      </c>
      <c r="J383">
        <f>_xlfn.NORM.S.INV(0.99)*I383*SQRT(10)</f>
        <v>3.7762299644260068E-2</v>
      </c>
      <c r="K383">
        <f>LN(B392)-LN(B383)</f>
        <v>-2.4202724907095963E-2</v>
      </c>
      <c r="L383">
        <f>IF(K383&lt;-(J383),1,0)</f>
        <v>0</v>
      </c>
      <c r="M383" s="72">
        <f t="shared" si="5"/>
        <v>3.5156683313451696E-2</v>
      </c>
      <c r="N383">
        <f>SQRT((N382^2)*0.72+(1-0.72)*(C382^2))</f>
        <v>4.7811543227643744E-3</v>
      </c>
      <c r="O383">
        <f>_xlfn.NORM.S.INV(0.99)*N383*SQRT(10)</f>
        <v>3.5172838660953769E-2</v>
      </c>
      <c r="P383">
        <f>LN(B392)-LN(B383)</f>
        <v>-2.4202724907095963E-2</v>
      </c>
      <c r="Q383">
        <f>IF(P383&lt;-(O383),1,0)</f>
        <v>0</v>
      </c>
    </row>
    <row r="384" spans="1:17">
      <c r="A384" s="64">
        <v>41849</v>
      </c>
      <c r="B384">
        <v>1969.9499510000001</v>
      </c>
      <c r="C384" s="68">
        <f>LN(B384)-LN(B383)</f>
        <v>-4.5380684101603563E-3</v>
      </c>
      <c r="D384" s="68"/>
      <c r="E384" s="68"/>
      <c r="F384" s="68"/>
      <c r="G384" s="68"/>
      <c r="H384" s="68"/>
      <c r="I384">
        <f>_xlfn.STDEV.S(C364:C384)</f>
        <v>5.2379458922578248E-3</v>
      </c>
      <c r="J384">
        <f>_xlfn.NORM.S.INV(0.99)*I384*SQRT(10)</f>
        <v>3.8533252295581549E-2</v>
      </c>
      <c r="K384">
        <f>LN(B393)-LN(B384)</f>
        <v>-1.6909031535885077E-2</v>
      </c>
      <c r="L384">
        <f>IF(K384&lt;-(J384),1,0)</f>
        <v>0</v>
      </c>
      <c r="M384" s="72">
        <f t="shared" si="5"/>
        <v>2.9851213879785465E-2</v>
      </c>
      <c r="N384">
        <f>SQRT((N383^2)*0.72+(1-0.72)*(C383^2))</f>
        <v>4.0598075048247657E-3</v>
      </c>
      <c r="O384">
        <f>_xlfn.NORM.S.INV(0.99)*N384*SQRT(10)</f>
        <v>2.9866209020245428E-2</v>
      </c>
      <c r="P384">
        <f>LN(B393)-LN(B384)</f>
        <v>-1.6909031535885077E-2</v>
      </c>
      <c r="Q384">
        <f>IF(P384&lt;-(O384),1,0)</f>
        <v>0</v>
      </c>
    </row>
    <row r="385" spans="1:17">
      <c r="A385" s="64">
        <v>41850</v>
      </c>
      <c r="B385">
        <v>1970.0699460000001</v>
      </c>
      <c r="C385" s="68">
        <f>LN(B385)-LN(B384)</f>
        <v>6.0910859930984884E-5</v>
      </c>
      <c r="D385" s="68"/>
      <c r="E385" s="68"/>
      <c r="F385" s="68"/>
      <c r="G385" s="68"/>
      <c r="H385" s="68"/>
      <c r="I385">
        <f>_xlfn.STDEV.S(C365:C385)</f>
        <v>5.2363582870381372E-3</v>
      </c>
      <c r="J385">
        <f>_xlfn.NORM.S.INV(0.99)*I385*SQRT(10)</f>
        <v>3.8521572985841745E-2</v>
      </c>
      <c r="K385">
        <f>LN(B394)-LN(B385)</f>
        <v>-1.8607924798206277E-2</v>
      </c>
      <c r="L385">
        <f>IF(K385&lt;-(J385),1,0)</f>
        <v>0</v>
      </c>
      <c r="M385" s="72">
        <f t="shared" si="5"/>
        <v>3.088128184437347E-2</v>
      </c>
      <c r="N385">
        <f>SQRT((N384^2)*0.72+(1-0.72)*(C384^2))</f>
        <v>4.1992147829766182E-3</v>
      </c>
      <c r="O385">
        <f>_xlfn.NORM.S.INV(0.99)*N385*SQRT(10)</f>
        <v>3.0891766735304239E-2</v>
      </c>
      <c r="P385">
        <f>LN(B394)-LN(B385)</f>
        <v>-1.8607924798206277E-2</v>
      </c>
      <c r="Q385">
        <f>IF(P385&lt;-(O385),1,0)</f>
        <v>0</v>
      </c>
    </row>
    <row r="386" spans="1:17">
      <c r="A386" s="64">
        <v>41851</v>
      </c>
      <c r="B386">
        <v>1930.670044</v>
      </c>
      <c r="C386" s="68">
        <f>LN(B386)-LN(B385)</f>
        <v>-2.0201931980176724E-2</v>
      </c>
      <c r="D386" s="68"/>
      <c r="E386" s="68"/>
      <c r="F386" s="68"/>
      <c r="G386" s="68"/>
      <c r="H386" s="68"/>
      <c r="I386">
        <f>_xlfn.STDEV.S(C366:C386)</f>
        <v>6.6733400485070905E-3</v>
      </c>
      <c r="J386">
        <f>_xlfn.NORM.S.INV(0.99)*I386*SQRT(10)</f>
        <v>4.9092812532374054E-2</v>
      </c>
      <c r="K386">
        <f>LN(B395)-LN(B386)</f>
        <v>8.2787744369818839E-3</v>
      </c>
      <c r="L386">
        <f>IF(K386&lt;-(J386),1,0)</f>
        <v>0</v>
      </c>
      <c r="M386" s="72">
        <f t="shared" si="5"/>
        <v>2.6186750907920425E-2</v>
      </c>
      <c r="N386">
        <f>SQRT((N385^2)*0.72+(1-0.72)*(C385^2))</f>
        <v>3.5632976704970992E-3</v>
      </c>
      <c r="O386">
        <f>_xlfn.NORM.S.INV(0.99)*N386*SQRT(10)</f>
        <v>2.6213605670206152E-2</v>
      </c>
      <c r="P386">
        <f>LN(B395)-LN(B386)</f>
        <v>8.2787744369818839E-3</v>
      </c>
      <c r="Q386">
        <f>IF(P386&lt;-(O386),1,0)</f>
        <v>0</v>
      </c>
    </row>
    <row r="387" spans="1:17">
      <c r="A387" s="64">
        <v>41852</v>
      </c>
      <c r="B387">
        <v>1925.150024</v>
      </c>
      <c r="C387" s="68">
        <f>LN(B387)-LN(B386)</f>
        <v>-2.8632164747053324E-3</v>
      </c>
      <c r="D387" s="68"/>
      <c r="E387" s="68"/>
      <c r="F387" s="68"/>
      <c r="G387" s="68"/>
      <c r="H387" s="68"/>
      <c r="I387">
        <f>_xlfn.STDEV.S(C367:C387)</f>
        <v>6.6727586841856734E-3</v>
      </c>
      <c r="J387">
        <f>_xlfn.NORM.S.INV(0.99)*I387*SQRT(10)</f>
        <v>4.9088535692075663E-2</v>
      </c>
      <c r="K387">
        <f>LN(B396)-LN(B387)</f>
        <v>1.5478389180729302E-2</v>
      </c>
      <c r="L387">
        <f>IF(K387&lt;-(J387),1,0)</f>
        <v>0</v>
      </c>
      <c r="M387" s="72">
        <f t="shared" si="5"/>
        <v>8.1719428437994318E-2</v>
      </c>
      <c r="N387">
        <f>SQRT((N386^2)*0.72+(1-0.72)*(C386^2))</f>
        <v>1.1109228623655328E-2</v>
      </c>
      <c r="O387">
        <f>_xlfn.NORM.S.INV(0.99)*N387*SQRT(10)</f>
        <v>8.1725683726008219E-2</v>
      </c>
      <c r="P387">
        <f>LN(B396)-LN(B387)</f>
        <v>1.5478389180729302E-2</v>
      </c>
      <c r="Q387">
        <f>IF(P387&lt;-(O387),1,0)</f>
        <v>0</v>
      </c>
    </row>
    <row r="388" spans="1:17">
      <c r="A388" s="64">
        <v>41855</v>
      </c>
      <c r="B388">
        <v>1938.98999</v>
      </c>
      <c r="C388" s="68">
        <f>LN(B388)-LN(B387)</f>
        <v>7.1633145438525503E-3</v>
      </c>
      <c r="D388" s="68"/>
      <c r="E388" s="68"/>
      <c r="F388" s="68"/>
      <c r="G388" s="68"/>
      <c r="H388" s="68"/>
      <c r="I388">
        <f>_xlfn.STDEV.S(C368:C388)</f>
        <v>6.7673236645479466E-3</v>
      </c>
      <c r="J388">
        <f>_xlfn.NORM.S.INV(0.99)*I388*SQRT(10)</f>
        <v>4.9784208446544582E-2</v>
      </c>
      <c r="K388">
        <f>LN(B397)-LN(B388)</f>
        <v>8.2536998892548397E-3</v>
      </c>
      <c r="L388">
        <f>IF(K388&lt;-(J388),1,0)</f>
        <v>0</v>
      </c>
      <c r="M388" s="72">
        <f t="shared" si="5"/>
        <v>7.0226771604541771E-2</v>
      </c>
      <c r="N388">
        <f>SQRT((N387^2)*0.72+(1-0.72)*(C387^2))</f>
        <v>9.5474716047647696E-3</v>
      </c>
      <c r="O388">
        <f>_xlfn.NORM.S.INV(0.99)*N388*SQRT(10)</f>
        <v>7.02365277722867E-2</v>
      </c>
      <c r="P388">
        <f>LN(B397)-LN(B388)</f>
        <v>8.2536998892548397E-3</v>
      </c>
      <c r="Q388">
        <f>IF(P388&lt;-(O388),1,0)</f>
        <v>0</v>
      </c>
    </row>
    <row r="389" spans="1:17">
      <c r="A389" s="64">
        <v>41856</v>
      </c>
      <c r="B389">
        <v>1920.209961</v>
      </c>
      <c r="C389" s="68">
        <f>LN(B389)-LN(B388)</f>
        <v>-9.7326790439131727E-3</v>
      </c>
      <c r="D389" s="68"/>
      <c r="E389" s="68"/>
      <c r="F389" s="68"/>
      <c r="G389" s="68"/>
      <c r="H389" s="68"/>
      <c r="I389">
        <f>_xlfn.STDEV.S(C369:C389)</f>
        <v>7.0018610413965145E-3</v>
      </c>
      <c r="J389">
        <f>_xlfn.NORM.S.INV(0.99)*I389*SQRT(10)</f>
        <v>5.1509596241826702E-2</v>
      </c>
      <c r="K389">
        <f>LN(B398)-LN(B389)</f>
        <v>2.6481861826167297E-2</v>
      </c>
      <c r="L389">
        <f>IF(K389&lt;-(J389),1,0)</f>
        <v>0</v>
      </c>
      <c r="M389" s="72">
        <f t="shared" si="5"/>
        <v>6.5788524795184433E-2</v>
      </c>
      <c r="N389">
        <f>SQRT((N388^2)*0.72+(1-0.72)*(C388^2))</f>
        <v>8.9441989681969796E-3</v>
      </c>
      <c r="O389">
        <f>_xlfn.NORM.S.INV(0.99)*N389*SQRT(10)</f>
        <v>6.5798517684735547E-2</v>
      </c>
      <c r="P389">
        <f>LN(B398)-LN(B389)</f>
        <v>2.6481861826167297E-2</v>
      </c>
      <c r="Q389">
        <f>IF(P389&lt;-(O389),1,0)</f>
        <v>0</v>
      </c>
    </row>
    <row r="390" spans="1:17">
      <c r="A390" s="64">
        <v>41857</v>
      </c>
      <c r="B390">
        <v>1920.23999</v>
      </c>
      <c r="C390" s="68">
        <f>LN(B390)-LN(B389)</f>
        <v>1.5638271756657218E-5</v>
      </c>
      <c r="D390" s="68"/>
      <c r="E390" s="68"/>
      <c r="F390" s="68"/>
      <c r="G390" s="68"/>
      <c r="H390" s="68"/>
      <c r="I390">
        <f>_xlfn.STDEV.S(C370:C390)</f>
        <v>6.8847322850390854E-3</v>
      </c>
      <c r="J390">
        <f>_xlfn.NORM.S.INV(0.99)*I390*SQRT(10)</f>
        <v>5.0647931762539185E-2</v>
      </c>
      <c r="K390">
        <f>LN(B399)-LN(B390)</f>
        <v>3.1454414061428793E-2</v>
      </c>
      <c r="L390">
        <f>IF(K390&lt;-(J390),1,0)</f>
        <v>0</v>
      </c>
      <c r="M390" s="72">
        <f t="shared" si="5"/>
        <v>6.7458047458358733E-2</v>
      </c>
      <c r="N390">
        <f>SQRT((N389^2)*0.72+(1-0.72)*(C389^2))</f>
        <v>9.1718085520606299E-3</v>
      </c>
      <c r="O390">
        <f>_xlfn.NORM.S.INV(0.99)*N390*SQRT(10)</f>
        <v>6.7472940769722753E-2</v>
      </c>
      <c r="P390">
        <f>LN(B399)-LN(B390)</f>
        <v>3.1454414061428793E-2</v>
      </c>
      <c r="Q390">
        <f>IF(P390&lt;-(O390),1,0)</f>
        <v>0</v>
      </c>
    </row>
    <row r="391" spans="1:17">
      <c r="A391" s="64">
        <v>41858</v>
      </c>
      <c r="B391">
        <v>1909.5699460000001</v>
      </c>
      <c r="C391" s="68">
        <f>LN(B391)-LN(B390)</f>
        <v>-5.5721154760535185E-3</v>
      </c>
      <c r="D391" s="68"/>
      <c r="E391" s="68"/>
      <c r="F391" s="68"/>
      <c r="G391" s="68"/>
      <c r="H391" s="68"/>
      <c r="I391">
        <f>_xlfn.STDEV.S(C371:C391)</f>
        <v>6.8222145828727527E-3</v>
      </c>
      <c r="J391">
        <f>_xlfn.NORM.S.INV(0.99)*I391*SQRT(10)</f>
        <v>5.018801666603618E-2</v>
      </c>
      <c r="K391">
        <f>LN(B400)-LN(B391)</f>
        <v>3.9501277729055317E-2</v>
      </c>
      <c r="L391">
        <f>IF(K391&lt;-(J391),1,0)</f>
        <v>0</v>
      </c>
      <c r="M391" s="72">
        <f t="shared" si="5"/>
        <v>5.7236100246568715E-2</v>
      </c>
      <c r="N391">
        <f>SQRT((N390^2)*0.72+(1-0.72)*(C390^2))</f>
        <v>7.7825420267944581E-3</v>
      </c>
      <c r="O391">
        <f>_xlfn.NORM.S.INV(0.99)*N391*SQRT(10)</f>
        <v>5.7252721121594262E-2</v>
      </c>
      <c r="P391">
        <f>LN(B400)-LN(B391)</f>
        <v>3.9501277729055317E-2</v>
      </c>
      <c r="Q391">
        <f>IF(P391&lt;-(O391),1,0)</f>
        <v>0</v>
      </c>
    </row>
    <row r="392" spans="1:17">
      <c r="A392" s="64">
        <v>41859</v>
      </c>
      <c r="B392">
        <v>1931.589966</v>
      </c>
      <c r="C392" s="68">
        <f>LN(B392)-LN(B391)</f>
        <v>1.1465422802372949E-2</v>
      </c>
      <c r="D392" s="68"/>
      <c r="E392" s="68"/>
      <c r="F392" s="68"/>
      <c r="G392" s="68"/>
      <c r="H392" s="68"/>
      <c r="I392">
        <f>_xlfn.STDEV.S(C372:C392)</f>
        <v>7.3553114170952054E-3</v>
      </c>
      <c r="J392">
        <f>_xlfn.NORM.S.INV(0.99)*I392*SQRT(10)</f>
        <v>5.410977439962264E-2</v>
      </c>
      <c r="K392">
        <f>LN(B401)-LN(B392)</f>
        <v>3.0981402030151983E-2</v>
      </c>
      <c r="L392">
        <f>IF(K392&lt;-(J392),1,0)</f>
        <v>0</v>
      </c>
      <c r="M392" s="72">
        <f t="shared" si="5"/>
        <v>5.3186673067586197E-2</v>
      </c>
      <c r="N392">
        <f>SQRT((N391^2)*0.72+(1-0.72)*(C391^2))</f>
        <v>7.2320469670159688E-3</v>
      </c>
      <c r="O392">
        <f>_xlfn.NORM.S.INV(0.99)*N392*SQRT(10)</f>
        <v>5.3202972334141216E-2</v>
      </c>
      <c r="P392">
        <f>LN(B401)-LN(B392)</f>
        <v>3.0981402030151983E-2</v>
      </c>
      <c r="Q392">
        <f>IF(P392&lt;-(O392),1,0)</f>
        <v>0</v>
      </c>
    </row>
    <row r="393" spans="1:17">
      <c r="A393" s="64">
        <v>41862</v>
      </c>
      <c r="B393">
        <v>1936.920044</v>
      </c>
      <c r="C393" s="68">
        <f>LN(B393)-LN(B392)</f>
        <v>2.755624961050529E-3</v>
      </c>
      <c r="D393" s="68"/>
      <c r="E393" s="68"/>
      <c r="F393" s="68"/>
      <c r="G393" s="68"/>
      <c r="H393" s="68"/>
      <c r="I393">
        <f>_xlfn.STDEV.S(C373:C393)</f>
        <v>7.3805367378738515E-3</v>
      </c>
      <c r="J393">
        <f>_xlfn.NORM.S.INV(0.99)*I393*SQRT(10)</f>
        <v>5.4295345932775983E-2</v>
      </c>
      <c r="K393">
        <f>LN(B402)-LN(B393)</f>
        <v>2.6231202000857934E-2</v>
      </c>
      <c r="L393">
        <f>IF(K393&lt;-(J393),1,0)</f>
        <v>0</v>
      </c>
      <c r="M393" s="72">
        <f t="shared" si="5"/>
        <v>6.3472022677196607E-2</v>
      </c>
      <c r="N393">
        <f>SQRT((N392^2)*0.72+(1-0.72)*(C392^2))</f>
        <v>8.6293371709684919E-3</v>
      </c>
      <c r="O393">
        <f>_xlfn.NORM.S.INV(0.99)*N393*SQRT(10)</f>
        <v>6.3482218639191998E-2</v>
      </c>
      <c r="P393">
        <f>LN(B402)-LN(B393)</f>
        <v>2.6231202000857934E-2</v>
      </c>
      <c r="Q393">
        <f>IF(P393&lt;-(O393),1,0)</f>
        <v>0</v>
      </c>
    </row>
    <row r="394" spans="1:17">
      <c r="A394" s="64">
        <v>41863</v>
      </c>
      <c r="B394">
        <v>1933.75</v>
      </c>
      <c r="C394" s="68">
        <f>LN(B394)-LN(B393)</f>
        <v>-1.6379824023902145E-3</v>
      </c>
      <c r="D394" s="68"/>
      <c r="E394" s="68"/>
      <c r="F394" s="68"/>
      <c r="G394" s="68"/>
      <c r="H394" s="68"/>
      <c r="I394">
        <f>_xlfn.STDEV.S(C374:C394)</f>
        <v>7.2701967972014867E-3</v>
      </c>
      <c r="J394">
        <f>_xlfn.NORM.S.INV(0.99)*I394*SQRT(10)</f>
        <v>5.3483623769228592E-2</v>
      </c>
      <c r="K394">
        <f>LN(B403)-LN(B394)</f>
        <v>3.2645538502462657E-2</v>
      </c>
      <c r="L394">
        <f>IF(K394&lt;-(J394),1,0)</f>
        <v>0</v>
      </c>
      <c r="M394" s="72">
        <f t="shared" si="5"/>
        <v>5.4911133410167658E-2</v>
      </c>
      <c r="N394">
        <f>SQRT((N393^2)*0.72+(1-0.72)*(C393^2))</f>
        <v>7.4660098115831757E-3</v>
      </c>
      <c r="O394">
        <f>_xlfn.NORM.S.INV(0.99)*N394*SQRT(10)</f>
        <v>5.4924133549423271E-2</v>
      </c>
      <c r="P394">
        <f>LN(B403)-LN(B394)</f>
        <v>3.2645538502462657E-2</v>
      </c>
      <c r="Q394">
        <f>IF(P394&lt;-(O394),1,0)</f>
        <v>0</v>
      </c>
    </row>
    <row r="395" spans="1:17">
      <c r="A395" s="64">
        <v>41864</v>
      </c>
      <c r="B395">
        <v>1946.719971</v>
      </c>
      <c r="C395" s="68">
        <f>LN(B395)-LN(B394)</f>
        <v>6.6847672550114368E-3</v>
      </c>
      <c r="D395" s="68"/>
      <c r="E395" s="68"/>
      <c r="F395" s="68"/>
      <c r="G395" s="68"/>
      <c r="H395" s="68"/>
      <c r="I395">
        <f>_xlfn.STDEV.S(C375:C395)</f>
        <v>7.4589600049130914E-3</v>
      </c>
      <c r="J395">
        <f>_xlfn.NORM.S.INV(0.99)*I395*SQRT(10)</f>
        <v>5.4872271238387373E-2</v>
      </c>
      <c r="K395">
        <f>LN(B404)-LN(B395)</f>
        <v>2.7011300349695233E-2</v>
      </c>
      <c r="L395">
        <f>IF(K395&lt;-(J395),1,0)</f>
        <v>0</v>
      </c>
      <c r="M395" s="72">
        <f t="shared" si="5"/>
        <v>4.7027057299219105E-2</v>
      </c>
      <c r="N395">
        <f>SQRT((N394^2)*0.72+(1-0.72)*(C394^2))</f>
        <v>6.3941359058862449E-3</v>
      </c>
      <c r="O395">
        <f>_xlfn.NORM.S.INV(0.99)*N395*SQRT(10)</f>
        <v>4.7038831087952711E-2</v>
      </c>
      <c r="P395">
        <f>LN(B404)-LN(B395)</f>
        <v>2.7011300349695233E-2</v>
      </c>
      <c r="Q395">
        <f>IF(P395&lt;-(O395),1,0)</f>
        <v>0</v>
      </c>
    </row>
    <row r="396" spans="1:17">
      <c r="A396" s="64">
        <v>41865</v>
      </c>
      <c r="B396">
        <v>1955.1800539999999</v>
      </c>
      <c r="C396" s="68">
        <f>LN(B396)-LN(B395)</f>
        <v>4.3363982690420855E-3</v>
      </c>
      <c r="D396" s="68"/>
      <c r="E396" s="68"/>
      <c r="F396" s="68"/>
      <c r="G396" s="68"/>
      <c r="H396" s="68"/>
      <c r="I396">
        <f>_xlfn.STDEV.S(C376:C396)</f>
        <v>7.4636980994889409E-3</v>
      </c>
      <c r="J396">
        <f>_xlfn.NORM.S.INV(0.99)*I396*SQRT(10)</f>
        <v>5.4907127305526479E-2</v>
      </c>
      <c r="K396">
        <f>LN(B405)-LN(B396)</f>
        <v>2.2724887830975149E-2</v>
      </c>
      <c r="L396">
        <f>IF(K396&lt;-(J396),1,0)</f>
        <v>0</v>
      </c>
      <c r="M396" s="72">
        <f t="shared" si="5"/>
        <v>4.7634868964390335E-2</v>
      </c>
      <c r="N396">
        <f>SQRT((N395^2)*0.72+(1-0.72)*(C395^2))</f>
        <v>6.4768273852827017E-3</v>
      </c>
      <c r="O396">
        <f>_xlfn.NORM.S.INV(0.99)*N396*SQRT(10)</f>
        <v>4.7647155744950084E-2</v>
      </c>
      <c r="P396">
        <f>LN(B405)-LN(B396)</f>
        <v>2.2724887830975149E-2</v>
      </c>
      <c r="Q396">
        <f>IF(P396&lt;-(O396),1,0)</f>
        <v>0</v>
      </c>
    </row>
    <row r="397" spans="1:17">
      <c r="A397" s="64">
        <v>41866</v>
      </c>
      <c r="B397">
        <v>1955.0600589999999</v>
      </c>
      <c r="C397" s="68">
        <f>LN(B397)-LN(B396)</f>
        <v>-6.1374747621911752E-5</v>
      </c>
      <c r="D397" s="68"/>
      <c r="E397" s="68"/>
      <c r="F397" s="68"/>
      <c r="G397" s="68"/>
      <c r="H397" s="68"/>
      <c r="I397">
        <f>_xlfn.STDEV.S(C377:C397)</f>
        <v>7.0030816113102693E-3</v>
      </c>
      <c r="J397">
        <f>_xlfn.NORM.S.INV(0.99)*I397*SQRT(10)</f>
        <v>5.151857543508271E-2</v>
      </c>
      <c r="K397">
        <f>LN(B406)-LN(B397)</f>
        <v>2.1094931974862341E-2</v>
      </c>
      <c r="L397">
        <f>IF(K397&lt;-(J397),1,0)</f>
        <v>0</v>
      </c>
      <c r="M397" s="72">
        <f t="shared" si="5"/>
        <v>4.3768436439073771E-2</v>
      </c>
      <c r="N397">
        <f>SQRT((N396^2)*0.72+(1-0.72)*(C396^2))</f>
        <v>5.9555611767547869E-3</v>
      </c>
      <c r="O397">
        <f>_xlfn.NORM.S.INV(0.99)*N397*SQRT(10)</f>
        <v>4.3812430694419022E-2</v>
      </c>
      <c r="P397">
        <f>LN(B406)-LN(B397)</f>
        <v>2.1094931974862341E-2</v>
      </c>
      <c r="Q397">
        <f>IF(P397&lt;-(O397),1,0)</f>
        <v>0</v>
      </c>
    </row>
    <row r="398" spans="1:17">
      <c r="A398" s="64">
        <v>41869</v>
      </c>
      <c r="B398">
        <v>1971.73999</v>
      </c>
      <c r="C398" s="68">
        <f>LN(B398)-LN(B397)</f>
        <v>8.4954828929992843E-3</v>
      </c>
      <c r="D398" s="68"/>
      <c r="E398" s="68"/>
      <c r="F398" s="68"/>
      <c r="G398" s="68"/>
      <c r="H398" s="68"/>
      <c r="I398">
        <f>_xlfn.STDEV.S(C378:C398)</f>
        <v>6.8860101808241548E-3</v>
      </c>
      <c r="J398">
        <f>_xlfn.NORM.S.INV(0.99)*I398*SQRT(10)</f>
        <v>5.0657332676887372E-2</v>
      </c>
      <c r="K398">
        <f>LN(B407)-LN(B398)</f>
        <v>1.5914363469766712E-2</v>
      </c>
      <c r="L398">
        <f>IF(K398&lt;-(J398),1,0)</f>
        <v>0</v>
      </c>
      <c r="M398" s="72">
        <f t="shared" si="5"/>
        <v>3.7109682432087544E-2</v>
      </c>
      <c r="N398">
        <f>SQRT((N397^2)*0.72+(1-0.72)*(C397^2))</f>
        <v>5.0535655878152369E-3</v>
      </c>
      <c r="O398">
        <f>_xlfn.NORM.S.INV(0.99)*N398*SQRT(10)</f>
        <v>3.7176847908143358E-2</v>
      </c>
      <c r="P398">
        <f>LN(B407)-LN(B398)</f>
        <v>1.5914363469766712E-2</v>
      </c>
      <c r="Q398">
        <f>IF(P398&lt;-(O398),1,0)</f>
        <v>0</v>
      </c>
    </row>
    <row r="399" spans="1:17">
      <c r="A399" s="64">
        <v>41870</v>
      </c>
      <c r="B399">
        <v>1981.599976</v>
      </c>
      <c r="C399" s="68">
        <f>LN(B399)-LN(B398)</f>
        <v>4.9881905070181531E-3</v>
      </c>
      <c r="D399" s="68"/>
      <c r="E399" s="68"/>
      <c r="F399" s="68"/>
      <c r="G399" s="68"/>
      <c r="H399" s="68"/>
      <c r="I399">
        <f>_xlfn.STDEV.S(C379:C399)</f>
        <v>6.9554579430983424E-3</v>
      </c>
      <c r="J399">
        <f>_xlfn.NORM.S.INV(0.99)*I399*SQRT(10)</f>
        <v>5.1168229161906484E-2</v>
      </c>
      <c r="K399">
        <f>LN(B408)-LN(B399)</f>
        <v>1.038195865527225E-2</v>
      </c>
      <c r="L399">
        <f>IF(K399&lt;-(J399),1,0)</f>
        <v>0</v>
      </c>
      <c r="M399" s="72">
        <f t="shared" si="5"/>
        <v>4.5662685490562543E-2</v>
      </c>
      <c r="N399">
        <f>SQRT((N398^2)*0.72+(1-0.72)*(C398^2))</f>
        <v>6.2125874152498201E-3</v>
      </c>
      <c r="O399">
        <f>_xlfn.NORM.S.INV(0.99)*N399*SQRT(10)</f>
        <v>4.5703259102775159E-2</v>
      </c>
      <c r="P399">
        <f>LN(B408)-LN(B399)</f>
        <v>1.038195865527225E-2</v>
      </c>
      <c r="Q399">
        <f>IF(P399&lt;-(O399),1,0)</f>
        <v>0</v>
      </c>
    </row>
    <row r="400" spans="1:17">
      <c r="A400" s="64">
        <v>41871</v>
      </c>
      <c r="B400">
        <v>1986.51001</v>
      </c>
      <c r="C400" s="68">
        <f>LN(B400)-LN(B399)</f>
        <v>2.4747481915730063E-3</v>
      </c>
      <c r="D400" s="68"/>
      <c r="E400" s="68"/>
      <c r="F400" s="68"/>
      <c r="G400" s="68"/>
      <c r="H400" s="68"/>
      <c r="I400">
        <f>_xlfn.STDEV.S(C380:C400)</f>
        <v>6.8895654954228905E-3</v>
      </c>
      <c r="J400">
        <f>_xlfn.NORM.S.INV(0.99)*I400*SQRT(10)</f>
        <v>5.0683487554627857E-2</v>
      </c>
      <c r="K400">
        <f>LN(B409)-LN(B400)</f>
        <v>7.1277660075503846E-3</v>
      </c>
      <c r="L400">
        <f>IF(K400&lt;-(J400),1,0)</f>
        <v>0</v>
      </c>
      <c r="M400" s="72">
        <f t="shared" si="5"/>
        <v>4.3333262440511992E-2</v>
      </c>
      <c r="N400">
        <f>SQRT((N399^2)*0.72+(1-0.72)*(C399^2))</f>
        <v>5.8954445966298763E-3</v>
      </c>
      <c r="O400">
        <f>_xlfn.NORM.S.INV(0.99)*N400*SQRT(10)</f>
        <v>4.3370179591267169E-2</v>
      </c>
      <c r="P400">
        <f>LN(B409)-LN(B400)</f>
        <v>7.1277660075503846E-3</v>
      </c>
      <c r="Q400">
        <f>IF(P400&lt;-(O400),1,0)</f>
        <v>0</v>
      </c>
    </row>
    <row r="401" spans="1:17">
      <c r="A401" s="64">
        <v>41872</v>
      </c>
      <c r="B401">
        <v>1992.369995</v>
      </c>
      <c r="C401" s="68">
        <f>LN(B401)-LN(B400)</f>
        <v>2.9455471034696146E-3</v>
      </c>
      <c r="D401" s="68"/>
      <c r="E401" s="68"/>
      <c r="F401" s="68"/>
      <c r="G401" s="68"/>
      <c r="H401" s="68"/>
      <c r="I401">
        <f>_xlfn.STDEV.S(C381:C401)</f>
        <v>6.9090071216472045E-3</v>
      </c>
      <c r="J401">
        <f>_xlfn.NORM.S.INV(0.99)*I401*SQRT(10)</f>
        <v>5.0826511003847746E-2</v>
      </c>
      <c r="K401">
        <f>LN(B410)-LN(B401)</f>
        <v>2.6466193437100216E-3</v>
      </c>
      <c r="L401">
        <f>IF(K401&lt;-(J401),1,0)</f>
        <v>0</v>
      </c>
      <c r="M401" s="72">
        <f t="shared" si="5"/>
        <v>3.8009668321892273E-2</v>
      </c>
      <c r="N401">
        <f>SQRT((N400^2)*0.72+(1-0.72)*(C400^2))</f>
        <v>5.1710094029566037E-3</v>
      </c>
      <c r="O401">
        <f>_xlfn.NORM.S.INV(0.99)*N401*SQRT(10)</f>
        <v>3.8040830135620547E-2</v>
      </c>
      <c r="P401">
        <f>LN(B410)-LN(B401)</f>
        <v>2.6466193437100216E-3</v>
      </c>
      <c r="Q401">
        <f>IF(P401&lt;-(O401),1,0)</f>
        <v>0</v>
      </c>
    </row>
    <row r="402" spans="1:17">
      <c r="A402" s="64">
        <v>41873</v>
      </c>
      <c r="B402">
        <v>1988.400024</v>
      </c>
      <c r="C402" s="68">
        <f>LN(B402)-LN(B401)</f>
        <v>-1.9945750682435204E-3</v>
      </c>
      <c r="D402" s="68"/>
      <c r="E402" s="68"/>
      <c r="F402" s="68"/>
      <c r="G402" s="68"/>
      <c r="H402" s="68"/>
      <c r="I402">
        <f>_xlfn.STDEV.S(C382:C402)</f>
        <v>6.9237677026005792E-3</v>
      </c>
      <c r="J402">
        <f>_xlfn.NORM.S.INV(0.99)*I402*SQRT(10)</f>
        <v>5.0935098072443938E-2</v>
      </c>
      <c r="K402">
        <f>LN(B411)-LN(B402)</f>
        <v>9.6644423553167158E-3</v>
      </c>
      <c r="L402">
        <f>IF(K402&lt;-(J402),1,0)</f>
        <v>0</v>
      </c>
      <c r="M402" s="72">
        <f t="shared" si="5"/>
        <v>3.4229780630408581E-2</v>
      </c>
      <c r="N402">
        <f>SQRT((N401^2)*0.72+(1-0.72)*(C401^2))</f>
        <v>4.6563583306686723E-3</v>
      </c>
      <c r="O402">
        <f>_xlfn.NORM.S.INV(0.99)*N402*SQRT(10)</f>
        <v>3.4254769717933765E-2</v>
      </c>
      <c r="P402">
        <f>LN(B411)-LN(B402)</f>
        <v>9.6644423553167158E-3</v>
      </c>
      <c r="Q402">
        <f>IF(P402&lt;-(O402),1,0)</f>
        <v>0</v>
      </c>
    </row>
    <row r="403" spans="1:17">
      <c r="A403" s="64">
        <v>41876</v>
      </c>
      <c r="B403">
        <v>1997.920044</v>
      </c>
      <c r="C403" s="68">
        <f>LN(B403)-LN(B402)</f>
        <v>4.7763540992145082E-3</v>
      </c>
      <c r="D403" s="68"/>
      <c r="E403" s="68"/>
      <c r="F403" s="68"/>
      <c r="G403" s="68"/>
      <c r="H403" s="68"/>
      <c r="I403">
        <f>_xlfn.STDEV.S(C383:C403)</f>
        <v>6.9041266557703113E-3</v>
      </c>
      <c r="J403">
        <f>_xlfn.NORM.S.INV(0.99)*I403*SQRT(10)</f>
        <v>5.0790607573987533E-2</v>
      </c>
      <c r="K403">
        <f>LN(B412)-LN(B403)</f>
        <v>1.8102423394301681E-3</v>
      </c>
      <c r="L403">
        <f>IF(K403&lt;-(J403),1,0)</f>
        <v>0</v>
      </c>
      <c r="M403" s="72">
        <f t="shared" si="5"/>
        <v>3.0056464151651228E-2</v>
      </c>
      <c r="N403">
        <f>SQRT((N402^2)*0.72+(1-0.72)*(C402^2))</f>
        <v>4.0895888310909017E-3</v>
      </c>
      <c r="O403">
        <f>_xlfn.NORM.S.INV(0.99)*N403*SQRT(10)</f>
        <v>3.0085297071614236E-2</v>
      </c>
      <c r="P403">
        <f>LN(B412)-LN(B403)</f>
        <v>1.8102423394301681E-3</v>
      </c>
      <c r="Q403">
        <f>IF(P403&lt;-(O403),1,0)</f>
        <v>0</v>
      </c>
    </row>
    <row r="404" spans="1:17">
      <c r="A404" s="64">
        <v>41877</v>
      </c>
      <c r="B404">
        <v>2000.0200199999999</v>
      </c>
      <c r="C404" s="68">
        <f>LN(B404)-LN(B403)</f>
        <v>1.0505291022440133E-3</v>
      </c>
      <c r="D404" s="68"/>
      <c r="E404" s="68"/>
      <c r="F404" s="68"/>
      <c r="G404" s="68"/>
      <c r="H404" s="68"/>
      <c r="I404">
        <f>_xlfn.STDEV.S(C384:C404)</f>
        <v>6.9051325295374569E-3</v>
      </c>
      <c r="J404">
        <f>_xlfn.NORM.S.INV(0.99)*I404*SQRT(10)</f>
        <v>5.0798007342607553E-2</v>
      </c>
      <c r="K404">
        <f>LN(B413)-LN(B404)</f>
        <v>-5.8068084685789501E-3</v>
      </c>
      <c r="L404">
        <f>IF(K404&lt;-(J404),1,0)</f>
        <v>0</v>
      </c>
      <c r="M404" s="72">
        <f t="shared" si="5"/>
        <v>3.1561694821385385E-2</v>
      </c>
      <c r="N404">
        <f>SQRT((N403^2)*0.72+(1-0.72)*(C403^2))</f>
        <v>4.2929718000494005E-3</v>
      </c>
      <c r="O404">
        <f>_xlfn.NORM.S.INV(0.99)*N404*SQRT(10)</f>
        <v>3.1581495661043367E-2</v>
      </c>
      <c r="P404">
        <f>LN(B413)-LN(B404)</f>
        <v>-5.8068084685789501E-3</v>
      </c>
      <c r="Q404">
        <f>IF(P404&lt;-(O404),1,0)</f>
        <v>0</v>
      </c>
    </row>
    <row r="405" spans="1:17">
      <c r="A405" s="64">
        <v>41878</v>
      </c>
      <c r="B405">
        <v>2000.119995</v>
      </c>
      <c r="C405" s="68">
        <f>LN(B405)-LN(B404)</f>
        <v>4.9985750322001365E-5</v>
      </c>
      <c r="D405" s="68"/>
      <c r="E405" s="68"/>
      <c r="F405" s="68"/>
      <c r="G405" s="68"/>
      <c r="H405" s="68"/>
      <c r="I405">
        <f>_xlfn.STDEV.S(C385:C405)</f>
        <v>6.809502904973801E-3</v>
      </c>
      <c r="J405">
        <f>_xlfn.NORM.S.INV(0.99)*I405*SQRT(10)</f>
        <v>5.0094502471415635E-2</v>
      </c>
      <c r="K405">
        <f>LN(B414)-LN(B405)</f>
        <v>-2.2173506177907143E-3</v>
      </c>
      <c r="L405">
        <f>IF(K405&lt;-(J405),1,0)</f>
        <v>0</v>
      </c>
      <c r="M405" s="72">
        <f t="shared" si="5"/>
        <v>2.7083337244271106E-2</v>
      </c>
      <c r="N405">
        <f>SQRT((N404^2)*0.72+(1-0.72)*(C404^2))</f>
        <v>3.684878307521052E-3</v>
      </c>
      <c r="O405">
        <f>_xlfn.NORM.S.INV(0.99)*N405*SQRT(10)</f>
        <v>2.7108020667433636E-2</v>
      </c>
      <c r="P405">
        <f>LN(B414)-LN(B405)</f>
        <v>-2.2173506177907143E-3</v>
      </c>
      <c r="Q405">
        <f>IF(P405&lt;-(O405),1,0)</f>
        <v>0</v>
      </c>
    </row>
    <row r="406" spans="1:17">
      <c r="A406" s="64">
        <v>41879</v>
      </c>
      <c r="B406">
        <v>1996.73999</v>
      </c>
      <c r="C406" s="68">
        <f>LN(B406)-LN(B405)</f>
        <v>-1.6913306037347198E-3</v>
      </c>
      <c r="D406" s="68"/>
      <c r="E406" s="68"/>
      <c r="F406" s="68"/>
      <c r="G406" s="68"/>
      <c r="H406" s="68"/>
      <c r="I406">
        <f>_xlfn.STDEV.S(C386:C406)</f>
        <v>6.8287396201711795E-3</v>
      </c>
      <c r="J406">
        <f>_xlfn.NORM.S.INV(0.99)*I406*SQRT(10)</f>
        <v>5.0236018480799095E-2</v>
      </c>
      <c r="K406">
        <f>LN(B415)-LN(B406)</f>
        <v>3.5549686818292514E-4</v>
      </c>
      <c r="L406">
        <f>IF(K406&lt;-(J406),1,0)</f>
        <v>0</v>
      </c>
      <c r="M406" s="72">
        <f t="shared" si="5"/>
        <v>2.2981795739105852E-2</v>
      </c>
      <c r="N406">
        <f>SQRT((N405^2)*0.72+(1-0.72)*(C405^2))</f>
        <v>3.1268347994030804E-3</v>
      </c>
      <c r="O406">
        <f>_xlfn.NORM.S.INV(0.99)*N406*SQRT(10)</f>
        <v>2.3002741282626513E-2</v>
      </c>
      <c r="P406">
        <f>LN(B415)-LN(B406)</f>
        <v>3.5549686818292514E-4</v>
      </c>
      <c r="Q406">
        <f>IF(P406&lt;-(O406),1,0)</f>
        <v>0</v>
      </c>
    </row>
    <row r="407" spans="1:17">
      <c r="A407" s="64">
        <v>41880</v>
      </c>
      <c r="B407">
        <v>2003.369995</v>
      </c>
      <c r="C407" s="68">
        <f>LN(B407)-LN(B406)</f>
        <v>3.3149143879036558E-3</v>
      </c>
      <c r="D407" s="68"/>
      <c r="E407" s="68"/>
      <c r="F407" s="68"/>
      <c r="G407" s="68"/>
      <c r="H407" s="68"/>
      <c r="I407">
        <f>_xlfn.STDEV.S(C387:C407)</f>
        <v>4.8941402340295882E-3</v>
      </c>
      <c r="J407">
        <f>_xlfn.NORM.S.INV(0.99)*I407*SQRT(10)</f>
        <v>3.6004026060400533E-2</v>
      </c>
      <c r="K407">
        <f>LN(B416)-LN(B407)</f>
        <v>-8.9398229571573395E-3</v>
      </c>
      <c r="L407">
        <f>IF(K407&lt;-(J407),1,0)</f>
        <v>0</v>
      </c>
      <c r="M407" s="72">
        <f t="shared" si="5"/>
        <v>2.0370477693130416E-2</v>
      </c>
      <c r="N407">
        <f>SQRT((N406^2)*0.72+(1-0.72)*(C406^2))</f>
        <v>2.8000851416166146E-3</v>
      </c>
      <c r="O407">
        <f>_xlfn.NORM.S.INV(0.99)*N407*SQRT(10)</f>
        <v>2.0598988502440088E-2</v>
      </c>
      <c r="P407">
        <f>LN(B416)-LN(B407)</f>
        <v>-8.9398229571573395E-3</v>
      </c>
      <c r="Q407">
        <f>IF(P407&lt;-(O407),1,0)</f>
        <v>0</v>
      </c>
    </row>
    <row r="408" spans="1:17">
      <c r="A408" s="64">
        <v>41884</v>
      </c>
      <c r="B408">
        <v>2002.280029</v>
      </c>
      <c r="C408" s="68">
        <f>LN(B408)-LN(B407)</f>
        <v>-5.442143074763095E-4</v>
      </c>
      <c r="D408" s="68"/>
      <c r="E408" s="68"/>
      <c r="F408" s="68"/>
      <c r="G408" s="68"/>
      <c r="H408" s="68"/>
      <c r="I408">
        <f>_xlfn.STDEV.S(C388:C408)</f>
        <v>4.8100444717218138E-3</v>
      </c>
      <c r="J408">
        <f>_xlfn.NORM.S.INV(0.99)*I408*SQRT(10)</f>
        <v>3.5385370714841415E-2</v>
      </c>
      <c r="K408">
        <f>LN(B417)-LN(B408)</f>
        <v>-9.1060123072503885E-3</v>
      </c>
      <c r="L408">
        <f>IF(K408&lt;-(J408),1,0)</f>
        <v>0</v>
      </c>
      <c r="M408" s="72">
        <f t="shared" si="5"/>
        <v>2.1566384120284898E-2</v>
      </c>
      <c r="N408">
        <f>SQRT((N407^2)*0.72+(1-0.72)*(C407^2))</f>
        <v>2.9532977106912408E-3</v>
      </c>
      <c r="O408">
        <f>_xlfn.NORM.S.INV(0.99)*N408*SQRT(10)</f>
        <v>2.1726105639662357E-2</v>
      </c>
      <c r="P408">
        <f>LN(B417)-LN(B408)</f>
        <v>-9.1060123072503885E-3</v>
      </c>
      <c r="Q408">
        <f>IF(P408&lt;-(O408),1,0)</f>
        <v>0</v>
      </c>
    </row>
    <row r="409" spans="1:17">
      <c r="A409" s="64">
        <v>41885</v>
      </c>
      <c r="B409">
        <v>2000.719971</v>
      </c>
      <c r="C409" s="68">
        <f>LN(B409)-LN(B408)</f>
        <v>-7.7944445614885893E-4</v>
      </c>
      <c r="D409" s="68"/>
      <c r="E409" s="68"/>
      <c r="F409" s="68"/>
      <c r="G409" s="68"/>
      <c r="H409" s="68"/>
      <c r="I409">
        <f>_xlfn.STDEV.S(C389:C409)</f>
        <v>4.6836755708498101E-3</v>
      </c>
      <c r="J409">
        <f>_xlfn.NORM.S.INV(0.99)*I409*SQRT(10)</f>
        <v>3.4455730577318482E-2</v>
      </c>
      <c r="K409">
        <f>LN(B418)-LN(B409)</f>
        <v>-8.7006082010265828E-4</v>
      </c>
      <c r="L409">
        <f>IF(K409&lt;-(J409),1,0)</f>
        <v>0</v>
      </c>
      <c r="M409" s="72">
        <f t="shared" ref="M409:M472" si="6">EWMAV(B388:B408,0.72,0.99)*SQRT(10)</f>
        <v>1.8392293790469826E-2</v>
      </c>
      <c r="N409">
        <f>SQRT((N408^2)*0.72+(1-0.72)*(C408^2))</f>
        <v>2.5224479943956636E-3</v>
      </c>
      <c r="O409">
        <f>_xlfn.NORM.S.INV(0.99)*N409*SQRT(10)</f>
        <v>1.8556534750425683E-2</v>
      </c>
      <c r="P409">
        <f>LN(B418)-LN(B409)</f>
        <v>-8.7006082010265828E-4</v>
      </c>
      <c r="Q409">
        <f>IF(P409&lt;-(O409),1,0)</f>
        <v>0</v>
      </c>
    </row>
    <row r="410" spans="1:17">
      <c r="A410" s="64">
        <v>41886</v>
      </c>
      <c r="B410">
        <v>1997.650024</v>
      </c>
      <c r="C410" s="68">
        <f>LN(B410)-LN(B409)</f>
        <v>-1.5355995603707484E-3</v>
      </c>
      <c r="D410" s="68"/>
      <c r="E410" s="68"/>
      <c r="F410" s="68"/>
      <c r="G410" s="68"/>
      <c r="H410" s="68"/>
      <c r="I410">
        <f>_xlfn.STDEV.S(C390:C410)</f>
        <v>3.9918886167817341E-3</v>
      </c>
      <c r="J410">
        <f>_xlfn.NORM.S.INV(0.99)*I410*SQRT(10)</f>
        <v>2.9366559787047757E-2</v>
      </c>
      <c r="K410">
        <f>LN(B419)-LN(B410)</f>
        <v>1.9603439094337816E-3</v>
      </c>
      <c r="L410">
        <f>IF(K410&lt;-(J410),1,0)</f>
        <v>0</v>
      </c>
      <c r="M410" s="72">
        <f t="shared" si="6"/>
        <v>1.5835189573789859E-2</v>
      </c>
      <c r="N410">
        <f>SQRT((N409^2)*0.72+(1-0.72)*(C409^2))</f>
        <v>2.1797442560199673E-3</v>
      </c>
      <c r="O410">
        <f>_xlfn.NORM.S.INV(0.99)*N410*SQRT(10)</f>
        <v>1.6035414852454109E-2</v>
      </c>
      <c r="P410">
        <f>LN(B419)-LN(B410)</f>
        <v>1.9603439094337816E-3</v>
      </c>
      <c r="Q410">
        <f>IF(P410&lt;-(O410),1,0)</f>
        <v>0</v>
      </c>
    </row>
    <row r="411" spans="1:17">
      <c r="A411" s="64">
        <v>41887</v>
      </c>
      <c r="B411">
        <v>2007.709961</v>
      </c>
      <c r="C411" s="68">
        <f>LN(B411)-LN(B410)</f>
        <v>5.0232479433631738E-3</v>
      </c>
      <c r="D411" s="68"/>
      <c r="E411" s="68"/>
      <c r="F411" s="68"/>
      <c r="G411" s="68"/>
      <c r="H411" s="68"/>
      <c r="I411">
        <f>_xlfn.STDEV.S(C391:C411)</f>
        <v>4.0242166103432054E-3</v>
      </c>
      <c r="J411">
        <f>_xlfn.NORM.S.INV(0.99)*I411*SQRT(10)</f>
        <v>2.9604382543856944E-2</v>
      </c>
      <c r="K411">
        <f>LN(B420)-LN(B411)</f>
        <v>1.8163530630399549E-3</v>
      </c>
      <c r="L411">
        <f>IF(K411&lt;-(J411),1,0)</f>
        <v>0</v>
      </c>
      <c r="M411" s="72">
        <f t="shared" si="6"/>
        <v>1.4706284766290691E-2</v>
      </c>
      <c r="N411">
        <f>SQRT((N410^2)*0.72+(1-0.72)*(C410^2))</f>
        <v>2.0201939754232769E-3</v>
      </c>
      <c r="O411">
        <f>_xlfn.NORM.S.INV(0.99)*N411*SQRT(10)</f>
        <v>1.4861673973391111E-2</v>
      </c>
      <c r="P411">
        <f>LN(B420)-LN(B411)</f>
        <v>1.8163530630399549E-3</v>
      </c>
      <c r="Q411">
        <f>IF(P411&lt;-(O411),1,0)</f>
        <v>0</v>
      </c>
    </row>
    <row r="412" spans="1:17">
      <c r="A412" s="64">
        <v>41890</v>
      </c>
      <c r="B412">
        <v>2001.540039</v>
      </c>
      <c r="C412" s="68">
        <f>LN(B412)-LN(B411)</f>
        <v>-3.0778459166720396E-3</v>
      </c>
      <c r="D412" s="68"/>
      <c r="E412" s="68"/>
      <c r="F412" s="68"/>
      <c r="G412" s="68"/>
      <c r="H412" s="68"/>
      <c r="I412">
        <f>_xlfn.STDEV.S(C392:C412)</f>
        <v>3.8172847275656442E-3</v>
      </c>
      <c r="J412">
        <f>_xlfn.NORM.S.INV(0.99)*I412*SQRT(10)</f>
        <v>2.808207616439368E-2</v>
      </c>
      <c r="K412">
        <f>LN(B421)-LN(B412)</f>
        <v>4.4168154381365454E-3</v>
      </c>
      <c r="L412">
        <f>IF(K412&lt;-(J412),1,0)</f>
        <v>0</v>
      </c>
      <c r="M412" s="72">
        <f t="shared" si="6"/>
        <v>2.3182364467677852E-2</v>
      </c>
      <c r="N412">
        <f>SQRT((N411^2)*0.72+(1-0.72)*(C411^2))</f>
        <v>3.1628622851687591E-3</v>
      </c>
      <c r="O412">
        <f>_xlfn.NORM.S.INV(0.99)*N412*SQRT(10)</f>
        <v>2.3267779568080422E-2</v>
      </c>
      <c r="P412">
        <f>LN(B421)-LN(B412)</f>
        <v>4.4168154381365454E-3</v>
      </c>
      <c r="Q412">
        <f>IF(P412&lt;-(O412),1,0)</f>
        <v>0</v>
      </c>
    </row>
    <row r="413" spans="1:17">
      <c r="A413" s="64">
        <v>41891</v>
      </c>
      <c r="B413">
        <v>1988.4399410000001</v>
      </c>
      <c r="C413" s="68">
        <f>LN(B413)-LN(B412)</f>
        <v>-6.5665217057651049E-3</v>
      </c>
      <c r="D413" s="68"/>
      <c r="E413" s="68"/>
      <c r="F413" s="68"/>
      <c r="G413" s="68"/>
      <c r="H413" s="68"/>
      <c r="I413">
        <f>_xlfn.STDEV.S(C393:C413)</f>
        <v>3.6632928426086459E-3</v>
      </c>
      <c r="J413">
        <f>_xlfn.NORM.S.INV(0.99)*I413*SQRT(10)</f>
        <v>2.6949225944751107E-2</v>
      </c>
      <c r="K413">
        <f>LN(B422)-LN(B413)</f>
        <v>2.9377347883041693E-3</v>
      </c>
      <c r="L413">
        <f>IF(K413&lt;-(J413),1,0)</f>
        <v>0</v>
      </c>
      <c r="M413" s="72">
        <f t="shared" si="6"/>
        <v>2.2971743953680221E-2</v>
      </c>
      <c r="N413">
        <f>SQRT((N412^2)*0.72+(1-0.72)*(C412^2))</f>
        <v>3.139289788703147E-3</v>
      </c>
      <c r="O413">
        <f>_xlfn.NORM.S.INV(0.99)*N413*SQRT(10)</f>
        <v>2.3094367132704043E-2</v>
      </c>
      <c r="P413">
        <f>LN(B422)-LN(B413)</f>
        <v>2.9377347883041693E-3</v>
      </c>
      <c r="Q413">
        <f>IF(P413&lt;-(O413),1,0)</f>
        <v>0</v>
      </c>
    </row>
    <row r="414" spans="1:17">
      <c r="A414" s="64">
        <v>41892</v>
      </c>
      <c r="B414">
        <v>1995.6899410000001</v>
      </c>
      <c r="C414" s="68">
        <f>LN(B414)-LN(B413)</f>
        <v>3.6394436011102371E-3</v>
      </c>
      <c r="D414" s="68"/>
      <c r="E414" s="68"/>
      <c r="F414" s="68"/>
      <c r="G414" s="68"/>
      <c r="H414" s="68"/>
      <c r="I414">
        <f>_xlfn.STDEV.S(C394:C414)</f>
        <v>3.684885134181162E-3</v>
      </c>
      <c r="J414">
        <f>_xlfn.NORM.S.INV(0.99)*I414*SQRT(10)</f>
        <v>2.710807088815408E-2</v>
      </c>
      <c r="K414">
        <f>LN(B423)-LN(B414)</f>
        <v>-6.4949586246809687E-3</v>
      </c>
      <c r="L414">
        <f>IF(K414&lt;-(J414),1,0)</f>
        <v>0</v>
      </c>
      <c r="M414" s="72">
        <f t="shared" si="6"/>
        <v>3.2143147364251987E-2</v>
      </c>
      <c r="N414">
        <f>SQRT((N413^2)*0.72+(1-0.72)*(C413^2))</f>
        <v>4.3782506916813027E-3</v>
      </c>
      <c r="O414">
        <f>_xlfn.NORM.S.INV(0.99)*N414*SQRT(10)</f>
        <v>3.2208854765992646E-2</v>
      </c>
      <c r="P414">
        <f>LN(B423)-LN(B414)</f>
        <v>-6.4949586246809687E-3</v>
      </c>
      <c r="Q414">
        <f>IF(P414&lt;-(O414),1,0)</f>
        <v>0</v>
      </c>
    </row>
    <row r="415" spans="1:17">
      <c r="A415" s="64">
        <v>41893</v>
      </c>
      <c r="B415">
        <v>1997.4499510000001</v>
      </c>
      <c r="C415" s="68">
        <f>LN(B415)-LN(B414)</f>
        <v>8.8151688223891966E-4</v>
      </c>
      <c r="D415" s="68"/>
      <c r="E415" s="68"/>
      <c r="F415" s="68"/>
      <c r="G415" s="68"/>
      <c r="H415" s="68"/>
      <c r="I415">
        <f>_xlfn.STDEV.S(C395:C415)</f>
        <v>3.6206838262185484E-3</v>
      </c>
      <c r="J415">
        <f>_xlfn.NORM.S.INV(0.99)*I415*SQRT(10)</f>
        <v>2.6635770248109987E-2</v>
      </c>
      <c r="K415">
        <f>LN(B424)-LN(B415)</f>
        <v>4.2550110133365848E-4</v>
      </c>
      <c r="L415">
        <f>IF(K415&lt;-(J415),1,0)</f>
        <v>0</v>
      </c>
      <c r="M415" s="72">
        <f t="shared" si="6"/>
        <v>3.0733497103701053E-2</v>
      </c>
      <c r="N415">
        <f>SQRT((N414^2)*0.72+(1-0.72)*(C414^2))</f>
        <v>4.1845538458735419E-3</v>
      </c>
      <c r="O415">
        <f>_xlfn.NORM.S.INV(0.99)*N415*SQRT(10)</f>
        <v>3.0783912702463331E-2</v>
      </c>
      <c r="P415">
        <f>LN(B424)-LN(B415)</f>
        <v>4.2550110133365848E-4</v>
      </c>
      <c r="Q415">
        <f>IF(P415&lt;-(O415),1,0)</f>
        <v>0</v>
      </c>
    </row>
    <row r="416" spans="1:17">
      <c r="A416" s="64">
        <v>41894</v>
      </c>
      <c r="B416">
        <v>1985.540039</v>
      </c>
      <c r="C416" s="68">
        <f>LN(B416)-LN(B415)</f>
        <v>-5.9804054374366089E-3</v>
      </c>
      <c r="D416" s="68"/>
      <c r="E416" s="68"/>
      <c r="F416" s="68"/>
      <c r="G416" s="68"/>
      <c r="H416" s="68"/>
      <c r="I416">
        <f>_xlfn.STDEV.S(C396:C416)</f>
        <v>3.7730702691791147E-3</v>
      </c>
      <c r="J416">
        <f>_xlfn.NORM.S.INV(0.99)*I416*SQRT(10)</f>
        <v>2.775680994073167E-2</v>
      </c>
      <c r="K416">
        <f>LN(B425)-LN(B416)</f>
        <v>-9.8950069316261491E-3</v>
      </c>
      <c r="L416">
        <f>IF(K416&lt;-(J416),1,0)</f>
        <v>0</v>
      </c>
      <c r="M416" s="72">
        <f t="shared" si="6"/>
        <v>2.6284986542210727E-2</v>
      </c>
      <c r="N416">
        <f>SQRT((N415^2)*0.72+(1-0.72)*(C415^2))</f>
        <v>3.5812195693533037E-3</v>
      </c>
      <c r="O416">
        <f>_xlfn.NORM.S.INV(0.99)*N416*SQRT(10)</f>
        <v>2.6345449157032314E-2</v>
      </c>
      <c r="P416">
        <f>LN(B425)-LN(B416)</f>
        <v>-9.8950069316261491E-3</v>
      </c>
      <c r="Q416">
        <f>IF(P416&lt;-(O416),1,0)</f>
        <v>0</v>
      </c>
    </row>
    <row r="417" spans="1:17">
      <c r="A417" s="64">
        <v>41897</v>
      </c>
      <c r="B417">
        <v>1984.130005</v>
      </c>
      <c r="C417" s="68">
        <f>LN(B417)-LN(B416)</f>
        <v>-7.1040365756935842E-4</v>
      </c>
      <c r="D417" s="68"/>
      <c r="E417" s="68"/>
      <c r="F417" s="68"/>
      <c r="G417" s="68"/>
      <c r="H417" s="68"/>
      <c r="I417">
        <f>_xlfn.STDEV.S(C397:C417)</f>
        <v>3.7060697161595143E-3</v>
      </c>
      <c r="J417">
        <f>_xlfn.NORM.S.INV(0.99)*I417*SQRT(10)</f>
        <v>2.7263916492316367E-2</v>
      </c>
      <c r="K417">
        <f>LN(B426)-LN(B417)</f>
        <v>-6.4534182201825274E-4</v>
      </c>
      <c r="L417">
        <f>IF(K417&lt;-(J417),1,0)</f>
        <v>0</v>
      </c>
      <c r="M417" s="72">
        <f t="shared" si="6"/>
        <v>3.2233688494215026E-2</v>
      </c>
      <c r="N417">
        <f>SQRT((N416^2)*0.72+(1-0.72)*(C416^2))</f>
        <v>4.3872959747133207E-3</v>
      </c>
      <c r="O417">
        <f>_xlfn.NORM.S.INV(0.99)*N417*SQRT(10)</f>
        <v>3.2275396914446856E-2</v>
      </c>
      <c r="P417">
        <f>LN(B426)-LN(B417)</f>
        <v>-6.4534182201825274E-4</v>
      </c>
      <c r="Q417">
        <f>IF(P417&lt;-(O417),1,0)</f>
        <v>0</v>
      </c>
    </row>
    <row r="418" spans="1:17">
      <c r="A418" s="64">
        <v>41898</v>
      </c>
      <c r="B418">
        <v>1998.9799800000001</v>
      </c>
      <c r="C418" s="68">
        <f>LN(B418)-LN(B417)</f>
        <v>7.4565070309988712E-3</v>
      </c>
      <c r="D418" s="68"/>
      <c r="E418" s="68"/>
      <c r="F418" s="68"/>
      <c r="G418" s="68"/>
      <c r="H418" s="68"/>
      <c r="I418">
        <f>_xlfn.STDEV.S(C398:C418)</f>
        <v>3.9817059646594785E-3</v>
      </c>
      <c r="J418">
        <f>_xlfn.NORM.S.INV(0.99)*I418*SQRT(10)</f>
        <v>2.9291650517014062E-2</v>
      </c>
      <c r="K418">
        <f>LN(B427)-LN(B418)</f>
        <v>-1.0651899831852774E-2</v>
      </c>
      <c r="L418">
        <f>IF(K418&lt;-(J418),1,0)</f>
        <v>0</v>
      </c>
      <c r="M418" s="72">
        <f t="shared" si="6"/>
        <v>2.7490636119043645E-2</v>
      </c>
      <c r="N418">
        <f>SQRT((N417^2)*0.72+(1-0.72)*(C417^2))</f>
        <v>3.7416750310632707E-3</v>
      </c>
      <c r="O418">
        <f>_xlfn.NORM.S.INV(0.99)*N418*SQRT(10)</f>
        <v>2.7525849053375843E-2</v>
      </c>
      <c r="P418">
        <f>LN(B427)-LN(B418)</f>
        <v>-1.0651899831852774E-2</v>
      </c>
      <c r="Q418">
        <f>IF(P418&lt;-(O418),1,0)</f>
        <v>0</v>
      </c>
    </row>
    <row r="419" spans="1:17">
      <c r="A419" s="64">
        <v>41899</v>
      </c>
      <c r="B419">
        <v>2001.5699460000001</v>
      </c>
      <c r="C419" s="68">
        <f>LN(B419)-LN(B418)</f>
        <v>1.2948051691656914E-3</v>
      </c>
      <c r="D419" s="68"/>
      <c r="E419" s="68"/>
      <c r="F419" s="68"/>
      <c r="G419" s="68"/>
      <c r="H419" s="68"/>
      <c r="I419">
        <f>_xlfn.STDEV.S(C399:C419)</f>
        <v>3.6010363223240686E-3</v>
      </c>
      <c r="J419">
        <f>_xlfn.NORM.S.INV(0.99)*I419*SQRT(10)</f>
        <v>2.649123224788676E-2</v>
      </c>
      <c r="K419">
        <f>LN(B428)-LN(B419)</f>
        <v>-1.473652166392192E-2</v>
      </c>
      <c r="L419">
        <f>IF(K419&lt;-(J419),1,0)</f>
        <v>0</v>
      </c>
      <c r="M419" s="72">
        <f t="shared" si="6"/>
        <v>3.7217098070290139E-2</v>
      </c>
      <c r="N419">
        <f>SQRT((N418^2)*0.72+(1-0.72)*(C418^2))</f>
        <v>5.0643809351541913E-3</v>
      </c>
      <c r="O419">
        <f>_xlfn.NORM.S.INV(0.99)*N419*SQRT(10)</f>
        <v>3.7256411637179257E-2</v>
      </c>
      <c r="P419">
        <f>LN(B428)-LN(B419)</f>
        <v>-1.473652166392192E-2</v>
      </c>
      <c r="Q419">
        <f>IF(P419&lt;-(O419),1,0)</f>
        <v>0</v>
      </c>
    </row>
    <row r="420" spans="1:17">
      <c r="A420" s="64">
        <v>41900</v>
      </c>
      <c r="B420">
        <v>2011.3599850000001</v>
      </c>
      <c r="C420" s="68">
        <f>LN(B420)-LN(B419)</f>
        <v>4.8792570969693472E-3</v>
      </c>
      <c r="D420" s="68"/>
      <c r="E420" s="68"/>
      <c r="F420" s="68"/>
      <c r="G420" s="68"/>
      <c r="H420" s="68"/>
      <c r="I420">
        <f>_xlfn.STDEV.S(C400:C420)</f>
        <v>3.5946458208164171E-3</v>
      </c>
      <c r="J420">
        <f>_xlfn.NORM.S.INV(0.99)*I420*SQRT(10)</f>
        <v>2.6444220153459892E-2</v>
      </c>
      <c r="K420">
        <f>LN(B429)-LN(B420)</f>
        <v>-3.295288493416848E-2</v>
      </c>
      <c r="L420" s="79">
        <f>IF(K420&lt;-(J420),1,0)</f>
        <v>1</v>
      </c>
      <c r="M420" s="72">
        <f t="shared" si="6"/>
        <v>3.1971194007869783E-2</v>
      </c>
      <c r="N420">
        <f>SQRT((N419^2)*0.72+(1-0.72)*(C419^2))</f>
        <v>4.3515460222640218E-3</v>
      </c>
      <c r="O420">
        <f>_xlfn.NORM.S.INV(0.99)*N420*SQRT(10)</f>
        <v>3.2012400318907362E-2</v>
      </c>
      <c r="P420">
        <f>LN(B429)-LN(B420)</f>
        <v>-3.295288493416848E-2</v>
      </c>
      <c r="Q420">
        <f>IF(P420&lt;-(O420),1,0)</f>
        <v>1</v>
      </c>
    </row>
    <row r="421" spans="1:17">
      <c r="A421" s="64">
        <v>41901</v>
      </c>
      <c r="B421">
        <v>2010.400024</v>
      </c>
      <c r="C421" s="68">
        <f>LN(B421)-LN(B420)</f>
        <v>-4.7738354157544904E-4</v>
      </c>
      <c r="D421" s="68"/>
      <c r="E421" s="68"/>
      <c r="F421" s="68"/>
      <c r="G421" s="68"/>
      <c r="H421" s="68"/>
      <c r="I421">
        <f>_xlfn.STDEV.S(C401:C421)</f>
        <v>3.5798682342958431E-3</v>
      </c>
      <c r="J421">
        <f>_xlfn.NORM.S.INV(0.99)*I421*SQRT(10)</f>
        <v>2.6335507982423775E-2</v>
      </c>
      <c r="K421">
        <f>LN(B430)-LN(B421)</f>
        <v>-3.2470357943913619E-2</v>
      </c>
      <c r="L421" s="79">
        <f>IF(K421&lt;-(J421),1,0)</f>
        <v>1</v>
      </c>
      <c r="M421" s="72">
        <f t="shared" si="6"/>
        <v>3.3114651182783172E-2</v>
      </c>
      <c r="N421">
        <f>SQRT((N420^2)*0.72+(1-0.72)*(C420^2))</f>
        <v>4.5055396961436404E-3</v>
      </c>
      <c r="O421">
        <f>_xlfn.NORM.S.INV(0.99)*N421*SQRT(10)</f>
        <v>3.3145263698862788E-2</v>
      </c>
      <c r="P421">
        <f>LN(B430)-LN(B421)</f>
        <v>-3.2470357943913619E-2</v>
      </c>
      <c r="Q421">
        <f>IF(P421&lt;-(O421),1,0)</f>
        <v>0</v>
      </c>
    </row>
    <row r="422" spans="1:17">
      <c r="A422" s="64">
        <v>41904</v>
      </c>
      <c r="B422">
        <v>1994.290039</v>
      </c>
      <c r="C422" s="68">
        <f>LN(B422)-LN(B421)</f>
        <v>-8.0456023555974809E-3</v>
      </c>
      <c r="D422" s="68"/>
      <c r="E422" s="68"/>
      <c r="F422" s="68"/>
      <c r="G422" s="68"/>
      <c r="H422" s="68"/>
      <c r="I422">
        <f>_xlfn.STDEV.S(C402:C422)</f>
        <v>3.994530813264229E-3</v>
      </c>
      <c r="J422">
        <f>_xlfn.NORM.S.INV(0.99)*I422*SQRT(10)</f>
        <v>2.9385997258485744E-2</v>
      </c>
      <c r="K422">
        <f>LN(B431)-LN(B422)</f>
        <v>-1.3321120302921763E-2</v>
      </c>
      <c r="L422">
        <f>IF(K422&lt;-(J422),1,0)</f>
        <v>0</v>
      </c>
      <c r="M422" s="72">
        <f t="shared" si="6"/>
        <v>2.8156824516552176E-2</v>
      </c>
      <c r="N422">
        <f>SQRT((N421^2)*0.72+(1-0.72)*(C421^2))</f>
        <v>3.831413569344036E-3</v>
      </c>
      <c r="O422">
        <f>_xlfn.NORM.S.INV(0.99)*N422*SQRT(10)</f>
        <v>2.8186015807163924E-2</v>
      </c>
      <c r="P422">
        <f>LN(B431)-LN(B422)</f>
        <v>-1.3321120302921763E-2</v>
      </c>
      <c r="Q422">
        <f>IF(P422&lt;-(O422),1,0)</f>
        <v>0</v>
      </c>
    </row>
    <row r="423" spans="1:17">
      <c r="A423" s="64">
        <v>41905</v>
      </c>
      <c r="B423">
        <v>1982.7700199999999</v>
      </c>
      <c r="C423" s="68">
        <f>LN(B423)-LN(B422)</f>
        <v>-5.793249811874901E-3</v>
      </c>
      <c r="D423" s="68"/>
      <c r="E423" s="68"/>
      <c r="F423" s="68"/>
      <c r="G423" s="68"/>
      <c r="H423" s="68"/>
      <c r="I423">
        <f>_xlfn.STDEV.S(C403:C423)</f>
        <v>4.1735493293384744E-3</v>
      </c>
      <c r="J423">
        <f>_xlfn.NORM.S.INV(0.99)*I423*SQRT(10)</f>
        <v>3.0702957339281092E-2</v>
      </c>
      <c r="K423">
        <f>LN(B432)-LN(B423)</f>
        <v>-9.0942564291562888E-3</v>
      </c>
      <c r="L423">
        <f>IF(K423&lt;-(J423),1,0)</f>
        <v>0</v>
      </c>
      <c r="M423" s="72">
        <f t="shared" si="6"/>
        <v>3.9390808424908337E-2</v>
      </c>
      <c r="N423">
        <f>SQRT((N422^2)*0.72+(1-0.72)*(C422^2))</f>
        <v>5.3567048070960006E-3</v>
      </c>
      <c r="O423">
        <f>_xlfn.NORM.S.INV(0.99)*N423*SQRT(10)</f>
        <v>3.9406909130138189E-2</v>
      </c>
      <c r="P423">
        <f>LN(B432)-LN(B423)</f>
        <v>-9.0942564291562888E-3</v>
      </c>
      <c r="Q423">
        <f>IF(P423&lt;-(O423),1,0)</f>
        <v>0</v>
      </c>
    </row>
    <row r="424" spans="1:17">
      <c r="A424" s="64">
        <v>41906</v>
      </c>
      <c r="B424">
        <v>1998.3000489999999</v>
      </c>
      <c r="C424" s="68">
        <f>LN(B424)-LN(B423)</f>
        <v>7.8019766082535469E-3</v>
      </c>
      <c r="D424" s="68"/>
      <c r="E424" s="68"/>
      <c r="F424" s="68"/>
      <c r="G424" s="68"/>
      <c r="H424" s="68"/>
      <c r="I424">
        <f>_xlfn.STDEV.S(C404:C424)</f>
        <v>4.3977760410480096E-3</v>
      </c>
      <c r="J424">
        <f>_xlfn.NORM.S.INV(0.99)*I424*SQRT(10)</f>
        <v>3.2352494129358124E-2</v>
      </c>
      <c r="K424">
        <f>LN(B433)-LN(B424)</f>
        <v>-3.2137851295444442E-2</v>
      </c>
      <c r="L424">
        <f>IF(K424&lt;-(J424),1,0)</f>
        <v>0</v>
      </c>
      <c r="M424" s="72">
        <f t="shared" si="6"/>
        <v>4.0314569555762146E-2</v>
      </c>
      <c r="N424">
        <f>SQRT((N423^2)*0.72+(1-0.72)*(C423^2))</f>
        <v>5.4824423707179899E-3</v>
      </c>
      <c r="O424">
        <f>_xlfn.NORM.S.INV(0.99)*N424*SQRT(10)</f>
        <v>4.0331904798619478E-2</v>
      </c>
      <c r="P424">
        <f>LN(B433)-LN(B424)</f>
        <v>-3.2137851295444442E-2</v>
      </c>
      <c r="Q424">
        <f>IF(P424&lt;-(O424),1,0)</f>
        <v>0</v>
      </c>
    </row>
    <row r="425" spans="1:17">
      <c r="A425" s="64">
        <v>41907</v>
      </c>
      <c r="B425">
        <v>1965.98999</v>
      </c>
      <c r="C425" s="68">
        <f>LN(B425)-LN(B424)</f>
        <v>-1.6300913470396416E-2</v>
      </c>
      <c r="D425" s="68"/>
      <c r="E425" s="68"/>
      <c r="F425" s="68"/>
      <c r="G425" s="68"/>
      <c r="H425" s="68"/>
      <c r="I425">
        <f>_xlfn.STDEV.S(C405:C425)</f>
        <v>5.6453624408990041E-3</v>
      </c>
      <c r="J425">
        <f>_xlfn.NORM.S.INV(0.99)*I425*SQRT(10)</f>
        <v>4.1530435729910331E-2</v>
      </c>
      <c r="K425">
        <f>LN(B434)-LN(B425)</f>
        <v>1.4740096375955858E-3</v>
      </c>
      <c r="L425">
        <f>IF(K425&lt;-(J425),1,0)</f>
        <v>0</v>
      </c>
      <c r="M425" s="72">
        <f t="shared" si="6"/>
        <v>4.5744522789614217E-2</v>
      </c>
      <c r="N425">
        <f>SQRT((N424^2)*0.72+(1-0.72)*(C424^2))</f>
        <v>6.219726718236224E-3</v>
      </c>
      <c r="O425">
        <f>_xlfn.NORM.S.INV(0.99)*N425*SQRT(10)</f>
        <v>4.5755779798644952E-2</v>
      </c>
      <c r="P425">
        <f>LN(B434)-LN(B425)</f>
        <v>1.4740096375955858E-3</v>
      </c>
      <c r="Q425">
        <f>IF(P425&lt;-(O425),1,0)</f>
        <v>0</v>
      </c>
    </row>
    <row r="426" spans="1:17">
      <c r="A426" s="64">
        <v>41908</v>
      </c>
      <c r="B426">
        <v>1982.849976</v>
      </c>
      <c r="C426" s="68">
        <f>LN(B426)-LN(B425)</f>
        <v>8.5392614520385379E-3</v>
      </c>
      <c r="D426" s="68"/>
      <c r="E426" s="68"/>
      <c r="F426" s="68"/>
      <c r="G426" s="68"/>
      <c r="H426" s="68"/>
      <c r="I426">
        <f>_xlfn.STDEV.S(C406:C426)</f>
        <v>6.0031739532700901E-3</v>
      </c>
      <c r="J426">
        <f>_xlfn.NORM.S.INV(0.99)*I426*SQRT(10)</f>
        <v>4.4162696842198278E-2</v>
      </c>
      <c r="K426">
        <f>LN(B435)-LN(B426)</f>
        <v>-2.7943100414903554E-2</v>
      </c>
      <c r="L426">
        <f>IF(K426&lt;-(J426),1,0)</f>
        <v>0</v>
      </c>
      <c r="M426" s="72">
        <f t="shared" si="6"/>
        <v>7.438532679724684E-2</v>
      </c>
      <c r="N426">
        <f>SQRT((N425^2)*0.72+(1-0.72)*(C425^2))</f>
        <v>1.011210851974445E-2</v>
      </c>
      <c r="O426">
        <f>_xlfn.NORM.S.INV(0.99)*N426*SQRT(10)</f>
        <v>7.4390311936508441E-2</v>
      </c>
      <c r="P426">
        <f>LN(B435)-LN(B426)</f>
        <v>-2.7943100414903554E-2</v>
      </c>
      <c r="Q426">
        <f>IF(P426&lt;-(O426),1,0)</f>
        <v>0</v>
      </c>
    </row>
    <row r="427" spans="1:17">
      <c r="A427" s="64">
        <v>41911</v>
      </c>
      <c r="B427">
        <v>1977.8000489999999</v>
      </c>
      <c r="C427" s="68">
        <f>LN(B427)-LN(B426)</f>
        <v>-2.5500509788356496E-3</v>
      </c>
      <c r="D427" s="68"/>
      <c r="E427" s="68"/>
      <c r="F427" s="68"/>
      <c r="G427" s="68"/>
      <c r="H427" s="68"/>
      <c r="I427">
        <f>_xlfn.STDEV.S(C407:C427)</f>
        <v>6.015229740990515E-3</v>
      </c>
      <c r="J427">
        <f>_xlfn.NORM.S.INV(0.99)*I427*SQRT(10)</f>
        <v>4.4251385942736664E-2</v>
      </c>
      <c r="K427">
        <f>LN(B436)-LN(B427)</f>
        <v>-3.6910129433213257E-2</v>
      </c>
      <c r="L427">
        <f>IF(K427&lt;-(J427),1,0)</f>
        <v>0</v>
      </c>
      <c r="M427" s="72">
        <f t="shared" si="6"/>
        <v>7.1335756541685794E-2</v>
      </c>
      <c r="N427">
        <f>SQRT((N426^2)*0.72+(1-0.72)*(C426^2))</f>
        <v>9.6974598733802209E-3</v>
      </c>
      <c r="O427">
        <f>_xlfn.NORM.S.INV(0.99)*N427*SQRT(10)</f>
        <v>7.1339925156455805E-2</v>
      </c>
      <c r="P427">
        <f>LN(B436)-LN(B427)</f>
        <v>-3.6910129433213257E-2</v>
      </c>
      <c r="Q427">
        <f>IF(P427&lt;-(O427),1,0)</f>
        <v>0</v>
      </c>
    </row>
    <row r="428" spans="1:17">
      <c r="A428" s="64">
        <v>41912</v>
      </c>
      <c r="B428">
        <v>1972.290039</v>
      </c>
      <c r="C428" s="68">
        <f>LN(B428)-LN(B427)</f>
        <v>-2.7898166629034549E-3</v>
      </c>
      <c r="D428" s="68"/>
      <c r="E428" s="68"/>
      <c r="F428" s="68"/>
      <c r="G428" s="68"/>
      <c r="H428" s="68"/>
      <c r="I428">
        <f>_xlfn.STDEV.S(C408:C428)</f>
        <v>5.9713413983834241E-3</v>
      </c>
      <c r="J428">
        <f>_xlfn.NORM.S.INV(0.99)*I428*SQRT(10)</f>
        <v>4.3928518808692071E-2</v>
      </c>
      <c r="K428">
        <f>LN(B437)-LN(B428)</f>
        <v>-5.0725346159328666E-2</v>
      </c>
      <c r="L428">
        <f>IF(K428&lt;-(J428),1,0)</f>
        <v>1</v>
      </c>
      <c r="M428" s="72">
        <f t="shared" si="6"/>
        <v>6.1337050934208479E-2</v>
      </c>
      <c r="N428">
        <f>SQRT((N427^2)*0.72+(1-0.72)*(C427^2))</f>
        <v>8.3384709003206953E-3</v>
      </c>
      <c r="O428">
        <f>_xlfn.NORM.S.INV(0.99)*N428*SQRT(10)</f>
        <v>6.1342444074564878E-2</v>
      </c>
      <c r="P428">
        <f>LN(B437)-LN(B428)</f>
        <v>-5.0725346159328666E-2</v>
      </c>
      <c r="Q428">
        <f>IF(P428&lt;-(O428),1,0)</f>
        <v>0</v>
      </c>
    </row>
    <row r="429" spans="1:17">
      <c r="A429" s="64">
        <v>41913</v>
      </c>
      <c r="B429">
        <v>1946.160034</v>
      </c>
      <c r="C429" s="68">
        <f>LN(B429)-LN(B428)</f>
        <v>-1.3337106173277213E-2</v>
      </c>
      <c r="D429" s="68"/>
      <c r="E429" s="68"/>
      <c r="F429" s="68"/>
      <c r="G429" s="68"/>
      <c r="H429" s="68"/>
      <c r="I429">
        <f>_xlfn.STDEV.S(C409:C429)</f>
        <v>6.5722050914940868E-3</v>
      </c>
      <c r="J429">
        <f>_xlfn.NORM.S.INV(0.99)*I429*SQRT(10)</f>
        <v>4.8348807364194467E-2</v>
      </c>
      <c r="K429">
        <f>LN(B438)-LN(B429)</f>
        <v>-3.581062027170212E-2</v>
      </c>
      <c r="L429">
        <f>IF(K429&lt;-(J429),1,0)</f>
        <v>0</v>
      </c>
      <c r="M429" s="72">
        <f t="shared" si="6"/>
        <v>5.3167108187119297E-2</v>
      </c>
      <c r="N429">
        <f>SQRT((N428^2)*0.72+(1-0.72)*(C428^2))</f>
        <v>7.2277888300287434E-3</v>
      </c>
      <c r="O429">
        <f>_xlfn.NORM.S.INV(0.99)*N429*SQRT(10)</f>
        <v>5.3171647102798064E-2</v>
      </c>
      <c r="P429">
        <f>LN(B438)-LN(B429)</f>
        <v>-3.581062027170212E-2</v>
      </c>
      <c r="Q429">
        <f>IF(P429&lt;-(O429),1,0)</f>
        <v>0</v>
      </c>
    </row>
    <row r="430" spans="1:17">
      <c r="A430" s="64">
        <v>41914</v>
      </c>
      <c r="B430">
        <v>1946.170044</v>
      </c>
      <c r="C430" s="68">
        <f>LN(B430)-LN(B429)</f>
        <v>5.1434486794121881E-6</v>
      </c>
      <c r="D430" s="68"/>
      <c r="E430" s="68"/>
      <c r="F430" s="68"/>
      <c r="G430" s="68"/>
      <c r="H430" s="68"/>
      <c r="I430">
        <f>_xlfn.STDEV.S(C410:C430)</f>
        <v>6.5778606516730467E-3</v>
      </c>
      <c r="J430">
        <f>_xlfn.NORM.S.INV(0.99)*I430*SQRT(10)</f>
        <v>4.8390412820174998E-2</v>
      </c>
      <c r="K430">
        <f>LN(B439)-LN(B430)</f>
        <v>-4.3949064480763411E-2</v>
      </c>
      <c r="L430">
        <f>IF(K430&lt;-(J430),1,0)</f>
        <v>0</v>
      </c>
      <c r="M430" s="72">
        <f t="shared" si="6"/>
        <v>6.8779985881033012E-2</v>
      </c>
      <c r="N430">
        <f>SQRT((N429^2)*0.72+(1-0.72)*(C429^2))</f>
        <v>9.3498354471673421E-3</v>
      </c>
      <c r="O430">
        <f>_xlfn.NORM.S.INV(0.99)*N430*SQRT(10)</f>
        <v>6.8782605933443819E-2</v>
      </c>
      <c r="P430">
        <f>LN(B439)-LN(B430)</f>
        <v>-4.3949064480763411E-2</v>
      </c>
      <c r="Q430">
        <f>IF(P430&lt;-(O430),1,0)</f>
        <v>0</v>
      </c>
    </row>
    <row r="431" spans="1:17">
      <c r="A431" s="64">
        <v>41915</v>
      </c>
      <c r="B431">
        <v>1967.900024</v>
      </c>
      <c r="C431" s="68">
        <f>LN(B431)-LN(B430)</f>
        <v>1.1103635285394375E-2</v>
      </c>
      <c r="D431" s="68"/>
      <c r="E431" s="68"/>
      <c r="F431" s="68"/>
      <c r="G431" s="68"/>
      <c r="H431" s="68"/>
      <c r="I431">
        <f>_xlfn.STDEV.S(C411:C431)</f>
        <v>7.113249234922992E-3</v>
      </c>
      <c r="J431">
        <f>_xlfn.NORM.S.INV(0.99)*I431*SQRT(10)</f>
        <v>5.2329029938201661E-2</v>
      </c>
      <c r="K431">
        <f>LN(B440)-LN(B431)</f>
        <v>-5.4907732314055657E-2</v>
      </c>
      <c r="L431">
        <f>IF(K431&lt;-(J431),1,0)</f>
        <v>1</v>
      </c>
      <c r="M431" s="72">
        <f t="shared" si="6"/>
        <v>5.8361327648138055E-2</v>
      </c>
      <c r="N431">
        <f>SQRT((N430^2)*0.72+(1-0.72)*(C430^2))</f>
        <v>7.9335989240429203E-3</v>
      </c>
      <c r="O431">
        <f>_xlfn.NORM.S.INV(0.99)*N431*SQRT(10)</f>
        <v>5.836397993418839E-2</v>
      </c>
      <c r="P431">
        <f>LN(B440)-LN(B431)</f>
        <v>-5.4907732314055657E-2</v>
      </c>
      <c r="Q431">
        <f>IF(P431&lt;-(O431),1,0)</f>
        <v>0</v>
      </c>
    </row>
    <row r="432" spans="1:17">
      <c r="A432" s="64">
        <v>41918</v>
      </c>
      <c r="B432">
        <v>1964.8199460000001</v>
      </c>
      <c r="C432" s="68">
        <f>LN(B432)-LN(B431)</f>
        <v>-1.5663859381094269E-3</v>
      </c>
      <c r="D432" s="68"/>
      <c r="E432" s="68"/>
      <c r="F432" s="68"/>
      <c r="G432" s="68"/>
      <c r="H432" s="68"/>
      <c r="I432">
        <f>_xlfn.STDEV.S(C412:C432)</f>
        <v>6.9917897333509182E-3</v>
      </c>
      <c r="J432">
        <f>_xlfn.NORM.S.INV(0.99)*I432*SQRT(10)</f>
        <v>5.1435506080941107E-2</v>
      </c>
      <c r="K432">
        <f>LN(B441)-LN(B432)</f>
        <v>-4.0539533000400141E-2</v>
      </c>
      <c r="L432">
        <f>IF(K432&lt;-(J432),1,0)</f>
        <v>0</v>
      </c>
      <c r="M432" s="72">
        <f t="shared" si="6"/>
        <v>6.5727299445437898E-2</v>
      </c>
      <c r="N432">
        <f>SQRT((N431^2)*0.72+(1-0.72)*(C431^2))</f>
        <v>8.9353027253333394E-3</v>
      </c>
      <c r="O432">
        <f>_xlfn.NORM.S.INV(0.99)*N432*SQRT(10)</f>
        <v>6.5733071958911218E-2</v>
      </c>
      <c r="P432">
        <f>LN(B441)-LN(B432)</f>
        <v>-4.0539533000400141E-2</v>
      </c>
      <c r="Q432">
        <f>IF(P432&lt;-(O432),1,0)</f>
        <v>0</v>
      </c>
    </row>
    <row r="433" spans="1:17">
      <c r="A433" s="64">
        <v>41919</v>
      </c>
      <c r="B433">
        <v>1935.099976</v>
      </c>
      <c r="C433" s="68">
        <f>LN(B433)-LN(B432)</f>
        <v>-1.5241618258034606E-2</v>
      </c>
      <c r="D433" s="68"/>
      <c r="E433" s="68"/>
      <c r="F433" s="68"/>
      <c r="G433" s="68"/>
      <c r="H433" s="68"/>
      <c r="I433">
        <f>_xlfn.STDEV.S(C413:C433)</f>
        <v>7.6435425324770951E-3</v>
      </c>
      <c r="J433">
        <f>_xlfn.NORM.S.INV(0.99)*I433*SQRT(10)</f>
        <v>5.6230163291929383E-2</v>
      </c>
      <c r="K433">
        <f>LN(B442)-LN(B433)</f>
        <v>-1.6196798622210018E-2</v>
      </c>
      <c r="L433">
        <f>IF(K433&lt;-(J433),1,0)</f>
        <v>0</v>
      </c>
      <c r="M433" s="72">
        <f t="shared" si="6"/>
        <v>5.6102000746518249E-2</v>
      </c>
      <c r="N433">
        <f>SQRT((N432^2)*0.72+(1-0.72)*(C432^2))</f>
        <v>7.6270266306865293E-3</v>
      </c>
      <c r="O433">
        <f>_xlfn.NORM.S.INV(0.99)*N433*SQRT(10)</f>
        <v>5.6108663103940505E-2</v>
      </c>
      <c r="P433">
        <f>LN(B442)-LN(B433)</f>
        <v>-1.6196798622210018E-2</v>
      </c>
      <c r="Q433">
        <f>IF(P433&lt;-(O433),1,0)</f>
        <v>0</v>
      </c>
    </row>
    <row r="434" spans="1:17">
      <c r="A434" s="64">
        <v>41920</v>
      </c>
      <c r="B434">
        <v>1968.8900149999999</v>
      </c>
      <c r="C434" s="68">
        <f>LN(B434)-LN(B433)</f>
        <v>1.7310947462643611E-2</v>
      </c>
      <c r="D434" s="68"/>
      <c r="E434" s="68"/>
      <c r="F434" s="68"/>
      <c r="G434" s="68"/>
      <c r="H434" s="68"/>
      <c r="I434">
        <f>_xlfn.STDEV.S(C414:C434)</f>
        <v>8.5867407283392629E-3</v>
      </c>
      <c r="J434">
        <f>_xlfn.NORM.S.INV(0.99)*I434*SQRT(10)</f>
        <v>6.3168855442150867E-2</v>
      </c>
      <c r="K434">
        <f>LN(B443)-LN(B434)</f>
        <v>-1.4122375533125009E-2</v>
      </c>
      <c r="L434">
        <f>IF(K434&lt;-(J434),1,0)</f>
        <v>0</v>
      </c>
      <c r="M434" s="72">
        <f t="shared" si="6"/>
        <v>7.6062175593034076E-2</v>
      </c>
      <c r="N434">
        <f>SQRT((N433^2)*0.72+(1-0.72)*(C433^2))</f>
        <v>1.0340669463664728E-2</v>
      </c>
      <c r="O434">
        <f>_xlfn.NORM.S.INV(0.99)*N434*SQRT(10)</f>
        <v>7.607173375684724E-2</v>
      </c>
      <c r="P434">
        <f>LN(B443)-LN(B434)</f>
        <v>-1.4122375533125009E-2</v>
      </c>
      <c r="Q434">
        <f>IF(P434&lt;-(O434),1,0)</f>
        <v>0</v>
      </c>
    </row>
    <row r="435" spans="1:17">
      <c r="A435" s="64">
        <v>41921</v>
      </c>
      <c r="B435">
        <v>1928.209961</v>
      </c>
      <c r="C435" s="68">
        <f>LN(B435)-LN(B434)</f>
        <v>-2.0877848600460602E-2</v>
      </c>
      <c r="D435" s="68"/>
      <c r="E435" s="68"/>
      <c r="F435" s="68"/>
      <c r="G435" s="68"/>
      <c r="H435" s="68"/>
      <c r="I435">
        <f>_xlfn.STDEV.S(C415:C435)</f>
        <v>9.6062141502716806E-3</v>
      </c>
      <c r="J435">
        <f>_xlfn.NORM.S.INV(0.99)*I435*SQRT(10)</f>
        <v>7.0668670710198334E-2</v>
      </c>
      <c r="K435">
        <f>LN(B444)-LN(B435)</f>
        <v>-5.7062762377935172E-4</v>
      </c>
      <c r="L435">
        <f>IF(K435&lt;-(J435),1,0)</f>
        <v>0</v>
      </c>
      <c r="M435" s="72">
        <f t="shared" si="6"/>
        <v>9.3307127472350634E-2</v>
      </c>
      <c r="N435">
        <f>SQRT((N434^2)*0.72+(1-0.72)*(C434^2))</f>
        <v>1.2684498135287306E-2</v>
      </c>
      <c r="O435">
        <f>_xlfn.NORM.S.INV(0.99)*N435*SQRT(10)</f>
        <v>9.3314245115115602E-2</v>
      </c>
      <c r="P435">
        <f>LN(B444)-LN(B435)</f>
        <v>-5.7062762377935172E-4</v>
      </c>
      <c r="Q435">
        <f>IF(P435&lt;-(O435),1,0)</f>
        <v>0</v>
      </c>
    </row>
    <row r="436" spans="1:17">
      <c r="A436" s="64">
        <v>41922</v>
      </c>
      <c r="B436">
        <v>1906.130005</v>
      </c>
      <c r="C436" s="68">
        <f>LN(B436)-LN(B435)</f>
        <v>-1.1517079997145352E-2</v>
      </c>
      <c r="D436" s="68"/>
      <c r="E436" s="68"/>
      <c r="F436" s="68"/>
      <c r="G436" s="68"/>
      <c r="H436" s="68"/>
      <c r="I436">
        <f>_xlfn.STDEV.S(C416:C436)</f>
        <v>9.8222078170273723E-3</v>
      </c>
      <c r="J436">
        <f>_xlfn.NORM.S.INV(0.99)*I436*SQRT(10)</f>
        <v>7.225764062828148E-2</v>
      </c>
      <c r="K436">
        <f>LN(B445)-LN(B436)</f>
        <v>2.3174758129220763E-2</v>
      </c>
      <c r="L436">
        <f>IF(K436&lt;-(J436),1,0)</f>
        <v>0</v>
      </c>
      <c r="M436" s="72">
        <f t="shared" si="6"/>
        <v>0.11346168242489864</v>
      </c>
      <c r="N436">
        <f>SQRT((N435^2)*0.72+(1-0.72)*(C435^2))</f>
        <v>1.5423785278951743E-2</v>
      </c>
      <c r="O436">
        <f>_xlfn.NORM.S.INV(0.99)*N436*SQRT(10)</f>
        <v>0.11346596962469536</v>
      </c>
      <c r="P436">
        <f>LN(B445)-LN(B436)</f>
        <v>2.3174758129220763E-2</v>
      </c>
      <c r="Q436">
        <f>IF(P436&lt;-(O436),1,0)</f>
        <v>0</v>
      </c>
    </row>
    <row r="437" spans="1:17">
      <c r="A437" s="64">
        <v>41925</v>
      </c>
      <c r="B437">
        <v>1874.73999</v>
      </c>
      <c r="C437" s="68">
        <f>LN(B437)-LN(B436)</f>
        <v>-1.6605033389018864E-2</v>
      </c>
      <c r="D437" s="68"/>
      <c r="E437" s="68"/>
      <c r="F437" s="68"/>
      <c r="G437" s="68"/>
      <c r="H437" s="68"/>
      <c r="I437">
        <f>_xlfn.STDEV.S(C417:C437)</f>
        <v>1.0287735593235592E-2</v>
      </c>
      <c r="J437">
        <f>_xlfn.NORM.S.INV(0.99)*I437*SQRT(10)</f>
        <v>7.5682322673536445E-2</v>
      </c>
      <c r="K437">
        <f>LN(B446)-LN(B437)</f>
        <v>4.6808481814293756E-2</v>
      </c>
      <c r="L437">
        <f>IF(K437&lt;-(J437),1,0)</f>
        <v>0</v>
      </c>
      <c r="M437" s="72">
        <f t="shared" si="6"/>
        <v>0.1061987783614928</v>
      </c>
      <c r="N437">
        <f>SQRT((N436^2)*0.72+(1-0.72)*(C436^2))</f>
        <v>1.4436867615360711E-2</v>
      </c>
      <c r="O437">
        <f>_xlfn.NORM.S.INV(0.99)*N437*SQRT(10)</f>
        <v>0.10620565267825081</v>
      </c>
      <c r="P437">
        <f>LN(B446)-LN(B437)</f>
        <v>4.6808481814293756E-2</v>
      </c>
      <c r="Q437">
        <f>IF(P437&lt;-(O437),1,0)</f>
        <v>0</v>
      </c>
    </row>
    <row r="438" spans="1:17">
      <c r="A438" s="64">
        <v>41926</v>
      </c>
      <c r="B438">
        <v>1877.6999510000001</v>
      </c>
      <c r="C438" s="68">
        <f>LN(B438)-LN(B437)</f>
        <v>1.577619714349332E-3</v>
      </c>
      <c r="D438" s="68"/>
      <c r="E438" s="68"/>
      <c r="F438" s="68"/>
      <c r="G438" s="68"/>
      <c r="H438" s="68"/>
      <c r="I438">
        <f>_xlfn.STDEV.S(C418:C438)</f>
        <v>1.0322299703714248E-2</v>
      </c>
      <c r="J438">
        <f>_xlfn.NORM.S.INV(0.99)*I438*SQRT(10)</f>
        <v>7.593659555394458E-2</v>
      </c>
      <c r="K438">
        <f>LN(B447)-LN(B438)</f>
        <v>4.3728165308682954E-2</v>
      </c>
      <c r="L438">
        <f>IF(K438&lt;-(J438),1,0)</f>
        <v>0</v>
      </c>
      <c r="M438" s="72">
        <f t="shared" si="6"/>
        <v>0.11089840599171269</v>
      </c>
      <c r="N438">
        <f>SQRT((N437^2)*0.72+(1-0.72)*(C437^2))</f>
        <v>1.5075419164633711E-2</v>
      </c>
      <c r="O438">
        <f>_xlfn.NORM.S.INV(0.99)*N438*SQRT(10)</f>
        <v>0.11090319413018528</v>
      </c>
      <c r="P438">
        <f>LN(B447)-LN(B438)</f>
        <v>4.3728165308682954E-2</v>
      </c>
      <c r="Q438">
        <f>IF(P438&lt;-(O438),1,0)</f>
        <v>0</v>
      </c>
    </row>
    <row r="439" spans="1:17">
      <c r="A439" s="64">
        <v>41927</v>
      </c>
      <c r="B439">
        <v>1862.48999</v>
      </c>
      <c r="C439" s="68">
        <f>LN(B439)-LN(B438)</f>
        <v>-8.1333007603818785E-3</v>
      </c>
      <c r="D439" s="68"/>
      <c r="E439" s="68"/>
      <c r="F439" s="68"/>
      <c r="G439" s="68"/>
      <c r="H439" s="68"/>
      <c r="I439">
        <f>_xlfn.STDEV.S(C419:C439)</f>
        <v>1.0119577066907701E-2</v>
      </c>
      <c r="J439">
        <f>_xlfn.NORM.S.INV(0.99)*I439*SQRT(10)</f>
        <v>7.4445254736232341E-2</v>
      </c>
      <c r="K439">
        <f>LN(B448)-LN(B439)</f>
        <v>6.3729830662820675E-2</v>
      </c>
      <c r="L439">
        <f>IF(K439&lt;-(J439),1,0)</f>
        <v>0</v>
      </c>
      <c r="M439" s="72">
        <f t="shared" si="6"/>
        <v>9.429433981196586E-2</v>
      </c>
      <c r="N439">
        <f>SQRT((N438^2)*0.72+(1-0.72)*(C438^2))</f>
        <v>1.2819127773060103E-2</v>
      </c>
      <c r="O439">
        <f>_xlfn.NORM.S.INV(0.99)*N439*SQRT(10)</f>
        <v>9.4304655842043839E-2</v>
      </c>
      <c r="P439">
        <f>LN(B448)-LN(B439)</f>
        <v>6.3729830662820675E-2</v>
      </c>
      <c r="Q439">
        <f>IF(P439&lt;-(O439),1,0)</f>
        <v>0</v>
      </c>
    </row>
    <row r="440" spans="1:17">
      <c r="A440" s="64">
        <v>41928</v>
      </c>
      <c r="B440">
        <v>1862.76001</v>
      </c>
      <c r="C440" s="68">
        <f>LN(B440)-LN(B439)</f>
        <v>1.4496745210212936E-4</v>
      </c>
      <c r="D440" s="68"/>
      <c r="E440" s="68"/>
      <c r="F440" s="68"/>
      <c r="G440" s="68"/>
      <c r="H440" s="68"/>
      <c r="I440">
        <f>_xlfn.STDEV.S(C420:C440)</f>
        <v>1.0096171565812656E-2</v>
      </c>
      <c r="J440">
        <f>_xlfn.NORM.S.INV(0.99)*I440*SQRT(10)</f>
        <v>7.4273070811970557E-2</v>
      </c>
      <c r="K440">
        <f>LN(B449)-LN(B440)</f>
        <v>6.2198547220195799E-2</v>
      </c>
      <c r="L440">
        <f>IF(K440&lt;-(J440),1,0)</f>
        <v>0</v>
      </c>
      <c r="M440" s="72">
        <f t="shared" si="6"/>
        <v>8.604759438708949E-2</v>
      </c>
      <c r="N440">
        <f>SQRT((N439^2)*0.72+(1-0.72)*(C439^2))</f>
        <v>1.1697854046496793E-2</v>
      </c>
      <c r="O440">
        <f>_xlfn.NORM.S.INV(0.99)*N440*SQRT(10)</f>
        <v>8.6055940737534281E-2</v>
      </c>
      <c r="P440">
        <f>LN(B449)-LN(B440)</f>
        <v>6.2198547220195799E-2</v>
      </c>
      <c r="Q440">
        <f>IF(P440&lt;-(O440),1,0)</f>
        <v>0</v>
      </c>
    </row>
    <row r="441" spans="1:17">
      <c r="A441" s="64">
        <v>41929</v>
      </c>
      <c r="B441">
        <v>1886.76001</v>
      </c>
      <c r="C441" s="68">
        <f>LN(B441)-LN(B440)</f>
        <v>1.2801813375546089E-2</v>
      </c>
      <c r="D441" s="68"/>
      <c r="E441" s="68"/>
      <c r="F441" s="68"/>
      <c r="G441" s="68"/>
      <c r="H441" s="68"/>
      <c r="I441">
        <f>_xlfn.STDEV.S(C421:C441)</f>
        <v>1.0559294344000473E-2</v>
      </c>
      <c r="J441">
        <f>_xlfn.NORM.S.INV(0.99)*I441*SQRT(10)</f>
        <v>7.7680060350010516E-2</v>
      </c>
      <c r="K441">
        <f>LN(B450)-LN(B441)</f>
        <v>5.560753079823133E-2</v>
      </c>
      <c r="L441">
        <f>IF(K441&lt;-(J441),1,0)</f>
        <v>0</v>
      </c>
      <c r="M441" s="72">
        <f t="shared" si="6"/>
        <v>7.3012522953191286E-2</v>
      </c>
      <c r="N441">
        <f>SQRT((N440^2)*0.72+(1-0.72)*(C440^2))</f>
        <v>9.9262547140635642E-3</v>
      </c>
      <c r="O441">
        <f>_xlfn.NORM.S.INV(0.99)*N441*SQRT(10)</f>
        <v>7.3023067651877507E-2</v>
      </c>
      <c r="P441">
        <f>LN(B450)-LN(B441)</f>
        <v>5.560753079823133E-2</v>
      </c>
      <c r="Q441">
        <f>IF(P441&lt;-(O441),1,0)</f>
        <v>0</v>
      </c>
    </row>
    <row r="442" spans="1:17">
      <c r="A442" s="64">
        <v>41932</v>
      </c>
      <c r="B442">
        <v>1904.01001</v>
      </c>
      <c r="C442" s="68">
        <f>LN(B442)-LN(B441)</f>
        <v>9.1011161201555169E-3</v>
      </c>
      <c r="D442" s="68"/>
      <c r="E442" s="68"/>
      <c r="F442" s="68"/>
      <c r="G442" s="68"/>
      <c r="H442" s="68"/>
      <c r="I442">
        <f>_xlfn.STDEV.S(C422:C442)</f>
        <v>1.0877833128719171E-2</v>
      </c>
      <c r="J442">
        <f>_xlfn.NORM.S.INV(0.99)*I442*SQRT(10)</f>
        <v>8.0023409366966974E-2</v>
      </c>
      <c r="K442">
        <f>LN(B451)-LN(B442)</f>
        <v>5.8169529203979664E-2</v>
      </c>
      <c r="L442">
        <f>IF(K442&lt;-(J442),1,0)</f>
        <v>0</v>
      </c>
      <c r="M442" s="72">
        <f t="shared" si="6"/>
        <v>7.9508569236691126E-2</v>
      </c>
      <c r="N442">
        <f>SQRT((N441^2)*0.72+(1-0.72)*(C441^2))</f>
        <v>1.0808801168656254E-2</v>
      </c>
      <c r="O442">
        <f>_xlfn.NORM.S.INV(0.99)*N442*SQRT(10)</f>
        <v>7.9515571754994963E-2</v>
      </c>
      <c r="P442">
        <f>LN(B451)-LN(B442)</f>
        <v>5.8169529203979664E-2</v>
      </c>
      <c r="Q442">
        <f>IF(P442&lt;-(O442),1,0)</f>
        <v>0</v>
      </c>
    </row>
    <row r="443" spans="1:17">
      <c r="A443" s="64">
        <v>41933</v>
      </c>
      <c r="B443">
        <v>1941.280029</v>
      </c>
      <c r="C443" s="68">
        <f>LN(B443)-LN(B442)</f>
        <v>1.938537055172862E-2</v>
      </c>
      <c r="D443" s="68"/>
      <c r="E443" s="68"/>
      <c r="F443" s="68"/>
      <c r="G443" s="68"/>
      <c r="H443" s="68"/>
      <c r="I443">
        <f>_xlfn.STDEV.S(C423:C443)</f>
        <v>1.1797920949754051E-2</v>
      </c>
      <c r="J443">
        <f>_xlfn.NORM.S.INV(0.99)*I443*SQRT(10)</f>
        <v>8.6792088706406756E-2</v>
      </c>
      <c r="K443">
        <f>LN(B452)-LN(B443)</f>
        <v>3.8665229852015592E-2</v>
      </c>
      <c r="L443">
        <f>IF(K443&lt;-(J443),1,0)</f>
        <v>0</v>
      </c>
      <c r="M443" s="72">
        <f t="shared" si="6"/>
        <v>7.6192776038240734E-2</v>
      </c>
      <c r="N443">
        <f>SQRT((N442^2)*0.72+(1-0.72)*(C442^2))</f>
        <v>1.0359064612389843E-2</v>
      </c>
      <c r="O443">
        <f>_xlfn.NORM.S.INV(0.99)*N443*SQRT(10)</f>
        <v>7.6207058733740826E-2</v>
      </c>
      <c r="P443">
        <f>LN(B452)-LN(B443)</f>
        <v>3.8665229852015592E-2</v>
      </c>
      <c r="Q443">
        <f>IF(P443&lt;-(O443),1,0)</f>
        <v>0</v>
      </c>
    </row>
    <row r="444" spans="1:17">
      <c r="A444" s="64">
        <v>41934</v>
      </c>
      <c r="B444">
        <v>1927.1099850000001</v>
      </c>
      <c r="C444" s="68">
        <f>LN(B444)-LN(B443)</f>
        <v>-7.3261006911149451E-3</v>
      </c>
      <c r="D444" s="68"/>
      <c r="E444" s="68"/>
      <c r="F444" s="68"/>
      <c r="G444" s="68"/>
      <c r="H444" s="68"/>
      <c r="I444">
        <f>_xlfn.STDEV.S(C424:C444)</f>
        <v>1.1831914378897032E-2</v>
      </c>
      <c r="J444">
        <f>_xlfn.NORM.S.INV(0.99)*I444*SQRT(10)</f>
        <v>8.704216333651979E-2</v>
      </c>
      <c r="K444">
        <f>LN(B453)-LN(B444)</f>
        <v>4.3157477294919033E-2</v>
      </c>
      <c r="L444">
        <f>IF(K444&lt;-(J444),1,0)</f>
        <v>0</v>
      </c>
      <c r="M444" s="72">
        <f t="shared" si="6"/>
        <v>9.9366145354012073E-2</v>
      </c>
      <c r="N444">
        <f>SQRT((N443^2)*0.72+(1-0.72)*(C443^2))</f>
        <v>1.3508711402026185E-2</v>
      </c>
      <c r="O444">
        <f>_xlfn.NORM.S.INV(0.99)*N444*SQRT(10)</f>
        <v>9.9377617743603111E-2</v>
      </c>
      <c r="P444">
        <f>LN(B453)-LN(B444)</f>
        <v>4.3157477294919033E-2</v>
      </c>
      <c r="Q444">
        <f>IF(P444&lt;-(O444),1,0)</f>
        <v>0</v>
      </c>
    </row>
    <row r="445" spans="1:17">
      <c r="A445" s="64">
        <v>41935</v>
      </c>
      <c r="B445">
        <v>1950.8199460000001</v>
      </c>
      <c r="C445" s="68">
        <f>LN(B445)-LN(B444)</f>
        <v>1.2228305755854763E-2</v>
      </c>
      <c r="D445" s="68"/>
      <c r="E445" s="68"/>
      <c r="F445" s="68"/>
      <c r="G445" s="68"/>
      <c r="H445" s="68"/>
      <c r="I445">
        <f>_xlfn.STDEV.S(C425:C445)</f>
        <v>1.2040794656445015E-2</v>
      </c>
      <c r="J445">
        <f>_xlfn.NORM.S.INV(0.99)*I445*SQRT(10)</f>
        <v>8.8578803194946806E-2</v>
      </c>
      <c r="K445">
        <f>LN(B454)-LN(B445)</f>
        <v>3.6613482251235396E-2</v>
      </c>
      <c r="L445">
        <f>IF(K445&lt;-(J445),1,0)</f>
        <v>0</v>
      </c>
      <c r="M445" s="72">
        <f t="shared" si="6"/>
        <v>8.9000144313457069E-2</v>
      </c>
      <c r="N445">
        <f>SQRT((N444^2)*0.72+(1-0.72)*(C444^2))</f>
        <v>1.210030969311557E-2</v>
      </c>
      <c r="O445">
        <f>_xlfn.NORM.S.INV(0.99)*N445*SQRT(10)</f>
        <v>8.9016629008840192E-2</v>
      </c>
      <c r="P445">
        <f>LN(B454)-LN(B445)</f>
        <v>3.6613482251235396E-2</v>
      </c>
      <c r="Q445">
        <f>IF(P445&lt;-(O445),1,0)</f>
        <v>0</v>
      </c>
    </row>
    <row r="446" spans="1:17">
      <c r="A446" s="64">
        <v>41936</v>
      </c>
      <c r="B446">
        <v>1964.579956</v>
      </c>
      <c r="C446" s="68">
        <f>LN(B446)-LN(B445)</f>
        <v>7.0286902960541298E-3</v>
      </c>
      <c r="D446" s="68"/>
      <c r="E446" s="68"/>
      <c r="F446" s="68"/>
      <c r="G446" s="68"/>
      <c r="H446" s="68"/>
      <c r="I446">
        <f>_xlfn.STDEV.S(C426:C446)</f>
        <v>1.1642184479870355E-2</v>
      </c>
      <c r="J446">
        <f>_xlfn.NORM.S.INV(0.99)*I446*SQRT(10)</f>
        <v>8.564640434671876E-2</v>
      </c>
      <c r="K446">
        <f>LN(B455)-LN(B446)</f>
        <v>3.3353195773126565E-2</v>
      </c>
      <c r="L446">
        <f>IF(K446&lt;-(J446),1,0)</f>
        <v>0</v>
      </c>
      <c r="M446" s="72">
        <f t="shared" si="6"/>
        <v>8.9237830140100671E-2</v>
      </c>
      <c r="N446">
        <f>SQRT((N445^2)*0.72+(1-0.72)*(C445^2))</f>
        <v>1.2136284663204327E-2</v>
      </c>
      <c r="O446">
        <f>_xlfn.NORM.S.INV(0.99)*N446*SQRT(10)</f>
        <v>8.9281280959675566E-2</v>
      </c>
      <c r="P446">
        <f>LN(B455)-LN(B446)</f>
        <v>3.3353195773126565E-2</v>
      </c>
      <c r="Q446">
        <f>IF(P446&lt;-(O446),1,0)</f>
        <v>0</v>
      </c>
    </row>
    <row r="447" spans="1:17">
      <c r="A447" s="64">
        <v>41939</v>
      </c>
      <c r="B447">
        <v>1961.630005</v>
      </c>
      <c r="C447" s="68">
        <f>LN(B447)-LN(B446)</f>
        <v>-1.5026967912614708E-3</v>
      </c>
      <c r="D447" s="68"/>
      <c r="E447" s="68"/>
      <c r="F447" s="68"/>
      <c r="G447" s="68"/>
      <c r="H447" s="68"/>
      <c r="I447">
        <f>_xlfn.STDEV.S(C427:C447)</f>
        <v>1.1477500119015781E-2</v>
      </c>
      <c r="J447">
        <f>_xlfn.NORM.S.INV(0.99)*I447*SQRT(10)</f>
        <v>8.4434894308914515E-2</v>
      </c>
      <c r="K447">
        <f>LN(B456)-LN(B447)</f>
        <v>3.5205417687313556E-2</v>
      </c>
      <c r="L447">
        <f>IF(K447&lt;-(J447),1,0)</f>
        <v>0</v>
      </c>
      <c r="M447" s="72">
        <f t="shared" si="6"/>
        <v>8.0502814579995779E-2</v>
      </c>
      <c r="N447">
        <f>SQRT((N446^2)*0.72+(1-0.72)*(C446^2))</f>
        <v>1.0949021341871305E-2</v>
      </c>
      <c r="O447">
        <f>_xlfn.NORM.S.INV(0.99)*N447*SQRT(10)</f>
        <v>8.0547109579662463E-2</v>
      </c>
      <c r="P447">
        <f>LN(B456)-LN(B447)</f>
        <v>3.5205417687313556E-2</v>
      </c>
      <c r="Q447">
        <f>IF(P447&lt;-(O447),1,0)</f>
        <v>0</v>
      </c>
    </row>
    <row r="448" spans="1:17">
      <c r="A448" s="64">
        <v>41940</v>
      </c>
      <c r="B448">
        <v>1985.0500489999999</v>
      </c>
      <c r="C448" s="68">
        <f>LN(B448)-LN(B447)</f>
        <v>1.1868364593755842E-2</v>
      </c>
      <c r="D448" s="68"/>
      <c r="E448" s="68"/>
      <c r="F448" s="68"/>
      <c r="G448" s="68"/>
      <c r="H448" s="68"/>
      <c r="I448">
        <f>_xlfn.STDEV.S(C428:C448)</f>
        <v>1.1776864181274549E-2</v>
      </c>
      <c r="J448">
        <f>_xlfn.NORM.S.INV(0.99)*I448*SQRT(10)</f>
        <v>8.6637183369650678E-2</v>
      </c>
      <c r="K448">
        <f>LN(B457)-LN(B448)</f>
        <v>2.6452380201189563E-2</v>
      </c>
      <c r="L448">
        <f>IF(K448&lt;-(J448),1,0)</f>
        <v>0</v>
      </c>
      <c r="M448" s="72">
        <f t="shared" si="6"/>
        <v>6.8557901027767112E-2</v>
      </c>
      <c r="N448">
        <f>SQRT((N447^2)*0.72+(1-0.72)*(C447^2))</f>
        <v>9.3245180330799558E-3</v>
      </c>
      <c r="O448">
        <f>_xlfn.NORM.S.INV(0.99)*N448*SQRT(10)</f>
        <v>6.8596356910531439E-2</v>
      </c>
      <c r="P448">
        <f>LN(B457)-LN(B448)</f>
        <v>2.6452380201189563E-2</v>
      </c>
      <c r="Q448">
        <f>IF(P448&lt;-(O448),1,0)</f>
        <v>0</v>
      </c>
    </row>
    <row r="449" spans="1:17">
      <c r="A449" s="64">
        <v>41941</v>
      </c>
      <c r="B449">
        <v>1982.3000489999999</v>
      </c>
      <c r="C449" s="68">
        <f>LN(B449)-LN(B448)</f>
        <v>-1.3863159905227462E-3</v>
      </c>
      <c r="D449" s="68"/>
      <c r="E449" s="68"/>
      <c r="F449" s="68"/>
      <c r="G449" s="68"/>
      <c r="H449" s="68"/>
      <c r="I449">
        <f>_xlfn.STDEV.S(C429:C449)</f>
        <v>1.1763176672185521E-2</v>
      </c>
      <c r="J449">
        <f>_xlfn.NORM.S.INV(0.99)*I449*SQRT(10)</f>
        <v>8.6536490416368128E-2</v>
      </c>
      <c r="K449">
        <f>LN(B458)-LN(B449)</f>
        <v>2.8535147848732123E-2</v>
      </c>
      <c r="L449">
        <f>IF(K449&lt;-(J449),1,0)</f>
        <v>0</v>
      </c>
      <c r="M449" s="72">
        <f t="shared" si="6"/>
        <v>7.4286161522041094E-2</v>
      </c>
      <c r="N449">
        <f>SQRT((N448^2)*0.72+(1-0.72)*(C448^2))</f>
        <v>1.0101576124147004E-2</v>
      </c>
      <c r="O449">
        <f>_xlfn.NORM.S.INV(0.99)*N449*SQRT(10)</f>
        <v>7.4312829758345217E-2</v>
      </c>
      <c r="P449">
        <f>LN(B458)-LN(B449)</f>
        <v>2.8535147848732123E-2</v>
      </c>
      <c r="Q449">
        <f>IF(P449&lt;-(O449),1,0)</f>
        <v>0</v>
      </c>
    </row>
    <row r="450" spans="1:17">
      <c r="A450" s="64">
        <v>41942</v>
      </c>
      <c r="B450">
        <v>1994.650024</v>
      </c>
      <c r="C450" s="68">
        <f>LN(B450)-LN(B449)</f>
        <v>6.210796953581621E-3</v>
      </c>
      <c r="D450" s="68"/>
      <c r="E450" s="68"/>
      <c r="F450" s="68"/>
      <c r="G450" s="68"/>
      <c r="H450" s="68"/>
      <c r="I450">
        <f>_xlfn.STDEV.S(C430:C450)</f>
        <v>1.1402896633162046E-2</v>
      </c>
      <c r="J450">
        <f>_xlfn.NORM.S.INV(0.99)*I450*SQRT(10)</f>
        <v>8.3886069444804923E-2</v>
      </c>
      <c r="K450">
        <f>LN(B459)-LN(B450)</f>
        <v>2.1622988174512692E-2</v>
      </c>
      <c r="L450">
        <f>IF(K450&lt;-(J450),1,0)</f>
        <v>0</v>
      </c>
      <c r="M450" s="72">
        <f t="shared" si="6"/>
        <v>6.3234617750093564E-2</v>
      </c>
      <c r="N450">
        <f>SQRT((N449^2)*0.72+(1-0.72)*(C449^2))</f>
        <v>8.6028047231909571E-3</v>
      </c>
      <c r="O450">
        <f>_xlfn.NORM.S.INV(0.99)*N450*SQRT(10)</f>
        <v>6.3287031150573186E-2</v>
      </c>
      <c r="P450">
        <f>LN(B459)-LN(B450)</f>
        <v>2.1622988174512692E-2</v>
      </c>
      <c r="Q450">
        <f>IF(P450&lt;-(O450),1,0)</f>
        <v>0</v>
      </c>
    </row>
    <row r="451" spans="1:17">
      <c r="A451" s="64">
        <v>41943</v>
      </c>
      <c r="B451">
        <v>2018.0500489999999</v>
      </c>
      <c r="C451" s="68">
        <f>LN(B451)-LN(B450)</f>
        <v>1.166311452590385E-2</v>
      </c>
      <c r="D451" s="68"/>
      <c r="E451" s="68"/>
      <c r="F451" s="68"/>
      <c r="G451" s="68"/>
      <c r="H451" s="68"/>
      <c r="I451">
        <f>_xlfn.STDEV.S(C431:C451)</f>
        <v>1.1624871882941453E-2</v>
      </c>
      <c r="J451">
        <f>_xlfn.NORM.S.INV(0.99)*I451*SQRT(10)</f>
        <v>8.5519043224806621E-2</v>
      </c>
      <c r="K451">
        <f>LN(B460)-LN(B451)</f>
        <v>1.048957805019235E-2</v>
      </c>
      <c r="L451">
        <f>IF(K451&lt;-(J451),1,0)</f>
        <v>0</v>
      </c>
      <c r="M451" s="72">
        <f t="shared" si="6"/>
        <v>5.8851743393610323E-2</v>
      </c>
      <c r="N451">
        <f>SQRT((N450^2)*0.72+(1-0.72)*(C450^2))</f>
        <v>8.005414356513349E-3</v>
      </c>
      <c r="O451">
        <f>_xlfn.NORM.S.INV(0.99)*N451*SQRT(10)</f>
        <v>5.889229432212234E-2</v>
      </c>
      <c r="P451">
        <f>LN(B460)-LN(B451)</f>
        <v>1.048957805019235E-2</v>
      </c>
      <c r="Q451">
        <f>IF(P451&lt;-(O451),1,0)</f>
        <v>0</v>
      </c>
    </row>
    <row r="452" spans="1:17">
      <c r="A452" s="64">
        <v>41946</v>
      </c>
      <c r="B452">
        <v>2017.8100589999999</v>
      </c>
      <c r="C452" s="68">
        <f>LN(B452)-LN(B451)</f>
        <v>-1.189288002354516E-4</v>
      </c>
      <c r="D452" s="68"/>
      <c r="E452" s="68"/>
      <c r="F452" s="68"/>
      <c r="G452" s="68"/>
      <c r="H452" s="68"/>
      <c r="I452">
        <f>_xlfn.STDEV.S(C432:C452)</f>
        <v>1.1428567537525323E-2</v>
      </c>
      <c r="J452">
        <f>_xlfn.NORM.S.INV(0.99)*I452*SQRT(10)</f>
        <v>8.4074918939403179E-2</v>
      </c>
      <c r="K452">
        <f>LN(B461)-LN(B452)</f>
        <v>1.0848748084081983E-2</v>
      </c>
      <c r="L452">
        <f>IF(K452&lt;-(J452),1,0)</f>
        <v>0</v>
      </c>
      <c r="M452" s="72">
        <f t="shared" si="6"/>
        <v>6.7471464844383044E-2</v>
      </c>
      <c r="N452">
        <f>SQRT((N451^2)*0.72+(1-0.72)*(C451^2))</f>
        <v>9.1777067842918284E-3</v>
      </c>
      <c r="O452">
        <f>_xlfn.NORM.S.INV(0.99)*N452*SQRT(10)</f>
        <v>6.7516331456709155E-2</v>
      </c>
      <c r="P452">
        <f>LN(B461)-LN(B452)</f>
        <v>1.0848748084081983E-2</v>
      </c>
      <c r="Q452">
        <f>IF(P452&lt;-(O452),1,0)</f>
        <v>0</v>
      </c>
    </row>
    <row r="453" spans="1:17">
      <c r="A453" s="64">
        <v>41947</v>
      </c>
      <c r="B453">
        <v>2012.099976</v>
      </c>
      <c r="C453" s="68">
        <f>LN(B453)-LN(B452)</f>
        <v>-2.8338532482115042E-3</v>
      </c>
      <c r="D453" s="68"/>
      <c r="E453" s="68"/>
      <c r="F453" s="68"/>
      <c r="G453" s="68"/>
      <c r="H453" s="68"/>
      <c r="I453">
        <f>_xlfn.STDEV.S(C433:C453)</f>
        <v>1.1447198538023074E-2</v>
      </c>
      <c r="J453">
        <f>_xlfn.NORM.S.INV(0.99)*I453*SQRT(10)</f>
        <v>8.4211978973520771E-2</v>
      </c>
      <c r="K453">
        <f>LN(B462)-LN(B453)</f>
        <v>1.4417690110056114E-2</v>
      </c>
      <c r="L453">
        <f>IF(K453&lt;-(J453),1,0)</f>
        <v>0</v>
      </c>
      <c r="M453" s="72">
        <f t="shared" si="6"/>
        <v>5.7252853067135172E-2</v>
      </c>
      <c r="N453">
        <f>SQRT((N452^2)*0.72+(1-0.72)*(C452^2))</f>
        <v>7.7877967131879614E-3</v>
      </c>
      <c r="O453">
        <f>_xlfn.NORM.S.INV(0.99)*N453*SQRT(10)</f>
        <v>5.7291377526356727E-2</v>
      </c>
      <c r="P453">
        <f>LN(B462)-LN(B453)</f>
        <v>1.4417690110056114E-2</v>
      </c>
      <c r="Q453">
        <f>IF(P453&lt;-(O453),1,0)</f>
        <v>0</v>
      </c>
    </row>
    <row r="454" spans="1:17">
      <c r="A454" s="64">
        <v>41948</v>
      </c>
      <c r="B454">
        <v>2023.5699460000001</v>
      </c>
      <c r="C454" s="68">
        <f>LN(B454)-LN(B453)</f>
        <v>5.6843107121711256E-3</v>
      </c>
      <c r="D454" s="68"/>
      <c r="E454" s="68"/>
      <c r="F454" s="68"/>
      <c r="G454" s="68"/>
      <c r="H454" s="68"/>
      <c r="I454">
        <f>_xlfn.STDEV.S(C434:C454)</f>
        <v>1.0845576310738686E-2</v>
      </c>
      <c r="J454">
        <f>_xlfn.NORM.S.INV(0.99)*I454*SQRT(10)</f>
        <v>7.9786110217441239E-2</v>
      </c>
      <c r="K454">
        <f>LN(B463)-LN(B454)</f>
        <v>1.3854228976946104E-2</v>
      </c>
      <c r="L454">
        <f>IF(K454&lt;-(J454),1,0)</f>
        <v>0</v>
      </c>
      <c r="M454" s="72">
        <f t="shared" si="6"/>
        <v>4.976784093251075E-2</v>
      </c>
      <c r="N454">
        <f>SQRT((N453^2)*0.72+(1-0.72)*(C453^2))</f>
        <v>6.7761672566539677E-3</v>
      </c>
      <c r="O454">
        <f>_xlfn.NORM.S.INV(0.99)*N454*SQRT(10)</f>
        <v>4.9849266844021398E-2</v>
      </c>
      <c r="P454">
        <f>LN(B463)-LN(B454)</f>
        <v>1.3854228976946104E-2</v>
      </c>
      <c r="Q454">
        <f>IF(P454&lt;-(O454),1,0)</f>
        <v>0</v>
      </c>
    </row>
    <row r="455" spans="1:17">
      <c r="A455" s="64">
        <v>41949</v>
      </c>
      <c r="B455">
        <v>2031.209961</v>
      </c>
      <c r="C455" s="68">
        <f>LN(B455)-LN(B454)</f>
        <v>3.7684038179452983E-3</v>
      </c>
      <c r="D455" s="68"/>
      <c r="E455" s="68"/>
      <c r="F455" s="68"/>
      <c r="G455" s="68"/>
      <c r="H455" s="68"/>
      <c r="I455">
        <f>_xlfn.STDEV.S(C435:C455)</f>
        <v>1.0285881477315644E-2</v>
      </c>
      <c r="J455">
        <f>_xlfn.NORM.S.INV(0.99)*I455*SQRT(10)</f>
        <v>7.5668682762396036E-2</v>
      </c>
      <c r="K455">
        <f>LN(B464)-LN(B455)</f>
        <v>8.5835383445216351E-3</v>
      </c>
      <c r="L455">
        <f>IF(K455&lt;-(J455),1,0)</f>
        <v>0</v>
      </c>
      <c r="M455" s="72">
        <f t="shared" si="6"/>
        <v>4.7608640475213619E-2</v>
      </c>
      <c r="N455">
        <f>SQRT((N454^2)*0.72+(1-0.72)*(C454^2))</f>
        <v>6.488992791890625E-3</v>
      </c>
      <c r="O455">
        <f>_xlfn.NORM.S.INV(0.99)*N455*SQRT(10)</f>
        <v>4.7736651263182592E-2</v>
      </c>
      <c r="P455">
        <f>LN(B464)-LN(B455)</f>
        <v>8.5835383445216351E-3</v>
      </c>
      <c r="Q455">
        <f>IF(P455&lt;-(O455),1,0)</f>
        <v>0</v>
      </c>
    </row>
    <row r="456" spans="1:17">
      <c r="A456" s="64">
        <v>41950</v>
      </c>
      <c r="B456">
        <v>2031.920044</v>
      </c>
      <c r="C456" s="68">
        <f>LN(B456)-LN(B455)</f>
        <v>3.4952512292552029E-4</v>
      </c>
      <c r="D456" s="68"/>
      <c r="E456" s="68"/>
      <c r="F456" s="68"/>
      <c r="G456" s="68"/>
      <c r="H456" s="68"/>
      <c r="I456">
        <f>_xlfn.STDEV.S(C436:C456)</f>
        <v>8.9324389857862244E-3</v>
      </c>
      <c r="J456">
        <f>_xlfn.NORM.S.INV(0.99)*I456*SQRT(10)</f>
        <v>6.5712004693088383E-2</v>
      </c>
      <c r="K456">
        <f>LN(B465)-LN(B456)</f>
        <v>1.0199177089892153E-2</v>
      </c>
      <c r="L456">
        <f>IF(K456&lt;-(J456),1,0)</f>
        <v>0</v>
      </c>
      <c r="M456" s="72">
        <f t="shared" si="6"/>
        <v>4.2870401503113276E-2</v>
      </c>
      <c r="N456">
        <f>SQRT((N455^2)*0.72+(1-0.72)*(C455^2))</f>
        <v>5.8560483792519536E-3</v>
      </c>
      <c r="O456">
        <f>_xlfn.NORM.S.INV(0.99)*N456*SQRT(10)</f>
        <v>4.3080359036618276E-2</v>
      </c>
      <c r="P456">
        <f>LN(B465)-LN(B456)</f>
        <v>1.0199177089892153E-2</v>
      </c>
      <c r="Q456">
        <f>IF(P456&lt;-(O456),1,0)</f>
        <v>0</v>
      </c>
    </row>
    <row r="457" spans="1:17">
      <c r="A457" s="64">
        <v>41953</v>
      </c>
      <c r="B457">
        <v>2038.26001</v>
      </c>
      <c r="C457" s="68">
        <f>LN(B457)-LN(B456)</f>
        <v>3.1153271076318489E-3</v>
      </c>
      <c r="D457" s="68"/>
      <c r="E457" s="68"/>
      <c r="F457" s="68"/>
      <c r="G457" s="68"/>
      <c r="H457" s="68"/>
      <c r="I457">
        <f>_xlfn.STDEV.S(C437:C457)</f>
        <v>8.3355515533107289E-3</v>
      </c>
      <c r="J457">
        <f>_xlfn.NORM.S.INV(0.99)*I457*SQRT(10)</f>
        <v>6.1320967729221236E-2</v>
      </c>
      <c r="K457">
        <f>LN(B466)-LN(B457)</f>
        <v>1.2307062585998452E-2</v>
      </c>
      <c r="L457">
        <f>IF(K457&lt;-(J457),1,0)</f>
        <v>0</v>
      </c>
      <c r="M457" s="72">
        <f t="shared" si="6"/>
        <v>3.6363460259147294E-2</v>
      </c>
      <c r="N457">
        <f>SQRT((N456^2)*0.72+(1-0.72)*(C456^2))</f>
        <v>4.9724626568468161E-3</v>
      </c>
      <c r="O457">
        <f>_xlfn.NORM.S.INV(0.99)*N457*SQRT(10)</f>
        <v>3.6580209499652627E-2</v>
      </c>
      <c r="P457">
        <f>LN(B466)-LN(B457)</f>
        <v>1.2307062585998452E-2</v>
      </c>
      <c r="Q457">
        <f>IF(P457&lt;-(O457),1,0)</f>
        <v>0</v>
      </c>
    </row>
    <row r="458" spans="1:17">
      <c r="A458" s="64">
        <v>41954</v>
      </c>
      <c r="B458">
        <v>2039.6800539999999</v>
      </c>
      <c r="C458" s="68">
        <f>LN(B458)-LN(B457)</f>
        <v>6.9645165701981426E-4</v>
      </c>
      <c r="D458" s="68"/>
      <c r="E458" s="68"/>
      <c r="F458" s="68"/>
      <c r="G458" s="68"/>
      <c r="H458" s="68"/>
      <c r="I458">
        <f>_xlfn.STDEV.S(C438:C458)</f>
        <v>7.0345454017883982E-3</v>
      </c>
      <c r="J458">
        <f>_xlfn.NORM.S.INV(0.99)*I458*SQRT(10)</f>
        <v>5.1750040631861678E-2</v>
      </c>
      <c r="K458">
        <f>LN(B467)-LN(B458)</f>
        <v>1.4470540689864642E-2</v>
      </c>
      <c r="L458">
        <f>IF(K458&lt;-(J458),1,0)</f>
        <v>0</v>
      </c>
      <c r="M458" s="72">
        <f t="shared" si="6"/>
        <v>3.3064591590698293E-2</v>
      </c>
      <c r="N458">
        <f>SQRT((N457^2)*0.72+(1-0.72)*(C457^2))</f>
        <v>4.5298731489527184E-3</v>
      </c>
      <c r="O458">
        <f>_xlfn.NORM.S.INV(0.99)*N458*SQRT(10)</f>
        <v>3.3324274153648276E-2</v>
      </c>
      <c r="P458">
        <f>LN(B467)-LN(B458)</f>
        <v>1.4470540689864642E-2</v>
      </c>
      <c r="Q458">
        <f>IF(P458&lt;-(O458),1,0)</f>
        <v>0</v>
      </c>
    </row>
    <row r="459" spans="1:17">
      <c r="A459" s="64">
        <v>41955</v>
      </c>
      <c r="B459">
        <v>2038.25</v>
      </c>
      <c r="C459" s="68">
        <f>LN(B459)-LN(B458)</f>
        <v>-7.0136272063781036E-4</v>
      </c>
      <c r="D459" s="68"/>
      <c r="E459" s="68"/>
      <c r="F459" s="68"/>
      <c r="G459" s="68"/>
      <c r="H459" s="68"/>
      <c r="I459">
        <f>_xlfn.STDEV.S(C439:C459)</f>
        <v>7.0913829583851519E-3</v>
      </c>
      <c r="J459">
        <f>_xlfn.NORM.S.INV(0.99)*I459*SQRT(10)</f>
        <v>5.2168169408534297E-2</v>
      </c>
      <c r="K459">
        <f>LN(B468)-LN(B459)</f>
        <v>1.4021211851313886E-2</v>
      </c>
      <c r="L459">
        <f>IF(K459&lt;-(J459),1,0)</f>
        <v>0</v>
      </c>
      <c r="M459" s="72">
        <f t="shared" si="6"/>
        <v>2.8185981714887884E-2</v>
      </c>
      <c r="N459">
        <f>SQRT((N458^2)*0.72+(1-0.72)*(C458^2))</f>
        <v>3.8613512028553435E-3</v>
      </c>
      <c r="O459">
        <f>_xlfn.NORM.S.INV(0.99)*N459*SQRT(10)</f>
        <v>2.8406253741833885E-2</v>
      </c>
      <c r="P459">
        <f>LN(B468)-LN(B459)</f>
        <v>1.4021211851313886E-2</v>
      </c>
      <c r="Q459">
        <f>IF(P459&lt;-(O459),1,0)</f>
        <v>0</v>
      </c>
    </row>
    <row r="460" spans="1:17">
      <c r="A460" s="64">
        <v>41956</v>
      </c>
      <c r="B460">
        <v>2039.329956</v>
      </c>
      <c r="C460" s="68">
        <f>LN(B460)-LN(B459)</f>
        <v>5.297044015835084E-4</v>
      </c>
      <c r="D460" s="68"/>
      <c r="E460" s="68"/>
      <c r="F460" s="68"/>
      <c r="G460" s="68"/>
      <c r="H460" s="68"/>
      <c r="I460">
        <f>_xlfn.STDEV.S(C440:C460)</f>
        <v>6.5902211887148921E-3</v>
      </c>
      <c r="J460">
        <f>_xlfn.NORM.S.INV(0.99)*I460*SQRT(10)</f>
        <v>4.8481343826745016E-2</v>
      </c>
      <c r="K460">
        <f>LN(B469)-LN(B460)</f>
        <v>1.6293560004654317E-2</v>
      </c>
      <c r="L460">
        <f>IF(K460&lt;-(J460),1,0)</f>
        <v>0</v>
      </c>
      <c r="M460" s="72">
        <f t="shared" si="6"/>
        <v>2.4042726479904419E-2</v>
      </c>
      <c r="N460">
        <f>SQRT((N459^2)*0.72+(1-0.72)*(C459^2))</f>
        <v>3.2974169507271394E-3</v>
      </c>
      <c r="O460">
        <f>_xlfn.NORM.S.INV(0.99)*N460*SQRT(10)</f>
        <v>2.4257638757571542E-2</v>
      </c>
      <c r="P460">
        <f>LN(B469)-LN(B460)</f>
        <v>1.6293560004654317E-2</v>
      </c>
      <c r="Q460">
        <f>IF(P460&lt;-(O460),1,0)</f>
        <v>0</v>
      </c>
    </row>
    <row r="461" spans="1:17">
      <c r="A461" s="64">
        <v>41957</v>
      </c>
      <c r="B461">
        <v>2039.8199460000001</v>
      </c>
      <c r="C461" s="68">
        <f>LN(B461)-LN(B460)</f>
        <v>2.4024123365418149E-4</v>
      </c>
      <c r="D461" s="68"/>
      <c r="E461" s="68"/>
      <c r="F461" s="68"/>
      <c r="G461" s="68"/>
      <c r="H461" s="68"/>
      <c r="I461">
        <f>_xlfn.STDEV.S(C441:C461)</f>
        <v>6.5872358649764692E-3</v>
      </c>
      <c r="J461">
        <f>_xlfn.NORM.S.INV(0.99)*I461*SQRT(10)</f>
        <v>4.8459382119777662E-2</v>
      </c>
      <c r="K461">
        <f>LN(B470)-LN(B461)</f>
        <v>1.35076543907795E-2</v>
      </c>
      <c r="L461">
        <f>IF(K461&lt;-(J461),1,0)</f>
        <v>0</v>
      </c>
      <c r="M461" s="72">
        <f t="shared" si="6"/>
        <v>2.0504860683536796E-2</v>
      </c>
      <c r="N461">
        <f>SQRT((N460^2)*0.72+(1-0.72)*(C460^2))</f>
        <v>2.8119556263665798E-3</v>
      </c>
      <c r="O461">
        <f>_xlfn.NORM.S.INV(0.99)*N461*SQRT(10)</f>
        <v>2.0686314410945053E-2</v>
      </c>
      <c r="P461">
        <f>LN(B470)-LN(B461)</f>
        <v>1.35076543907795E-2</v>
      </c>
      <c r="Q461">
        <f>IF(P461&lt;-(O461),1,0)</f>
        <v>0</v>
      </c>
    </row>
    <row r="462" spans="1:17">
      <c r="A462" s="64">
        <v>41960</v>
      </c>
      <c r="B462">
        <v>2041.3199460000001</v>
      </c>
      <c r="C462" s="68">
        <f>LN(B462)-LN(B461)</f>
        <v>7.3508877776262693E-4</v>
      </c>
      <c r="D462" s="68"/>
      <c r="E462" s="68"/>
      <c r="F462" s="68"/>
      <c r="G462" s="68"/>
      <c r="H462" s="68"/>
      <c r="I462">
        <f>_xlfn.STDEV.S(C442:C462)</f>
        <v>6.3320806234478839E-3</v>
      </c>
      <c r="J462">
        <f>_xlfn.NORM.S.INV(0.99)*I462*SQRT(10)</f>
        <v>4.6582317808958107E-2</v>
      </c>
      <c r="K462">
        <f>LN(B471)-LN(B462)</f>
        <v>5.9197758738562811E-3</v>
      </c>
      <c r="L462">
        <f>IF(K462&lt;-(J462),1,0)</f>
        <v>0</v>
      </c>
      <c r="M462" s="72">
        <f t="shared" si="6"/>
        <v>1.7323888720594694E-2</v>
      </c>
      <c r="N462">
        <f>SQRT((N461^2)*0.72+(1-0.72)*(C461^2))</f>
        <v>2.3894075496341577E-3</v>
      </c>
      <c r="O462">
        <f>_xlfn.NORM.S.INV(0.99)*N462*SQRT(10)</f>
        <v>1.7577815013918113E-2</v>
      </c>
      <c r="P462">
        <f>LN(B471)-LN(B462)</f>
        <v>5.9197758738562811E-3</v>
      </c>
      <c r="Q462">
        <f>IF(P462&lt;-(O462),1,0)</f>
        <v>0</v>
      </c>
    </row>
    <row r="463" spans="1:17">
      <c r="A463" s="64">
        <v>41961</v>
      </c>
      <c r="B463">
        <v>2051.8000489999999</v>
      </c>
      <c r="C463" s="68">
        <f>LN(B463)-LN(B462)</f>
        <v>5.1208495790611153E-3</v>
      </c>
      <c r="D463" s="68"/>
      <c r="E463" s="68"/>
      <c r="F463" s="68"/>
      <c r="G463" s="68"/>
      <c r="H463" s="68"/>
      <c r="I463">
        <f>_xlfn.STDEV.S(C443:C463)</f>
        <v>6.2224987069319235E-3</v>
      </c>
      <c r="J463">
        <f>_xlfn.NORM.S.INV(0.99)*I463*SQRT(10)</f>
        <v>4.5776172094015882E-2</v>
      </c>
      <c r="K463">
        <f>LN(B472)-LN(B463)</f>
        <v>7.1630933346513714E-3</v>
      </c>
      <c r="L463">
        <f>IF(K463&lt;-(J463),1,0)</f>
        <v>0</v>
      </c>
      <c r="M463" s="72">
        <f t="shared" si="6"/>
        <v>1.491687538194568E-2</v>
      </c>
      <c r="N463">
        <f>SQRT((N462^2)*0.72+(1-0.72)*(C462^2))</f>
        <v>2.0644546056217817E-3</v>
      </c>
      <c r="O463">
        <f>_xlfn.NORM.S.INV(0.99)*N463*SQRT(10)</f>
        <v>1.5187279862661813E-2</v>
      </c>
      <c r="P463">
        <f>LN(B472)-LN(B463)</f>
        <v>7.1630933346513714E-3</v>
      </c>
      <c r="Q463">
        <f>IF(P463&lt;-(O463),1,0)</f>
        <v>0</v>
      </c>
    </row>
    <row r="464" spans="1:17">
      <c r="A464" s="64">
        <v>41962</v>
      </c>
      <c r="B464">
        <v>2048.719971</v>
      </c>
      <c r="C464" s="68">
        <f>LN(B464)-LN(B463)</f>
        <v>-1.5022868144791701E-3</v>
      </c>
      <c r="D464" s="68"/>
      <c r="E464" s="68"/>
      <c r="F464" s="68"/>
      <c r="G464" s="68"/>
      <c r="H464" s="68"/>
      <c r="I464">
        <f>_xlfn.STDEV.S(C444:C464)</f>
        <v>5.1419301154263823E-3</v>
      </c>
      <c r="J464">
        <f>_xlfn.NORM.S.INV(0.99)*I464*SQRT(10)</f>
        <v>3.7826906672868858E-2</v>
      </c>
      <c r="K464">
        <f>LN(B473)-LN(B464)</f>
        <v>1.2423053839727416E-2</v>
      </c>
      <c r="L464">
        <f>IF(K464&lt;-(J464),1,0)</f>
        <v>0</v>
      </c>
      <c r="M464" s="72">
        <f t="shared" si="6"/>
        <v>2.3443425961763416E-2</v>
      </c>
      <c r="N464">
        <f>SQRT((N463^2)*0.72+(1-0.72)*(C463^2))</f>
        <v>3.2266218471689958E-3</v>
      </c>
      <c r="O464">
        <f>_xlfn.NORM.S.INV(0.99)*N464*SQRT(10)</f>
        <v>2.3736830478369966E-2</v>
      </c>
      <c r="P464">
        <f>LN(B473)-LN(B464)</f>
        <v>1.2423053839727416E-2</v>
      </c>
      <c r="Q464">
        <f>IF(P464&lt;-(O464),1,0)</f>
        <v>0</v>
      </c>
    </row>
    <row r="465" spans="1:17">
      <c r="A465" s="64">
        <v>41963</v>
      </c>
      <c r="B465">
        <v>2052.75</v>
      </c>
      <c r="C465" s="68">
        <f>LN(B465)-LN(B464)</f>
        <v>1.9651638682960382E-3</v>
      </c>
      <c r="D465" s="68"/>
      <c r="E465" s="68"/>
      <c r="F465" s="68"/>
      <c r="G465" s="68"/>
      <c r="H465" s="68"/>
      <c r="I465">
        <f>_xlfn.STDEV.S(C445:C465)</f>
        <v>4.6216970476487523E-3</v>
      </c>
      <c r="J465">
        <f>_xlfn.NORM.S.INV(0.99)*I465*SQRT(10)</f>
        <v>3.3999781982098375E-2</v>
      </c>
      <c r="K465">
        <f>LN(B474)-LN(B465)</f>
        <v>9.2953183602366707E-3</v>
      </c>
      <c r="L465">
        <f>IF(K465&lt;-(J465),1,0)</f>
        <v>0</v>
      </c>
      <c r="M465" s="72">
        <f t="shared" si="6"/>
        <v>2.0706685304229623E-2</v>
      </c>
      <c r="N465">
        <f>SQRT((N464^2)*0.72+(1-0.72)*(C464^2))</f>
        <v>2.8509482879492186E-3</v>
      </c>
      <c r="O465">
        <f>_xlfn.NORM.S.INV(0.99)*N465*SQRT(10)</f>
        <v>2.0973166184015273E-2</v>
      </c>
      <c r="P465">
        <f>LN(B474)-LN(B465)</f>
        <v>9.2953183602366707E-3</v>
      </c>
      <c r="Q465">
        <f>IF(P465&lt;-(O465),1,0)</f>
        <v>0</v>
      </c>
    </row>
    <row r="466" spans="1:17">
      <c r="A466" s="64">
        <v>41964</v>
      </c>
      <c r="B466">
        <v>2063.5</v>
      </c>
      <c r="C466" s="68">
        <f>LN(B466)-LN(B465)</f>
        <v>5.2232126037381477E-3</v>
      </c>
      <c r="D466" s="68"/>
      <c r="E466" s="68"/>
      <c r="F466" s="68"/>
      <c r="G466" s="68"/>
      <c r="H466" s="68"/>
      <c r="I466">
        <f>_xlfn.STDEV.S(C446:C466)</f>
        <v>4.1518188519701947E-3</v>
      </c>
      <c r="J466">
        <f>_xlfn.NORM.S.INV(0.99)*I466*SQRT(10)</f>
        <v>3.0543095824068989E-2</v>
      </c>
      <c r="K466">
        <f>LN(B475)-LN(B466)</f>
        <v>5.7359372047436352E-3</v>
      </c>
      <c r="L466">
        <f>IF(K466&lt;-(J466),1,0)</f>
        <v>0</v>
      </c>
      <c r="M466" s="72">
        <f t="shared" si="6"/>
        <v>1.9080254617001455E-2</v>
      </c>
      <c r="N466">
        <f>SQRT((N465^2)*0.72+(1-0.72)*(C465^2))</f>
        <v>2.6331380042442453E-3</v>
      </c>
      <c r="O466">
        <f>_xlfn.NORM.S.INV(0.99)*N466*SQRT(10)</f>
        <v>1.9370832218141079E-2</v>
      </c>
      <c r="P466">
        <f>LN(B475)-LN(B466)</f>
        <v>5.7359372047436352E-3</v>
      </c>
      <c r="Q466">
        <f>IF(P466&lt;-(O466),1,0)</f>
        <v>0</v>
      </c>
    </row>
    <row r="467" spans="1:17">
      <c r="A467" s="64">
        <v>41967</v>
      </c>
      <c r="B467">
        <v>2069.4099120000001</v>
      </c>
      <c r="C467" s="68">
        <f>LN(B467)-LN(B466)</f>
        <v>2.8599297608860041E-3</v>
      </c>
      <c r="D467" s="68"/>
      <c r="E467" s="68"/>
      <c r="F467" s="68"/>
      <c r="G467" s="68"/>
      <c r="H467" s="68"/>
      <c r="I467">
        <f>_xlfn.STDEV.S(C447:C467)</f>
        <v>4.0311016369842367E-3</v>
      </c>
      <c r="J467">
        <f>_xlfn.NORM.S.INV(0.99)*I467*SQRT(10)</f>
        <v>2.9655032641066385E-2</v>
      </c>
      <c r="K467">
        <f>LN(B476)-LN(B467)</f>
        <v>-4.4070144183336879E-3</v>
      </c>
      <c r="L467">
        <f>IF(K467&lt;-(J467),1,0)</f>
        <v>0</v>
      </c>
      <c r="M467" s="72">
        <f t="shared" si="6"/>
        <v>2.5970806300543721E-2</v>
      </c>
      <c r="N467">
        <f>SQRT((N466^2)*0.72+(1-0.72)*(C466^2))</f>
        <v>3.5540125650653513E-3</v>
      </c>
      <c r="O467">
        <f>_xlfn.NORM.S.INV(0.99)*N467*SQRT(10)</f>
        <v>2.6145299254379778E-2</v>
      </c>
      <c r="P467">
        <f>LN(B476)-LN(B467)</f>
        <v>-4.4070144183336879E-3</v>
      </c>
      <c r="Q467">
        <f>IF(P467&lt;-(O467),1,0)</f>
        <v>0</v>
      </c>
    </row>
    <row r="468" spans="1:17">
      <c r="A468" s="64">
        <v>41968</v>
      </c>
      <c r="B468">
        <v>2067.030029</v>
      </c>
      <c r="C468" s="68">
        <f>LN(B468)-LN(B467)</f>
        <v>-1.1506915591885658E-3</v>
      </c>
      <c r="D468" s="68"/>
      <c r="E468" s="68"/>
      <c r="F468" s="68"/>
      <c r="G468" s="68"/>
      <c r="H468" s="68"/>
      <c r="I468">
        <f>_xlfn.STDEV.S(C448:C468)</f>
        <v>4.0144298394131873E-3</v>
      </c>
      <c r="J468">
        <f>_xlfn.NORM.S.INV(0.99)*I468*SQRT(10)</f>
        <v>2.9532385596740159E-2</v>
      </c>
      <c r="K468">
        <f>LN(B477)-LN(B468)</f>
        <v>-3.4941750566268581E-3</v>
      </c>
      <c r="L468">
        <f>IF(K468&lt;-(J468),1,0)</f>
        <v>0</v>
      </c>
      <c r="M468" s="72">
        <f t="shared" si="6"/>
        <v>2.4688489624157418E-2</v>
      </c>
      <c r="N468">
        <f>SQRT((N467^2)*0.72+(1-0.72)*(C467^2))</f>
        <v>3.3740923715154776E-3</v>
      </c>
      <c r="O468">
        <f>_xlfn.NORM.S.INV(0.99)*N468*SQRT(10)</f>
        <v>2.4821705931017152E-2</v>
      </c>
      <c r="P468">
        <f>LN(B477)-LN(B468)</f>
        <v>-3.4941750566268581E-3</v>
      </c>
      <c r="Q468">
        <f>IF(P468&lt;-(O468),1,0)</f>
        <v>0</v>
      </c>
    </row>
    <row r="469" spans="1:17">
      <c r="A469" s="64">
        <v>41969</v>
      </c>
      <c r="B469">
        <v>2072.830078</v>
      </c>
      <c r="C469" s="68">
        <f>LN(B469)-LN(B468)</f>
        <v>2.8020525549239395E-3</v>
      </c>
      <c r="D469" s="68"/>
      <c r="E469" s="68"/>
      <c r="F469" s="68"/>
      <c r="G469" s="68"/>
      <c r="H469" s="68"/>
      <c r="I469">
        <f>_xlfn.STDEV.S(C449:C469)</f>
        <v>3.3954603797658116E-3</v>
      </c>
      <c r="J469">
        <f>_xlfn.NORM.S.INV(0.99)*I469*SQRT(10)</f>
        <v>2.4978900921171828E-2</v>
      </c>
      <c r="K469">
        <f>LN(B478)-LN(B469)</f>
        <v>-2.2782348446616751E-2</v>
      </c>
      <c r="L469">
        <f>IF(K469&lt;-(J469),1,0)</f>
        <v>0</v>
      </c>
      <c r="M469" s="72">
        <f t="shared" si="6"/>
        <v>2.1352470692768823E-2</v>
      </c>
      <c r="N469">
        <f>SQRT((N468^2)*0.72+(1-0.72)*(C468^2))</f>
        <v>2.9270437333122003E-3</v>
      </c>
      <c r="O469">
        <f>_xlfn.NORM.S.INV(0.99)*N469*SQRT(10)</f>
        <v>2.1532966734656794E-2</v>
      </c>
      <c r="P469">
        <f>LN(B478)-LN(B469)</f>
        <v>-2.2782348446616751E-2</v>
      </c>
      <c r="Q469">
        <f>IF(P469&lt;-(O469),1,0)</f>
        <v>1</v>
      </c>
    </row>
    <row r="470" spans="1:17">
      <c r="A470" s="64">
        <v>41971</v>
      </c>
      <c r="B470">
        <v>2067.5600589999999</v>
      </c>
      <c r="C470" s="68">
        <f>LN(B470)-LN(B469)</f>
        <v>-2.5456643802206358E-3</v>
      </c>
      <c r="D470" s="68"/>
      <c r="E470" s="68"/>
      <c r="F470" s="68"/>
      <c r="G470" s="68"/>
      <c r="H470" s="68"/>
      <c r="I470">
        <f>_xlfn.STDEV.S(C450:C470)</f>
        <v>3.4630568519701181E-3</v>
      </c>
      <c r="J470">
        <f>_xlfn.NORM.S.INV(0.99)*I470*SQRT(10)</f>
        <v>2.547617828358021E-2</v>
      </c>
      <c r="K470">
        <f>LN(B479)-LN(B470)</f>
        <v>-1.5711250295158408E-2</v>
      </c>
      <c r="L470">
        <f>IF(K470&lt;-(J470),1,0)</f>
        <v>0</v>
      </c>
      <c r="M470" s="72">
        <f t="shared" si="6"/>
        <v>2.1147186330210906E-2</v>
      </c>
      <c r="N470">
        <f>SQRT((N469^2)*0.72+(1-0.72)*(C469^2))</f>
        <v>2.8925906723550809E-3</v>
      </c>
      <c r="O470">
        <f>_xlfn.NORM.S.INV(0.99)*N470*SQRT(10)</f>
        <v>2.1279510796484918E-2</v>
      </c>
      <c r="P470">
        <f>LN(B479)-LN(B470)</f>
        <v>-1.5711250295158408E-2</v>
      </c>
      <c r="Q470">
        <f>IF(P470&lt;-(O470),1,0)</f>
        <v>0</v>
      </c>
    </row>
    <row r="471" spans="1:17">
      <c r="A471" s="64">
        <v>41974</v>
      </c>
      <c r="B471">
        <v>2053.4399410000001</v>
      </c>
      <c r="C471" s="68">
        <f>LN(B471)-LN(B470)</f>
        <v>-6.8527897391605919E-3</v>
      </c>
      <c r="D471" s="68"/>
      <c r="E471" s="68"/>
      <c r="F471" s="68"/>
      <c r="G471" s="68"/>
      <c r="H471" s="68"/>
      <c r="I471">
        <f>_xlfn.STDEV.S(C451:C471)</f>
        <v>3.8243193667560479E-3</v>
      </c>
      <c r="J471">
        <f>_xlfn.NORM.S.INV(0.99)*I471*SQRT(10)</f>
        <v>2.8133826894986926E-2</v>
      </c>
      <c r="K471">
        <f>LN(B480)-LN(B471)</f>
        <v>-2.5204926348099121E-2</v>
      </c>
      <c r="L471">
        <f>IF(K471&lt;-(J471),1,0)</f>
        <v>0</v>
      </c>
      <c r="M471" s="72">
        <f t="shared" si="6"/>
        <v>2.0478446661016739E-2</v>
      </c>
      <c r="N471">
        <f>SQRT((N470^2)*0.72+(1-0.72)*(C470^2))</f>
        <v>2.7997878799465503E-3</v>
      </c>
      <c r="O471">
        <f>_xlfn.NORM.S.INV(0.99)*N471*SQRT(10)</f>
        <v>2.0596801679749279E-2</v>
      </c>
      <c r="P471">
        <f>LN(B480)-LN(B471)</f>
        <v>-2.5204926348099121E-2</v>
      </c>
      <c r="Q471" s="86">
        <f>IF(P471&lt;-(O471),1,0)</f>
        <v>1</v>
      </c>
    </row>
    <row r="472" spans="1:17">
      <c r="A472" s="64">
        <v>41975</v>
      </c>
      <c r="B472">
        <v>2066.5500489999999</v>
      </c>
      <c r="C472" s="68">
        <f>LN(B472)-LN(B471)</f>
        <v>6.3641670398562056E-3</v>
      </c>
      <c r="D472" s="68"/>
      <c r="E472" s="68"/>
      <c r="F472" s="68"/>
      <c r="G472" s="68"/>
      <c r="H472" s="68"/>
      <c r="I472">
        <f>_xlfn.STDEV.S(C452:C472)</f>
        <v>3.2427224407913817E-3</v>
      </c>
      <c r="J472">
        <f>_xlfn.NORM.S.INV(0.99)*I472*SQRT(10)</f>
        <v>2.3855275427768365E-2</v>
      </c>
      <c r="K472">
        <f>LN(B481)-LN(B472)</f>
        <v>-3.7931879573465999E-2</v>
      </c>
      <c r="L472" s="79">
        <f>IF(K472&lt;-(J472),1,0)</f>
        <v>1</v>
      </c>
      <c r="M472" s="72">
        <f t="shared" si="6"/>
        <v>3.1790958089752894E-2</v>
      </c>
      <c r="N472">
        <f>SQRT((N471^2)*0.72+(1-0.72)*(C471^2))</f>
        <v>4.335083434364481E-3</v>
      </c>
      <c r="O472">
        <f>_xlfn.NORM.S.INV(0.99)*N472*SQRT(10)</f>
        <v>3.1891292337645316E-2</v>
      </c>
      <c r="P472">
        <f>LN(B481)-LN(B472)</f>
        <v>-3.7931879573465999E-2</v>
      </c>
      <c r="Q472" s="86">
        <f>IF(P472&lt;-(O472),1,0)</f>
        <v>1</v>
      </c>
    </row>
    <row r="473" spans="1:17">
      <c r="A473" s="64">
        <v>41976</v>
      </c>
      <c r="B473">
        <v>2074.330078</v>
      </c>
      <c r="C473" s="68">
        <f>LN(B473)-LN(B472)</f>
        <v>3.7576736905968744E-3</v>
      </c>
      <c r="D473" s="68"/>
      <c r="E473" s="68"/>
      <c r="F473" s="68"/>
      <c r="G473" s="68"/>
      <c r="H473" s="68"/>
      <c r="I473">
        <f>_xlfn.STDEV.S(C453:C473)</f>
        <v>3.2781644358715559E-3</v>
      </c>
      <c r="J473">
        <f>_xlfn.NORM.S.INV(0.99)*I473*SQRT(10)</f>
        <v>2.4116006517087507E-2</v>
      </c>
      <c r="K473">
        <f>LN(B482)-LN(B473)</f>
        <v>-5.0214813307149164E-2</v>
      </c>
      <c r="L473" s="79">
        <f>IF(K473&lt;-(J473),1,0)</f>
        <v>1</v>
      </c>
      <c r="M473" s="72">
        <f t="shared" ref="M473:M536" si="7">EWMAV(B452:B472,0.72,0.99)*SQRT(10)</f>
        <v>3.6625497585963854E-2</v>
      </c>
      <c r="N473">
        <f>SQRT((N472^2)*0.72+(1-0.72)*(C472^2))</f>
        <v>4.9871491883462593E-3</v>
      </c>
      <c r="O473">
        <f>_xlfn.NORM.S.INV(0.99)*N473*SQRT(10)</f>
        <v>3.6688251819152626E-2</v>
      </c>
      <c r="P473">
        <f>LN(B482)-LN(B473)</f>
        <v>-5.0214813307149164E-2</v>
      </c>
      <c r="Q473" s="86">
        <f>IF(P473&lt;-(O473),1,0)</f>
        <v>1</v>
      </c>
    </row>
    <row r="474" spans="1:17">
      <c r="A474" s="64">
        <v>41977</v>
      </c>
      <c r="B474">
        <v>2071.919922</v>
      </c>
      <c r="C474" s="68">
        <f>LN(B474)-LN(B473)</f>
        <v>-1.1625716111947071E-3</v>
      </c>
      <c r="D474" s="68"/>
      <c r="E474" s="68"/>
      <c r="F474" s="68"/>
      <c r="G474" s="68"/>
      <c r="H474" s="68"/>
      <c r="I474">
        <f>_xlfn.STDEV.S(C454:C474)</f>
        <v>3.1915352624510137E-3</v>
      </c>
      <c r="J474">
        <f>_xlfn.NORM.S.INV(0.99)*I474*SQRT(10)</f>
        <v>2.3478713985962765E-2</v>
      </c>
      <c r="K474">
        <f>LN(B483)-LN(B474)</f>
        <v>-2.8904168159196608E-2</v>
      </c>
      <c r="L474" s="79">
        <f>IF(K474&lt;-(J474),1,0)</f>
        <v>1</v>
      </c>
      <c r="M474" s="72">
        <f t="shared" si="7"/>
        <v>3.4345644090602957E-2</v>
      </c>
      <c r="N474">
        <f>SQRT((N473^2)*0.72+(1-0.72)*(C473^2))</f>
        <v>4.6755988169980408E-3</v>
      </c>
      <c r="O474">
        <f>_xlfn.NORM.S.INV(0.99)*N474*SQRT(10)</f>
        <v>3.4396313469868108E-2</v>
      </c>
      <c r="P474">
        <f>LN(B483)-LN(B474)</f>
        <v>-2.8904168159196608E-2</v>
      </c>
      <c r="Q474">
        <f>IF(P474&lt;-(O474),1,0)</f>
        <v>0</v>
      </c>
    </row>
    <row r="475" spans="1:17">
      <c r="A475" s="64">
        <v>41978</v>
      </c>
      <c r="B475">
        <v>2075.3701169999999</v>
      </c>
      <c r="C475" s="68">
        <f>LN(B475)-LN(B474)</f>
        <v>1.6638314482451122E-3</v>
      </c>
      <c r="D475" s="68"/>
      <c r="E475" s="68"/>
      <c r="F475" s="68"/>
      <c r="G475" s="68"/>
      <c r="H475" s="68"/>
      <c r="I475">
        <f>_xlfn.STDEV.S(C455:C475)</f>
        <v>3.0382805055617118E-3</v>
      </c>
      <c r="J475">
        <f>_xlfn.NORM.S.INV(0.99)*I475*SQRT(10)</f>
        <v>2.2351286491638658E-2</v>
      </c>
      <c r="K475">
        <f>LN(B484)-LN(B475)</f>
        <v>-6.8366251238014542E-3</v>
      </c>
      <c r="L475">
        <f>IF(K475&lt;-(J475),1,0)</f>
        <v>0</v>
      </c>
      <c r="M475" s="72">
        <f t="shared" si="7"/>
        <v>2.9480896323394495E-2</v>
      </c>
      <c r="N475">
        <f>SQRT((N474^2)*0.72+(1-0.72)*(C474^2))</f>
        <v>4.0147878978264023E-3</v>
      </c>
      <c r="O475">
        <f>_xlfn.NORM.S.INV(0.99)*N475*SQRT(10)</f>
        <v>2.9535019674192808E-2</v>
      </c>
      <c r="P475">
        <f>LN(B484)-LN(B475)</f>
        <v>-6.8366251238014542E-3</v>
      </c>
      <c r="Q475">
        <f>IF(P475&lt;-(O475),1,0)</f>
        <v>0</v>
      </c>
    </row>
    <row r="476" spans="1:17">
      <c r="A476" s="64">
        <v>41981</v>
      </c>
      <c r="B476">
        <v>2060.3100589999999</v>
      </c>
      <c r="C476" s="68">
        <f>LN(B476)-LN(B475)</f>
        <v>-7.283021862191319E-3</v>
      </c>
      <c r="D476" s="68"/>
      <c r="E476" s="68"/>
      <c r="F476" s="68"/>
      <c r="G476" s="68"/>
      <c r="H476" s="68"/>
      <c r="I476">
        <f>_xlfn.STDEV.S(C456:C476)</f>
        <v>3.4946551023045773E-3</v>
      </c>
      <c r="J476">
        <f>_xlfn.NORM.S.INV(0.99)*I476*SQRT(10)</f>
        <v>2.57086326420791E-2</v>
      </c>
      <c r="K476">
        <f>LN(B485)-LN(B476)</f>
        <v>5.006034767211176E-3</v>
      </c>
      <c r="L476">
        <f>IF(K476&lt;-(J476),1,0)</f>
        <v>0</v>
      </c>
      <c r="M476" s="72">
        <f t="shared" si="7"/>
        <v>2.583440602243162E-2</v>
      </c>
      <c r="N476">
        <f>SQRT((N475^2)*0.72+(1-0.72)*(C475^2))</f>
        <v>3.5185891444087991E-3</v>
      </c>
      <c r="O476">
        <f>_xlfn.NORM.S.INV(0.99)*N476*SQRT(10)</f>
        <v>2.5884704808883691E-2</v>
      </c>
      <c r="P476">
        <f>LN(B485)-LN(B476)</f>
        <v>5.006034767211176E-3</v>
      </c>
      <c r="Q476">
        <f>IF(P476&lt;-(O476),1,0)</f>
        <v>0</v>
      </c>
    </row>
    <row r="477" spans="1:17">
      <c r="A477" s="64">
        <v>41982</v>
      </c>
      <c r="B477">
        <v>2059.820068</v>
      </c>
      <c r="C477" s="68">
        <f>LN(B477)-LN(B476)</f>
        <v>-2.3785219748173603E-4</v>
      </c>
      <c r="D477" s="68"/>
      <c r="E477" s="68"/>
      <c r="F477" s="68"/>
      <c r="G477" s="68"/>
      <c r="H477" s="68"/>
      <c r="I477">
        <f>_xlfn.STDEV.S(C457:C477)</f>
        <v>3.4997572009036848E-3</v>
      </c>
      <c r="J477">
        <f>_xlfn.NORM.S.INV(0.99)*I477*SQRT(10)</f>
        <v>2.574616652589545E-2</v>
      </c>
      <c r="K477">
        <f>LN(B486)-LN(B477)</f>
        <v>9.0471095805613189E-3</v>
      </c>
      <c r="L477">
        <f>IF(K477&lt;-(J477),1,0)</f>
        <v>0</v>
      </c>
      <c r="M477" s="72">
        <f t="shared" si="7"/>
        <v>3.5837202129854702E-2</v>
      </c>
      <c r="N477">
        <f>SQRT((N476^2)*0.72+(1-0.72)*(C476^2))</f>
        <v>4.8750191971922447E-3</v>
      </c>
      <c r="O477">
        <f>_xlfn.NORM.S.INV(0.99)*N477*SQRT(10)</f>
        <v>3.586336104557182E-2</v>
      </c>
      <c r="P477">
        <f>LN(B486)-LN(B477)</f>
        <v>9.0471095805613189E-3</v>
      </c>
      <c r="Q477">
        <f>IF(P477&lt;-(O477),1,0)</f>
        <v>0</v>
      </c>
    </row>
    <row r="478" spans="1:17">
      <c r="A478" s="64">
        <v>41983</v>
      </c>
      <c r="B478">
        <v>2026.1400149999999</v>
      </c>
      <c r="C478" s="68">
        <f>LN(B478)-LN(B477)</f>
        <v>-1.6486120835065954E-2</v>
      </c>
      <c r="D478" s="68"/>
      <c r="E478" s="68"/>
      <c r="F478" s="68"/>
      <c r="G478" s="68"/>
      <c r="H478" s="68"/>
      <c r="I478">
        <f>_xlfn.STDEV.S(C458:C478)</f>
        <v>5.0705786133061776E-3</v>
      </c>
      <c r="J478">
        <f>_xlfn.NORM.S.INV(0.99)*I478*SQRT(10)</f>
        <v>3.7302005215423407E-2</v>
      </c>
      <c r="K478">
        <f>LN(B487)-LN(B478)</f>
        <v>2.7278069135435068E-2</v>
      </c>
      <c r="L478">
        <f>IF(K478&lt;-(J478),1,0)</f>
        <v>0</v>
      </c>
      <c r="M478" s="72">
        <f t="shared" si="7"/>
        <v>3.0419578852931794E-2</v>
      </c>
      <c r="N478">
        <f>SQRT((N477^2)*0.72+(1-0.72)*(C477^2))</f>
        <v>4.138505212217574E-3</v>
      </c>
      <c r="O478">
        <f>_xlfn.NORM.S.INV(0.99)*N478*SQRT(10)</f>
        <v>3.0445153262211196E-2</v>
      </c>
      <c r="P478">
        <f>LN(B487)-LN(B478)</f>
        <v>2.7278069135435068E-2</v>
      </c>
      <c r="Q478">
        <f>IF(P478&lt;-(O478),1,0)</f>
        <v>0</v>
      </c>
    </row>
    <row r="479" spans="1:17">
      <c r="A479" s="64">
        <v>41984</v>
      </c>
      <c r="B479">
        <v>2035.329956</v>
      </c>
      <c r="C479" s="68">
        <f>LN(B479)-LN(B478)</f>
        <v>4.525433771237708E-3</v>
      </c>
      <c r="D479" s="68"/>
      <c r="E479" s="68"/>
      <c r="F479" s="68"/>
      <c r="G479" s="68"/>
      <c r="H479" s="68"/>
      <c r="I479">
        <f>_xlfn.STDEV.S(C459:C479)</f>
        <v>5.1753578022496584E-3</v>
      </c>
      <c r="J479">
        <f>_xlfn.NORM.S.INV(0.99)*I479*SQRT(10)</f>
        <v>3.8072819386843794E-2</v>
      </c>
      <c r="K479">
        <f>LN(B488)-LN(B479)</f>
        <v>2.2613329153151618E-2</v>
      </c>
      <c r="L479">
        <f>IF(K479&lt;-(J479),1,0)</f>
        <v>0</v>
      </c>
      <c r="M479" s="72">
        <f t="shared" si="7"/>
        <v>6.9172190215932461E-2</v>
      </c>
      <c r="N479">
        <f>SQRT((N478^2)*0.72+(1-0.72)*(C478^2))</f>
        <v>9.4039041219414962E-3</v>
      </c>
      <c r="O479">
        <f>_xlfn.NORM.S.INV(0.99)*N479*SQRT(10)</f>
        <v>6.9180365270637381E-2</v>
      </c>
      <c r="P479">
        <f>LN(B488)-LN(B479)</f>
        <v>2.2613329153151618E-2</v>
      </c>
      <c r="Q479">
        <f>IF(P479&lt;-(O479),1,0)</f>
        <v>0</v>
      </c>
    </row>
    <row r="480" spans="1:17">
      <c r="A480" s="64">
        <v>41985</v>
      </c>
      <c r="B480">
        <v>2002.329956</v>
      </c>
      <c r="C480" s="68">
        <f>LN(B480)-LN(B479)</f>
        <v>-1.6346465792101306E-2</v>
      </c>
      <c r="D480" s="68"/>
      <c r="E480" s="68"/>
      <c r="F480" s="68"/>
      <c r="G480" s="68"/>
      <c r="H480" s="68"/>
      <c r="I480">
        <f>_xlfn.STDEV.S(C460:C480)</f>
        <v>6.27520809600294E-3</v>
      </c>
      <c r="J480">
        <f>_xlfn.NORM.S.INV(0.99)*I480*SQRT(10)</f>
        <v>4.6163931767215553E-2</v>
      </c>
      <c r="K480">
        <f>LN(B489)-LN(B480)</f>
        <v>4.2263905061725282E-2</v>
      </c>
      <c r="L480">
        <f>IF(K480&lt;-(J480),1,0)</f>
        <v>0</v>
      </c>
      <c r="M480" s="72">
        <f t="shared" si="7"/>
        <v>6.1281094857278104E-2</v>
      </c>
      <c r="N480">
        <f>SQRT((N479^2)*0.72+(1-0.72)*(C479^2))</f>
        <v>8.3310462366957012E-3</v>
      </c>
      <c r="O480">
        <f>_xlfn.NORM.S.INV(0.99)*N480*SQRT(10)</f>
        <v>6.1287824106631521E-2</v>
      </c>
      <c r="P480">
        <f>LN(B489)-LN(B480)</f>
        <v>4.2263905061725282E-2</v>
      </c>
      <c r="Q480">
        <f>IF(P480&lt;-(O480),1,0)</f>
        <v>0</v>
      </c>
    </row>
    <row r="481" spans="1:17">
      <c r="A481" s="64">
        <v>41988</v>
      </c>
      <c r="B481">
        <v>1989.630005</v>
      </c>
      <c r="C481" s="68">
        <f>LN(B481)-LN(B480)</f>
        <v>-6.3627861855106715E-3</v>
      </c>
      <c r="D481" s="68"/>
      <c r="E481" s="68"/>
      <c r="F481" s="68"/>
      <c r="G481" s="68"/>
      <c r="H481" s="68"/>
      <c r="I481">
        <f>_xlfn.STDEV.S(C461:C481)</f>
        <v>6.3790109861179547E-3</v>
      </c>
      <c r="J481">
        <f>_xlfn.NORM.S.INV(0.99)*I481*SQRT(10)</f>
        <v>4.692756373976506E-2</v>
      </c>
      <c r="K481">
        <f>LN(B490)-LN(B481)</f>
        <v>4.9488094279008799E-2</v>
      </c>
      <c r="L481">
        <f>IF(K481&lt;-(J481),1,0)</f>
        <v>0</v>
      </c>
      <c r="M481" s="72">
        <f t="shared" si="7"/>
        <v>8.2176215922395976E-2</v>
      </c>
      <c r="N481">
        <f>SQRT((N480^2)*0.72+(1-0.72)*(C480^2))</f>
        <v>1.1170966963355816E-2</v>
      </c>
      <c r="O481">
        <f>_xlfn.NORM.S.INV(0.99)*N481*SQRT(10)</f>
        <v>8.2179865397396926E-2</v>
      </c>
      <c r="P481">
        <f>LN(B490)-LN(B481)</f>
        <v>4.9488094279008799E-2</v>
      </c>
      <c r="Q481">
        <f>IF(P481&lt;-(O481),1,0)</f>
        <v>0</v>
      </c>
    </row>
    <row r="482" spans="1:17">
      <c r="A482" s="64">
        <v>41989</v>
      </c>
      <c r="B482">
        <v>1972.73999</v>
      </c>
      <c r="C482" s="68">
        <f>LN(B482)-LN(B481)</f>
        <v>-8.5252600430862913E-3</v>
      </c>
      <c r="D482" s="68"/>
      <c r="E482" s="68"/>
      <c r="F482" s="68"/>
      <c r="G482" s="68"/>
      <c r="H482" s="68"/>
      <c r="I482">
        <f>_xlfn.STDEV.S(C462:C482)</f>
        <v>6.5658292456420506E-3</v>
      </c>
      <c r="J482">
        <f>_xlfn.NORM.S.INV(0.99)*I482*SQRT(10)</f>
        <v>4.8301903084946876E-2</v>
      </c>
      <c r="K482">
        <f>LN(B491)-LN(B482)</f>
        <v>5.3112761624729998E-2</v>
      </c>
      <c r="L482">
        <f>IF(K482&lt;-(J482),1,0)</f>
        <v>0</v>
      </c>
      <c r="M482" s="72">
        <f t="shared" si="7"/>
        <v>7.3997236195816829E-2</v>
      </c>
      <c r="N482">
        <f>SQRT((N481^2)*0.72+(1-0.72)*(C481^2))</f>
        <v>1.0059074288288452E-2</v>
      </c>
      <c r="O482">
        <f>_xlfn.NORM.S.INV(0.99)*N482*SQRT(10)</f>
        <v>7.4000162541491429E-2</v>
      </c>
      <c r="P482">
        <f>LN(B491)-LN(B482)</f>
        <v>5.3112761624729998E-2</v>
      </c>
      <c r="Q482">
        <f>IF(P482&lt;-(O482),1,0)</f>
        <v>0</v>
      </c>
    </row>
    <row r="483" spans="1:17">
      <c r="A483" s="64">
        <v>41990</v>
      </c>
      <c r="B483">
        <v>2012.8900149999999</v>
      </c>
      <c r="C483" s="68">
        <f>LN(B483)-LN(B482)</f>
        <v>2.0148073536757849E-2</v>
      </c>
      <c r="D483" s="68"/>
      <c r="E483" s="68"/>
      <c r="F483" s="68"/>
      <c r="G483" s="68"/>
      <c r="H483" s="68"/>
      <c r="I483">
        <f>_xlfn.STDEV.S(C463:C483)</f>
        <v>8.0977870985101449E-3</v>
      </c>
      <c r="J483">
        <f>_xlfn.NORM.S.INV(0.99)*I483*SQRT(10)</f>
        <v>5.9571839748099036E-2</v>
      </c>
      <c r="K483">
        <f>LN(B492)-LN(B483)</f>
        <v>2.2600304194527077E-2</v>
      </c>
      <c r="L483">
        <f>IF(K483&lt;-(J483),1,0)</f>
        <v>0</v>
      </c>
      <c r="M483" s="72">
        <f t="shared" si="7"/>
        <v>7.1019413350489238E-2</v>
      </c>
      <c r="N483">
        <f>SQRT((N482^2)*0.72+(1-0.72)*(C482^2))</f>
        <v>9.6542010985626574E-3</v>
      </c>
      <c r="O483">
        <f>_xlfn.NORM.S.INV(0.99)*N483*SQRT(10)</f>
        <v>7.1021689474314323E-2</v>
      </c>
      <c r="P483">
        <f>LN(B492)-LN(B483)</f>
        <v>2.2600304194527077E-2</v>
      </c>
      <c r="Q483">
        <f>IF(P483&lt;-(O483),1,0)</f>
        <v>0</v>
      </c>
    </row>
    <row r="484" spans="1:17">
      <c r="A484" s="64">
        <v>41991</v>
      </c>
      <c r="B484">
        <v>2061.2299800000001</v>
      </c>
      <c r="C484" s="68">
        <f>LN(B484)-LN(B483)</f>
        <v>2.3731374483640266E-2</v>
      </c>
      <c r="D484" s="68"/>
      <c r="E484" s="68"/>
      <c r="F484" s="68"/>
      <c r="G484" s="68"/>
      <c r="H484" s="68"/>
      <c r="I484">
        <f>_xlfn.STDEV.S(C464:C484)</f>
        <v>9.6353613826999467E-3</v>
      </c>
      <c r="J484">
        <f>_xlfn.NORM.S.INV(0.99)*I484*SQRT(10)</f>
        <v>7.0883094013527298E-2</v>
      </c>
      <c r="K484">
        <f>LN(B493)-LN(B484)</f>
        <v>-1.4710916787983308E-3</v>
      </c>
      <c r="L484">
        <f>IF(K484&lt;-(J484),1,0)</f>
        <v>0</v>
      </c>
      <c r="M484" s="72">
        <f t="shared" si="7"/>
        <v>9.8905784744250491E-2</v>
      </c>
      <c r="N484">
        <f>SQRT((N483^2)*0.72+(1-0.72)*(C483^2))</f>
        <v>1.3445116362493863E-2</v>
      </c>
      <c r="O484">
        <f>_xlfn.NORM.S.INV(0.99)*N484*SQRT(10)</f>
        <v>9.8909777152376574E-2</v>
      </c>
      <c r="P484">
        <f>LN(B493)-LN(B484)</f>
        <v>-1.4710916787983308E-3</v>
      </c>
      <c r="Q484">
        <f>IF(P484&lt;-(O484),1,0)</f>
        <v>0</v>
      </c>
    </row>
    <row r="485" spans="1:17">
      <c r="A485" s="64">
        <v>41992</v>
      </c>
      <c r="B485">
        <v>2070.6499020000001</v>
      </c>
      <c r="C485" s="68">
        <f>LN(B485)-LN(B484)</f>
        <v>4.5596380288213112E-3</v>
      </c>
      <c r="D485" s="68"/>
      <c r="E485" s="68"/>
      <c r="F485" s="68"/>
      <c r="G485" s="68"/>
      <c r="H485" s="68"/>
      <c r="I485">
        <f>_xlfn.STDEV.S(C465:C485)</f>
        <v>9.6719700330212769E-3</v>
      </c>
      <c r="J485">
        <f>_xlfn.NORM.S.INV(0.99)*I485*SQRT(10)</f>
        <v>7.1152407669691192E-2</v>
      </c>
      <c r="K485">
        <f>LN(B494)-LN(B485)</f>
        <v>-2.4477943183764062E-2</v>
      </c>
      <c r="L485">
        <f>IF(K485&lt;-(J485),1,0)</f>
        <v>0</v>
      </c>
      <c r="M485" s="72">
        <f t="shared" si="7"/>
        <v>0.12480888125977803</v>
      </c>
      <c r="N485">
        <f>SQRT((N484^2)*0.72+(1-0.72)*(C484^2))</f>
        <v>1.6965998604500012E-2</v>
      </c>
      <c r="O485">
        <f>_xlfn.NORM.S.INV(0.99)*N485*SQRT(10)</f>
        <v>0.12481135126653271</v>
      </c>
      <c r="P485">
        <f>LN(B494)-LN(B485)</f>
        <v>-2.4477943183764062E-2</v>
      </c>
      <c r="Q485">
        <f>IF(P485&lt;-(O485),1,0)</f>
        <v>0</v>
      </c>
    </row>
    <row r="486" spans="1:17">
      <c r="A486" s="64">
        <v>41995</v>
      </c>
      <c r="B486">
        <v>2078.540039</v>
      </c>
      <c r="C486" s="68">
        <f>LN(B486)-LN(B485)</f>
        <v>3.8032226158684068E-3</v>
      </c>
      <c r="D486" s="68"/>
      <c r="E486" s="68"/>
      <c r="F486" s="68"/>
      <c r="G486" s="68"/>
      <c r="H486" s="68"/>
      <c r="I486">
        <f>_xlfn.STDEV.S(C466:C486)</f>
        <v>9.6941167515274575E-3</v>
      </c>
      <c r="J486">
        <f>_xlfn.NORM.S.INV(0.99)*I486*SQRT(10)</f>
        <v>7.1315331286939551E-2</v>
      </c>
      <c r="K486">
        <f>LN(B495)-LN(B486)</f>
        <v>-3.72144206388203E-2</v>
      </c>
      <c r="L486">
        <f>IF(K486&lt;-(J486),1,0)</f>
        <v>0</v>
      </c>
      <c r="M486" s="72">
        <f t="shared" si="7"/>
        <v>0.10738055982293938</v>
      </c>
      <c r="N486">
        <f>SQRT((N485^2)*0.72+(1-0.72)*(C485^2))</f>
        <v>1.4596909328127307E-2</v>
      </c>
      <c r="O486">
        <f>_xlfn.NORM.S.INV(0.99)*N486*SQRT(10)</f>
        <v>0.10738300880653145</v>
      </c>
      <c r="P486">
        <f>LN(B495)-LN(B486)</f>
        <v>-3.72144206388203E-2</v>
      </c>
      <c r="Q486">
        <f>IF(P486&lt;-(O486),1,0)</f>
        <v>0</v>
      </c>
    </row>
    <row r="487" spans="1:17">
      <c r="A487" s="64">
        <v>41996</v>
      </c>
      <c r="B487">
        <v>2082.169922</v>
      </c>
      <c r="C487" s="68">
        <f>LN(B487)-LN(B486)</f>
        <v>1.7448387198077953E-3</v>
      </c>
      <c r="D487" s="68"/>
      <c r="E487" s="68"/>
      <c r="F487" s="68"/>
      <c r="G487" s="68"/>
      <c r="H487" s="68"/>
      <c r="I487">
        <f>_xlfn.STDEV.S(C467:C487)</f>
        <v>9.6406442653866557E-3</v>
      </c>
      <c r="J487">
        <f>_xlfn.NORM.S.INV(0.99)*I487*SQRT(10)</f>
        <v>7.0921957845953634E-2</v>
      </c>
      <c r="K487">
        <f>LN(B496)-LN(B487)</f>
        <v>-2.7396523542583928E-2</v>
      </c>
      <c r="L487">
        <f>IF(K487&lt;-(J487),1,0)</f>
        <v>0</v>
      </c>
      <c r="M487" s="72">
        <f t="shared" si="7"/>
        <v>9.2307239508638173E-2</v>
      </c>
      <c r="N487">
        <f>SQRT((N486^2)*0.72+(1-0.72)*(C486^2))</f>
        <v>1.2548318183191291E-2</v>
      </c>
      <c r="O487">
        <f>_xlfn.NORM.S.INV(0.99)*N487*SQRT(10)</f>
        <v>9.2312429411086999E-2</v>
      </c>
      <c r="P487">
        <f>LN(B496)-LN(B487)</f>
        <v>-2.7396523542583928E-2</v>
      </c>
      <c r="Q487">
        <f>IF(P487&lt;-(O487),1,0)</f>
        <v>0</v>
      </c>
    </row>
    <row r="488" spans="1:17">
      <c r="A488" s="64">
        <v>41997</v>
      </c>
      <c r="B488">
        <v>2081.8798830000001</v>
      </c>
      <c r="C488" s="68">
        <f>LN(B488)-LN(B487)</f>
        <v>-1.3930621104574215E-4</v>
      </c>
      <c r="D488" s="68"/>
      <c r="E488" s="68"/>
      <c r="F488" s="68"/>
      <c r="G488" s="68"/>
      <c r="H488" s="68"/>
      <c r="I488">
        <f>_xlfn.STDEV.S(C468:C488)</f>
        <v>9.6250326448937811E-3</v>
      </c>
      <c r="J488">
        <f>_xlfn.NORM.S.INV(0.99)*I488*SQRT(10)</f>
        <v>7.080711005569984E-2</v>
      </c>
      <c r="K488">
        <f>LN(B497)-LN(B488)</f>
        <v>-9.5270487954168814E-3</v>
      </c>
      <c r="L488">
        <f>IF(K488&lt;-(J488),1,0)</f>
        <v>0</v>
      </c>
      <c r="M488" s="72">
        <f t="shared" si="7"/>
        <v>7.8618133976005977E-2</v>
      </c>
      <c r="N488">
        <f>SQRT((N487^2)*0.72+(1-0.72)*(C487^2))</f>
        <v>1.0687556205580298E-2</v>
      </c>
      <c r="O488">
        <f>_xlfn.NORM.S.INV(0.99)*N488*SQRT(10)</f>
        <v>7.8623626162605417E-2</v>
      </c>
      <c r="P488">
        <f>LN(B497)-LN(B488)</f>
        <v>-9.5270487954168814E-3</v>
      </c>
      <c r="Q488">
        <f>IF(P488&lt;-(O488),1,0)</f>
        <v>0</v>
      </c>
    </row>
    <row r="489" spans="1:17">
      <c r="A489" s="64">
        <v>41999</v>
      </c>
      <c r="B489">
        <v>2088.7700199999999</v>
      </c>
      <c r="C489" s="68">
        <f>LN(B489)-LN(B488)</f>
        <v>3.3041101164723585E-3</v>
      </c>
      <c r="D489" s="68"/>
      <c r="E489" s="68"/>
      <c r="F489" s="68"/>
      <c r="G489" s="68"/>
      <c r="H489" s="68"/>
      <c r="I489">
        <f>_xlfn.STDEV.S(C469:C489)</f>
        <v>9.6408614988121207E-3</v>
      </c>
      <c r="J489">
        <f>_xlfn.NORM.S.INV(0.99)*I489*SQRT(10)</f>
        <v>7.0923555936228469E-2</v>
      </c>
      <c r="K489">
        <f>LN(B498)-LN(B489)</f>
        <v>-2.1270481064875391E-2</v>
      </c>
      <c r="L489">
        <f>IF(K489&lt;-(J489),1,0)</f>
        <v>0</v>
      </c>
      <c r="M489" s="72">
        <f t="shared" si="7"/>
        <v>6.6711692057676866E-2</v>
      </c>
      <c r="N489">
        <f>SQRT((N488^2)*0.72+(1-0.72)*(C488^2))</f>
        <v>9.0689917437319009E-3</v>
      </c>
      <c r="O489">
        <f>_xlfn.NORM.S.INV(0.99)*N489*SQRT(10)</f>
        <v>6.6716562964939885E-2</v>
      </c>
      <c r="P489">
        <f>LN(B498)-LN(B489)</f>
        <v>-2.1270481064875391E-2</v>
      </c>
      <c r="Q489">
        <f>IF(P489&lt;-(O489),1,0)</f>
        <v>0</v>
      </c>
    </row>
    <row r="490" spans="1:17">
      <c r="A490" s="64">
        <v>42002</v>
      </c>
      <c r="B490">
        <v>2090.570068</v>
      </c>
      <c r="C490" s="68">
        <f>LN(B490)-LN(B489)</f>
        <v>8.6140303177284494E-4</v>
      </c>
      <c r="D490" s="68"/>
      <c r="E490" s="68"/>
      <c r="F490" s="68"/>
      <c r="G490" s="68"/>
      <c r="H490" s="68"/>
      <c r="I490">
        <f>_xlfn.STDEV.S(C470:C490)</f>
        <v>9.626965044250195E-3</v>
      </c>
      <c r="J490">
        <f>_xlfn.NORM.S.INV(0.99)*I490*SQRT(10)</f>
        <v>7.0821325863474144E-2</v>
      </c>
      <c r="K490">
        <f>LN(B499)-LN(B490)</f>
        <v>-3.0258501023237905E-2</v>
      </c>
      <c r="L490">
        <f>IF(K490&lt;-(J490),1,0)</f>
        <v>0</v>
      </c>
      <c r="M490" s="72">
        <f t="shared" si="7"/>
        <v>5.8048151834956783E-2</v>
      </c>
      <c r="N490">
        <f>SQRT((N489^2)*0.72+(1-0.72)*(C489^2))</f>
        <v>7.8914105408202356E-3</v>
      </c>
      <c r="O490">
        <f>_xlfn.NORM.S.INV(0.99)*N490*SQRT(10)</f>
        <v>5.8053618649802984E-2</v>
      </c>
      <c r="P490">
        <f>LN(B499)-LN(B490)</f>
        <v>-3.0258501023237905E-2</v>
      </c>
      <c r="Q490">
        <f>IF(P490&lt;-(O490),1,0)</f>
        <v>0</v>
      </c>
    </row>
    <row r="491" spans="1:17">
      <c r="A491" s="64">
        <v>42003</v>
      </c>
      <c r="B491">
        <v>2080.3500979999999</v>
      </c>
      <c r="C491" s="68">
        <f>LN(B491)-LN(B490)</f>
        <v>-4.9005926973650915E-3</v>
      </c>
      <c r="D491" s="68"/>
      <c r="E491" s="68"/>
      <c r="F491" s="68"/>
      <c r="G491" s="68"/>
      <c r="H491" s="68"/>
      <c r="I491">
        <f>_xlfn.STDEV.S(C471:C491)</f>
        <v>9.676651613568836E-3</v>
      </c>
      <c r="J491">
        <f>_xlfn.NORM.S.INV(0.99)*I491*SQRT(10)</f>
        <v>7.1186847988108343E-2</v>
      </c>
      <c r="K491">
        <f>LN(B500)-LN(B491)</f>
        <v>-2.7939794023991382E-2</v>
      </c>
      <c r="L491">
        <f>IF(K491&lt;-(J491),1,0)</f>
        <v>0</v>
      </c>
      <c r="M491" s="72">
        <f t="shared" si="7"/>
        <v>4.9368103547414763E-2</v>
      </c>
      <c r="N491">
        <f>SQRT((N490^2)*0.72+(1-0.72)*(C490^2))</f>
        <v>6.7115798203101753E-3</v>
      </c>
      <c r="O491">
        <f>_xlfn.NORM.S.INV(0.99)*N491*SQRT(10)</f>
        <v>4.9374125628179742E-2</v>
      </c>
      <c r="P491">
        <f>LN(B500)-LN(B491)</f>
        <v>-2.7939794023991382E-2</v>
      </c>
      <c r="Q491">
        <f>IF(P491&lt;-(O491),1,0)</f>
        <v>0</v>
      </c>
    </row>
    <row r="492" spans="1:17">
      <c r="A492" s="64">
        <v>42004</v>
      </c>
      <c r="B492">
        <v>2058.8999020000001</v>
      </c>
      <c r="C492" s="68">
        <f>LN(B492)-LN(B491)</f>
        <v>-1.0364383893445073E-2</v>
      </c>
      <c r="D492" s="68"/>
      <c r="E492" s="68"/>
      <c r="F492" s="68"/>
      <c r="G492" s="68"/>
      <c r="H492" s="68"/>
      <c r="I492">
        <f>_xlfn.STDEV.S(C472:C492)</f>
        <v>9.8353615259060678E-3</v>
      </c>
      <c r="J492">
        <f>_xlfn.NORM.S.INV(0.99)*I492*SQRT(10)</f>
        <v>7.2354406649403333E-2</v>
      </c>
      <c r="K492">
        <f>LN(B501)-LN(B492)</f>
        <v>-2.3405438718712368E-2</v>
      </c>
      <c r="L492">
        <f>IF(K492&lt;-(J492),1,0)</f>
        <v>0</v>
      </c>
      <c r="M492" s="72">
        <f t="shared" si="7"/>
        <v>4.6018608794451507E-2</v>
      </c>
      <c r="N492">
        <f>SQRT((N491^2)*0.72+(1-0.72)*(C491^2))</f>
        <v>6.2575590378913153E-3</v>
      </c>
      <c r="O492">
        <f>_xlfn.NORM.S.INV(0.99)*N492*SQRT(10)</f>
        <v>4.6034095449127614E-2</v>
      </c>
      <c r="P492">
        <f>LN(B501)-LN(B492)</f>
        <v>-2.3405438718712368E-2</v>
      </c>
      <c r="Q492">
        <f>IF(P492&lt;-(O492),1,0)</f>
        <v>0</v>
      </c>
    </row>
    <row r="493" spans="1:17">
      <c r="A493" s="64">
        <v>42006</v>
      </c>
      <c r="B493">
        <v>2058.1999510000001</v>
      </c>
      <c r="C493" s="68">
        <f>LN(B493)-LN(B492)</f>
        <v>-3.4002138968514117E-4</v>
      </c>
      <c r="D493" s="68"/>
      <c r="E493" s="68"/>
      <c r="F493" s="68"/>
      <c r="G493" s="68"/>
      <c r="H493" s="68"/>
      <c r="I493">
        <f>_xlfn.STDEV.S(C473:C493)</f>
        <v>9.7310196985209985E-3</v>
      </c>
      <c r="J493">
        <f>_xlfn.NORM.S.INV(0.99)*I493*SQRT(10)</f>
        <v>7.1586809953615826E-2</v>
      </c>
      <c r="K493">
        <f>LN(B502)-LN(B493)</f>
        <v>-3.2356320539212113E-2</v>
      </c>
      <c r="L493">
        <f>IF(K493&lt;-(J493),1,0)</f>
        <v>0</v>
      </c>
      <c r="M493" s="72">
        <f t="shared" si="7"/>
        <v>5.6139713625741557E-2</v>
      </c>
      <c r="N493">
        <f>SQRT((N492^2)*0.72+(1-0.72)*(C492^2))</f>
        <v>7.6335312574546798E-3</v>
      </c>
      <c r="O493">
        <f>_xlfn.NORM.S.INV(0.99)*N493*SQRT(10)</f>
        <v>5.6156514767455437E-2</v>
      </c>
      <c r="P493">
        <f>LN(B502)-LN(B493)</f>
        <v>-3.2356320539212113E-2</v>
      </c>
      <c r="Q493">
        <f>IF(P493&lt;-(O493),1,0)</f>
        <v>0</v>
      </c>
    </row>
    <row r="494" spans="1:17">
      <c r="A494" s="64">
        <v>42009</v>
      </c>
      <c r="B494">
        <v>2020.579956</v>
      </c>
      <c r="C494" s="68">
        <f>LN(B494)-LN(B493)</f>
        <v>-1.844721347614442E-2</v>
      </c>
      <c r="D494" s="68"/>
      <c r="E494" s="68"/>
      <c r="F494" s="68"/>
      <c r="G494" s="68"/>
      <c r="H494" s="68"/>
      <c r="I494">
        <f>_xlfn.STDEV.S(C474:C494)</f>
        <v>1.0459429684200244E-2</v>
      </c>
      <c r="J494">
        <f>_xlfn.NORM.S.INV(0.99)*I494*SQRT(10)</f>
        <v>7.6945400196841984E-2</v>
      </c>
      <c r="K494">
        <f>LN(B503)-LN(B494)</f>
        <v>-5.7421387716427574E-4</v>
      </c>
      <c r="L494">
        <f>IF(K494&lt;-(J494),1,0)</f>
        <v>0</v>
      </c>
      <c r="M494" s="72">
        <f t="shared" si="7"/>
        <v>4.7651365042656248E-2</v>
      </c>
      <c r="N494">
        <f>SQRT((N493^2)*0.72+(1-0.72)*(C493^2))</f>
        <v>6.4797644774228667E-3</v>
      </c>
      <c r="O494">
        <f>_xlfn.NORM.S.INV(0.99)*N494*SQRT(10)</f>
        <v>4.7668762633371678E-2</v>
      </c>
      <c r="P494">
        <f>LN(B503)-LN(B494)</f>
        <v>-5.7421387716427574E-4</v>
      </c>
      <c r="Q494">
        <f>IF(P494&lt;-(O494),1,0)</f>
        <v>0</v>
      </c>
    </row>
    <row r="495" spans="1:17">
      <c r="A495" s="64">
        <v>42010</v>
      </c>
      <c r="B495">
        <v>2002.6099850000001</v>
      </c>
      <c r="C495" s="68">
        <f>LN(B495)-LN(B494)</f>
        <v>-8.9332548391878319E-3</v>
      </c>
      <c r="D495" s="68"/>
      <c r="E495" s="68"/>
      <c r="F495" s="68"/>
      <c r="G495" s="68"/>
      <c r="H495" s="68"/>
      <c r="I495">
        <f>_xlfn.STDEV.S(C475:C495)</f>
        <v>1.0592780620778211E-2</v>
      </c>
      <c r="J495">
        <f>_xlfn.NORM.S.INV(0.99)*I495*SQRT(10)</f>
        <v>7.7926404084378509E-2</v>
      </c>
      <c r="K495">
        <f>LN(B504)-LN(B495)</f>
        <v>9.9077934533227108E-3</v>
      </c>
      <c r="L495">
        <f>IF(K495&lt;-(J495),1,0)</f>
        <v>0</v>
      </c>
      <c r="M495" s="72">
        <f t="shared" si="7"/>
        <v>8.2410593217363756E-2</v>
      </c>
      <c r="N495">
        <f>SQRT((N494^2)*0.72+(1-0.72)*(C494^2))</f>
        <v>1.1203338883623565E-2</v>
      </c>
      <c r="O495">
        <f>_xlfn.NORM.S.INV(0.99)*N495*SQRT(10)</f>
        <v>8.2418011303564714E-2</v>
      </c>
      <c r="P495">
        <f>LN(B504)-LN(B495)</f>
        <v>9.9077934533227108E-3</v>
      </c>
      <c r="Q495">
        <f>IF(P495&lt;-(O495),1,0)</f>
        <v>0</v>
      </c>
    </row>
    <row r="496" spans="1:17">
      <c r="A496" s="64">
        <v>42011</v>
      </c>
      <c r="B496">
        <v>2025.900024</v>
      </c>
      <c r="C496" s="68">
        <f>LN(B496)-LN(B495)</f>
        <v>1.1562735816044167E-2</v>
      </c>
      <c r="D496" s="68"/>
      <c r="E496" s="68"/>
      <c r="F496" s="68"/>
      <c r="G496" s="68"/>
      <c r="H496" s="68"/>
      <c r="I496">
        <f>_xlfn.STDEV.S(C476:C496)</f>
        <v>1.096010719554885E-2</v>
      </c>
      <c r="J496">
        <f>_xlfn.NORM.S.INV(0.99)*I496*SQRT(10)</f>
        <v>8.0628663304243717E-2</v>
      </c>
      <c r="K496">
        <f>LN(B505)-LN(B496)</f>
        <v>3.0655225168212397E-3</v>
      </c>
      <c r="L496">
        <f>IF(K496&lt;-(J496),1,0)</f>
        <v>0</v>
      </c>
      <c r="M496" s="72">
        <f t="shared" si="7"/>
        <v>7.80967682951208E-2</v>
      </c>
      <c r="N496">
        <f>SQRT((N495^2)*0.72+(1-0.72)*(C495^2))</f>
        <v>1.0616756063311845E-2</v>
      </c>
      <c r="O496">
        <f>_xlfn.NORM.S.INV(0.99)*N496*SQRT(10)</f>
        <v>7.8102780815839642E-2</v>
      </c>
      <c r="P496">
        <f>LN(B505)-LN(B496)</f>
        <v>3.0655225168212397E-3</v>
      </c>
      <c r="Q496">
        <f>IF(P496&lt;-(O496),1,0)</f>
        <v>0</v>
      </c>
    </row>
    <row r="497" spans="1:17">
      <c r="A497" s="64">
        <v>42012</v>
      </c>
      <c r="B497">
        <v>2062.139893</v>
      </c>
      <c r="C497" s="68">
        <f>LN(B497)-LN(B496)</f>
        <v>1.7730168536121305E-2</v>
      </c>
      <c r="D497" s="68"/>
      <c r="E497" s="68"/>
      <c r="F497" s="68"/>
      <c r="G497" s="68"/>
      <c r="H497" s="68"/>
      <c r="I497">
        <f>_xlfn.STDEV.S(C477:C497)</f>
        <v>1.1600590497700977E-2</v>
      </c>
      <c r="J497">
        <f>_xlfn.NORM.S.INV(0.99)*I497*SQRT(10)</f>
        <v>8.5340415808104891E-2</v>
      </c>
      <c r="K497">
        <f>LN(B506)-LN(B497)</f>
        <v>4.8966694238306019E-4</v>
      </c>
      <c r="L497">
        <f>IF(K497&lt;-(J497),1,0)</f>
        <v>0</v>
      </c>
      <c r="M497" s="72">
        <f t="shared" si="7"/>
        <v>8.0101050805825108E-2</v>
      </c>
      <c r="N497">
        <f>SQRT((N496^2)*0.72+(1-0.72)*(C496^2))</f>
        <v>1.0889916775445169E-2</v>
      </c>
      <c r="O497">
        <f>_xlfn.NORM.S.INV(0.99)*N497*SQRT(10)</f>
        <v>8.0112303413893235E-2</v>
      </c>
      <c r="P497">
        <f>LN(B506)-LN(B497)</f>
        <v>4.8966694238306019E-4</v>
      </c>
      <c r="Q497">
        <f>IF(P497&lt;-(O497),1,0)</f>
        <v>0</v>
      </c>
    </row>
    <row r="498" spans="1:17">
      <c r="A498" s="64">
        <v>42013</v>
      </c>
      <c r="B498">
        <v>2044.8100589999999</v>
      </c>
      <c r="C498" s="68">
        <f>LN(B498)-LN(B497)</f>
        <v>-8.4393221529861506E-3</v>
      </c>
      <c r="D498" s="68"/>
      <c r="E498" s="68"/>
      <c r="F498" s="68"/>
      <c r="G498" s="68"/>
      <c r="H498" s="68"/>
      <c r="I498">
        <f>_xlfn.STDEV.S(C478:C498)</f>
        <v>1.1747616646822249E-2</v>
      </c>
      <c r="J498">
        <f>_xlfn.NORM.S.INV(0.99)*I498*SQRT(10)</f>
        <v>8.6422022188673217E-2</v>
      </c>
      <c r="K498">
        <f>LN(B507)-LN(B498)</f>
        <v>3.4223328075322357E-3</v>
      </c>
      <c r="L498">
        <f>IF(K498&lt;-(J498),1,0)</f>
        <v>0</v>
      </c>
      <c r="M498" s="72">
        <f t="shared" si="7"/>
        <v>9.6867037475103446E-2</v>
      </c>
      <c r="N498">
        <f>SQRT((N497^2)*0.72+(1-0.72)*(C497^2))</f>
        <v>1.3168351919667183E-2</v>
      </c>
      <c r="O498">
        <f>_xlfn.NORM.S.INV(0.99)*N498*SQRT(10)</f>
        <v>9.6873743500778556E-2</v>
      </c>
      <c r="P498">
        <f>LN(B507)-LN(B498)</f>
        <v>3.4223328075322357E-3</v>
      </c>
      <c r="Q498">
        <f>IF(P498&lt;-(O498),1,0)</f>
        <v>0</v>
      </c>
    </row>
    <row r="499" spans="1:17">
      <c r="A499" s="64">
        <v>42016</v>
      </c>
      <c r="B499">
        <v>2028.26001</v>
      </c>
      <c r="C499" s="68">
        <f>LN(B499)-LN(B498)</f>
        <v>-8.1266169265896693E-3</v>
      </c>
      <c r="D499" s="68"/>
      <c r="E499" s="68"/>
      <c r="F499" s="68"/>
      <c r="G499" s="68"/>
      <c r="H499" s="68"/>
      <c r="I499">
        <f>_xlfn.STDEV.S(C479:C499)</f>
        <v>1.13068005080811E-2</v>
      </c>
      <c r="J499">
        <f>_xlfn.NORM.S.INV(0.99)*I499*SQRT(10)</f>
        <v>8.3179132735541644E-2</v>
      </c>
      <c r="K499">
        <f>LN(B508)-LN(B499)</f>
        <v>1.411411796106421E-2</v>
      </c>
      <c r="L499">
        <f>IF(K499&lt;-(J499),1,0)</f>
        <v>0</v>
      </c>
      <c r="M499" s="72">
        <f t="shared" si="7"/>
        <v>8.8483889310790736E-2</v>
      </c>
      <c r="N499">
        <f>SQRT((N498^2)*0.72+(1-0.72)*(C498^2))</f>
        <v>1.2033044452434839E-2</v>
      </c>
      <c r="O499">
        <f>_xlfn.NORM.S.INV(0.99)*N499*SQRT(10)</f>
        <v>8.8521788370317239E-2</v>
      </c>
      <c r="P499">
        <f>LN(B508)-LN(B499)</f>
        <v>1.411411796106421E-2</v>
      </c>
      <c r="Q499">
        <f>IF(P499&lt;-(O499),1,0)</f>
        <v>0</v>
      </c>
    </row>
    <row r="500" spans="1:17">
      <c r="A500" s="64">
        <v>42017</v>
      </c>
      <c r="B500">
        <v>2023.030029</v>
      </c>
      <c r="C500" s="68">
        <f>LN(B500)-LN(B499)</f>
        <v>-2.5818856981185689E-3</v>
      </c>
      <c r="D500" s="68"/>
      <c r="E500" s="68"/>
      <c r="F500" s="68"/>
      <c r="G500" s="68"/>
      <c r="H500" s="68"/>
      <c r="I500">
        <f>_xlfn.STDEV.S(C480:C500)</f>
        <v>1.1272452664714161E-2</v>
      </c>
      <c r="J500">
        <f>_xlfn.NORM.S.INV(0.99)*I500*SQRT(10)</f>
        <v>8.2926450836665277E-2</v>
      </c>
      <c r="K500">
        <f>LN(B509)-LN(B500)</f>
        <v>3.2177158748423196E-3</v>
      </c>
      <c r="L500">
        <f>IF(K500&lt;-(J500),1,0)</f>
        <v>0</v>
      </c>
      <c r="M500" s="72">
        <f t="shared" si="7"/>
        <v>8.147076228325506E-2</v>
      </c>
      <c r="N500">
        <f>SQRT((N499^2)*0.72+(1-0.72)*(C499^2))</f>
        <v>1.1078967780434507E-2</v>
      </c>
      <c r="O500">
        <f>_xlfn.NORM.S.INV(0.99)*N500*SQRT(10)</f>
        <v>8.1503068080392552E-2</v>
      </c>
      <c r="P500">
        <f>LN(B509)-LN(B500)</f>
        <v>3.2177158748423196E-3</v>
      </c>
      <c r="Q500">
        <f>IF(P500&lt;-(O500),1,0)</f>
        <v>0</v>
      </c>
    </row>
    <row r="501" spans="1:17">
      <c r="A501" s="64">
        <v>42018</v>
      </c>
      <c r="B501">
        <v>2011.2700199999999</v>
      </c>
      <c r="C501" s="68">
        <f>LN(B501)-LN(B500)</f>
        <v>-5.8300285881660585E-3</v>
      </c>
      <c r="D501" s="68"/>
      <c r="E501" s="68"/>
      <c r="F501" s="68"/>
      <c r="G501" s="68"/>
      <c r="H501" s="68"/>
      <c r="I501">
        <f>_xlfn.STDEV.S(C481:C501)</f>
        <v>1.0744651354031236E-2</v>
      </c>
      <c r="J501">
        <f>_xlfn.NORM.S.INV(0.99)*I501*SQRT(10)</f>
        <v>7.9043649928670953E-2</v>
      </c>
      <c r="K501">
        <f>LN(B510)-LN(B501)</f>
        <v>-4.5397585224469239E-3</v>
      </c>
      <c r="L501">
        <f>IF(K501&lt;-(J501),1,0)</f>
        <v>0</v>
      </c>
      <c r="M501" s="72">
        <f t="shared" si="7"/>
        <v>6.9816385752186266E-2</v>
      </c>
      <c r="N501">
        <f>SQRT((N500^2)*0.72+(1-0.72)*(C500^2))</f>
        <v>9.4995714087433465E-3</v>
      </c>
      <c r="O501">
        <f>_xlfn.NORM.S.INV(0.99)*N501*SQRT(10)</f>
        <v>6.9884147206265665E-2</v>
      </c>
      <c r="P501">
        <f>LN(B510)-LN(B501)</f>
        <v>-4.5397585224469239E-3</v>
      </c>
      <c r="Q501">
        <f>IF(P501&lt;-(O501),1,0)</f>
        <v>0</v>
      </c>
    </row>
    <row r="502" spans="1:17">
      <c r="A502" s="64">
        <v>42019</v>
      </c>
      <c r="B502">
        <v>1992.670044</v>
      </c>
      <c r="C502" s="68">
        <f>LN(B502)-LN(B501)</f>
        <v>-9.2909032101848865E-3</v>
      </c>
      <c r="D502" s="68"/>
      <c r="E502" s="68"/>
      <c r="F502" s="68"/>
      <c r="G502" s="68"/>
      <c r="H502" s="68"/>
      <c r="I502">
        <f>_xlfn.STDEV.S(C482:C502)</f>
        <v>1.0852696756210917E-2</v>
      </c>
      <c r="J502">
        <f>_xlfn.NORM.S.INV(0.99)*I502*SQRT(10)</f>
        <v>7.9838492186915938E-2</v>
      </c>
      <c r="K502">
        <f>LN(B511)-LN(B502)</f>
        <v>1.4240661835748014E-2</v>
      </c>
      <c r="L502">
        <f>IF(K502&lt;-(J502),1,0)</f>
        <v>0</v>
      </c>
      <c r="M502" s="72">
        <f t="shared" si="7"/>
        <v>6.343268281799265E-2</v>
      </c>
      <c r="N502">
        <f>SQRT((N501^2)*0.72+(1-0.72)*(C501^2))</f>
        <v>8.6308239663858005E-3</v>
      </c>
      <c r="O502">
        <f>_xlfn.NORM.S.INV(0.99)*N502*SQRT(10)</f>
        <v>6.3493156335782508E-2</v>
      </c>
      <c r="P502">
        <f>LN(B511)-LN(B502)</f>
        <v>1.4240661835748014E-2</v>
      </c>
      <c r="Q502">
        <f>IF(P502&lt;-(O502),1,0)</f>
        <v>0</v>
      </c>
    </row>
    <row r="503" spans="1:17">
      <c r="A503" s="64">
        <v>42020</v>
      </c>
      <c r="B503">
        <v>2019.420044</v>
      </c>
      <c r="C503" s="68">
        <f>LN(B503)-LN(B502)</f>
        <v>1.3334893185903418E-2</v>
      </c>
      <c r="D503" s="68"/>
      <c r="E503" s="68"/>
      <c r="F503" s="68"/>
      <c r="G503" s="68"/>
      <c r="H503" s="68"/>
      <c r="I503">
        <f>_xlfn.STDEV.S(C483:C503)</f>
        <v>1.1033643308222081E-2</v>
      </c>
      <c r="J503">
        <f>_xlfn.NORM.S.INV(0.99)*I503*SQRT(10)</f>
        <v>8.116963597573737E-2</v>
      </c>
      <c r="K503">
        <f>LN(B512)-LN(B503)</f>
        <v>-1.2171330473955244E-2</v>
      </c>
      <c r="L503">
        <f>IF(K503&lt;-(J503),1,0)</f>
        <v>0</v>
      </c>
      <c r="M503" s="72">
        <f t="shared" si="7"/>
        <v>6.4834949324934055E-2</v>
      </c>
      <c r="N503">
        <f>SQRT((N502^2)*0.72+(1-0.72)*(C502^2))</f>
        <v>8.8206266882222793E-3</v>
      </c>
      <c r="O503">
        <f>_xlfn.NORM.S.INV(0.99)*N503*SQRT(10)</f>
        <v>6.4889451050801142E-2</v>
      </c>
      <c r="P503">
        <f>LN(B512)-LN(B503)</f>
        <v>-1.2171330473955244E-2</v>
      </c>
      <c r="Q503">
        <f>IF(P503&lt;-(O503),1,0)</f>
        <v>0</v>
      </c>
    </row>
    <row r="504" spans="1:17">
      <c r="A504" s="64">
        <v>42024</v>
      </c>
      <c r="B504">
        <v>2022.5500489999999</v>
      </c>
      <c r="C504" s="68">
        <f>LN(B504)-LN(B503)</f>
        <v>1.5487524912991546E-3</v>
      </c>
      <c r="D504" s="68"/>
      <c r="E504" s="68"/>
      <c r="F504" s="68"/>
      <c r="G504" s="68"/>
      <c r="H504" s="68"/>
      <c r="I504">
        <f>_xlfn.STDEV.S(C484:C504)</f>
        <v>1.0139608323391384E-2</v>
      </c>
      <c r="J504">
        <f>_xlfn.NORM.S.INV(0.99)*I504*SQRT(10)</f>
        <v>7.4592615834601875E-2</v>
      </c>
      <c r="K504">
        <f>LN(B513)-LN(B504)</f>
        <v>-8.4091264266206167E-4</v>
      </c>
      <c r="L504">
        <f>IF(K504&lt;-(J504),1,0)</f>
        <v>0</v>
      </c>
      <c r="M504" s="72">
        <f t="shared" si="7"/>
        <v>7.5581080206759008E-2</v>
      </c>
      <c r="N504">
        <f>SQRT((N503^2)*0.72+(1-0.72)*(C503^2))</f>
        <v>1.0286297345633751E-2</v>
      </c>
      <c r="O504">
        <f>_xlfn.NORM.S.INV(0.99)*N504*SQRT(10)</f>
        <v>7.5671742121761906E-2</v>
      </c>
      <c r="P504">
        <f>LN(B513)-LN(B504)</f>
        <v>-8.4091264266206167E-4</v>
      </c>
      <c r="Q504">
        <f>IF(P504&lt;-(O504),1,0)</f>
        <v>0</v>
      </c>
    </row>
    <row r="505" spans="1:17">
      <c r="A505" s="64">
        <v>42025</v>
      </c>
      <c r="B505">
        <v>2032.119995</v>
      </c>
      <c r="C505" s="68">
        <f>LN(B505)-LN(B504)</f>
        <v>4.7204648795426962E-3</v>
      </c>
      <c r="D505" s="68"/>
      <c r="E505" s="68"/>
      <c r="F505" s="68"/>
      <c r="G505" s="68"/>
      <c r="H505" s="68"/>
      <c r="I505">
        <f>_xlfn.STDEV.S(C485:C505)</f>
        <v>8.679849753080067E-3</v>
      </c>
      <c r="J505">
        <f>_xlfn.NORM.S.INV(0.99)*I505*SQRT(10)</f>
        <v>6.3853817374773358E-2</v>
      </c>
      <c r="K505">
        <f>LN(B514)-LN(B505)</f>
        <v>8.7748607055377903E-3</v>
      </c>
      <c r="L505">
        <f>IF(K505&lt;-(J505),1,0)</f>
        <v>0</v>
      </c>
      <c r="M505" s="72">
        <f t="shared" si="7"/>
        <v>6.4322507950508381E-2</v>
      </c>
      <c r="N505">
        <f>SQRT((N504^2)*0.72+(1-0.72)*(C504^2))</f>
        <v>8.7666022504625865E-3</v>
      </c>
      <c r="O505">
        <f>_xlfn.NORM.S.INV(0.99)*N505*SQRT(10)</f>
        <v>6.4492017145766314E-2</v>
      </c>
      <c r="P505">
        <f>LN(B514)-LN(B505)</f>
        <v>8.7748607055377903E-3</v>
      </c>
      <c r="Q505">
        <f>IF(P505&lt;-(O505),1,0)</f>
        <v>0</v>
      </c>
    </row>
    <row r="506" spans="1:17">
      <c r="A506" s="64">
        <v>42026</v>
      </c>
      <c r="B506">
        <v>2063.1499020000001</v>
      </c>
      <c r="C506" s="68">
        <f>LN(B506)-LN(B505)</f>
        <v>1.5154312961683125E-2</v>
      </c>
      <c r="D506" s="68"/>
      <c r="E506" s="68"/>
      <c r="F506" s="68"/>
      <c r="G506" s="68"/>
      <c r="H506" s="68"/>
      <c r="I506">
        <f>_xlfn.STDEV.S(C486:C506)</f>
        <v>9.2861864715534041E-3</v>
      </c>
      <c r="J506">
        <f>_xlfn.NORM.S.INV(0.99)*I506*SQRT(10)</f>
        <v>6.8314368558309344E-2</v>
      </c>
      <c r="K506">
        <f>LN(B515)-LN(B506)</f>
        <v>-1.0544158568978723E-2</v>
      </c>
      <c r="L506">
        <f>IF(K506&lt;-(J506),1,0)</f>
        <v>0</v>
      </c>
      <c r="M506" s="72">
        <f t="shared" si="7"/>
        <v>5.7585879450084157E-2</v>
      </c>
      <c r="N506">
        <f>SQRT((N505^2)*0.72+(1-0.72)*(C505^2))</f>
        <v>7.8468826703950514E-3</v>
      </c>
      <c r="O506">
        <f>_xlfn.NORM.S.INV(0.99)*N506*SQRT(10)</f>
        <v>5.7726046792328338E-2</v>
      </c>
      <c r="P506">
        <f>LN(B515)-LN(B506)</f>
        <v>-1.0544158568978723E-2</v>
      </c>
      <c r="Q506">
        <f>IF(P506&lt;-(O506),1,0)</f>
        <v>0</v>
      </c>
    </row>
    <row r="507" spans="1:17">
      <c r="A507" s="64">
        <v>42027</v>
      </c>
      <c r="B507">
        <v>2051.820068</v>
      </c>
      <c r="C507" s="68">
        <f>LN(B507)-LN(B506)</f>
        <v>-5.5066562878369751E-3</v>
      </c>
      <c r="D507" s="68"/>
      <c r="E507" s="68"/>
      <c r="F507" s="68"/>
      <c r="G507" s="68"/>
      <c r="H507" s="68"/>
      <c r="I507">
        <f>_xlfn.STDEV.S(C487:C507)</f>
        <v>9.3090796495056295E-3</v>
      </c>
      <c r="J507">
        <f>_xlfn.NORM.S.INV(0.99)*I507*SQRT(10)</f>
        <v>6.8482783547701404E-2</v>
      </c>
      <c r="K507">
        <f>LN(B516)-LN(B507)</f>
        <v>5.2013085422331073E-3</v>
      </c>
      <c r="L507">
        <f>IF(K507&lt;-(J507),1,0)</f>
        <v>0</v>
      </c>
      <c r="M507" s="72">
        <f t="shared" si="7"/>
        <v>7.6598392728772904E-2</v>
      </c>
      <c r="N507">
        <f>SQRT((N506^2)*0.72+(1-0.72)*(C506^2))</f>
        <v>1.0422853020085223E-2</v>
      </c>
      <c r="O507">
        <f>_xlfn.NORM.S.INV(0.99)*N507*SQRT(10)</f>
        <v>7.6676321849057191E-2</v>
      </c>
      <c r="P507">
        <f>LN(B516)-LN(B507)</f>
        <v>5.2013085422331073E-3</v>
      </c>
      <c r="Q507">
        <f>IF(P507&lt;-(O507),1,0)</f>
        <v>0</v>
      </c>
    </row>
    <row r="508" spans="1:17">
      <c r="A508" s="64">
        <v>42030</v>
      </c>
      <c r="B508">
        <v>2057.0900879999999</v>
      </c>
      <c r="C508" s="68">
        <f>LN(B508)-LN(B507)</f>
        <v>2.5651682269423048E-3</v>
      </c>
      <c r="D508" s="68"/>
      <c r="E508" s="68"/>
      <c r="F508" s="68"/>
      <c r="G508" s="68"/>
      <c r="H508" s="68"/>
      <c r="I508">
        <f>_xlfn.STDEV.S(C488:C508)</f>
        <v>9.3211954737973408E-3</v>
      </c>
      <c r="J508">
        <f>_xlfn.NORM.S.INV(0.99)*I508*SQRT(10)</f>
        <v>6.8571914310753282E-2</v>
      </c>
      <c r="K508">
        <f>LN(B517)-LN(B508)</f>
        <v>-7.8788737942581122E-4</v>
      </c>
      <c r="L508">
        <f>IF(K508&lt;-(J508),1,0)</f>
        <v>0</v>
      </c>
      <c r="M508" s="72">
        <f t="shared" si="7"/>
        <v>6.8439015850872087E-2</v>
      </c>
      <c r="N508">
        <f>SQRT((N507^2)*0.72+(1-0.72)*(C507^2))</f>
        <v>9.311731129529063E-3</v>
      </c>
      <c r="O508">
        <f>_xlfn.NORM.S.INV(0.99)*N508*SQRT(10)</f>
        <v>6.8502289314045936E-2</v>
      </c>
      <c r="P508">
        <f>LN(B517)-LN(B508)</f>
        <v>-7.8788737942581122E-4</v>
      </c>
      <c r="Q508">
        <f>IF(P508&lt;-(O508),1,0)</f>
        <v>0</v>
      </c>
    </row>
    <row r="509" spans="1:17">
      <c r="A509" s="64">
        <v>42031</v>
      </c>
      <c r="B509">
        <v>2029.5500489999999</v>
      </c>
      <c r="C509" s="68">
        <f>LN(B509)-LN(B508)</f>
        <v>-1.3478287784340459E-2</v>
      </c>
      <c r="D509" s="68"/>
      <c r="E509" s="68"/>
      <c r="F509" s="68"/>
      <c r="G509" s="68"/>
      <c r="H509" s="68"/>
      <c r="I509">
        <f>_xlfn.STDEV.S(C489:C509)</f>
        <v>9.7351709676271152E-3</v>
      </c>
      <c r="J509">
        <f>_xlfn.NORM.S.INV(0.99)*I509*SQRT(10)</f>
        <v>7.1617349005202682E-2</v>
      </c>
      <c r="K509">
        <f>LN(B518)-LN(B509)</f>
        <v>8.4341608354892017E-3</v>
      </c>
      <c r="L509">
        <f>IF(K509&lt;-(J509),1,0)</f>
        <v>0</v>
      </c>
      <c r="M509" s="72">
        <f t="shared" si="7"/>
        <v>5.8924671115317719E-2</v>
      </c>
      <c r="N509">
        <f>SQRT((N508^2)*0.72+(1-0.72)*(C508^2))</f>
        <v>8.0170086080610659E-3</v>
      </c>
      <c r="O509">
        <f>_xlfn.NORM.S.INV(0.99)*N509*SQRT(10)</f>
        <v>5.8977588105077784E-2</v>
      </c>
      <c r="P509">
        <f>LN(B518)-LN(B509)</f>
        <v>8.4341608354892017E-3</v>
      </c>
      <c r="Q509">
        <f>IF(P509&lt;-(O509),1,0)</f>
        <v>0</v>
      </c>
    </row>
    <row r="510" spans="1:17">
      <c r="A510" s="64">
        <v>42032</v>
      </c>
      <c r="B510">
        <v>2002.160034</v>
      </c>
      <c r="C510" s="68">
        <f>LN(B510)-LN(B509)</f>
        <v>-1.3587502985455302E-2</v>
      </c>
      <c r="D510" s="68"/>
      <c r="E510" s="68"/>
      <c r="F510" s="68"/>
      <c r="G510" s="68"/>
      <c r="H510" s="68"/>
      <c r="I510">
        <f>_xlfn.STDEV.S(C490:C510)</f>
        <v>1.0036517376538528E-2</v>
      </c>
      <c r="J510">
        <f>_xlfn.NORM.S.INV(0.99)*I510*SQRT(10)</f>
        <v>7.3834221313890391E-2</v>
      </c>
      <c r="K510">
        <f>LN(B519)-LN(B510)</f>
        <v>3.2640643542392489E-2</v>
      </c>
      <c r="L510">
        <f>IF(K510&lt;-(J510),1,0)</f>
        <v>0</v>
      </c>
      <c r="M510" s="72">
        <f t="shared" si="7"/>
        <v>7.2474173432561712E-2</v>
      </c>
      <c r="N510">
        <f>SQRT((N509^2)*0.72+(1-0.72)*(C509^2))</f>
        <v>9.8560709769635133E-3</v>
      </c>
      <c r="O510">
        <f>_xlfn.NORM.S.INV(0.99)*N510*SQRT(10)</f>
        <v>7.2506756925430252E-2</v>
      </c>
      <c r="P510">
        <f>LN(B519)-LN(B510)</f>
        <v>3.2640643542392489E-2</v>
      </c>
      <c r="Q510">
        <f>IF(P510&lt;-(O510),1,0)</f>
        <v>0</v>
      </c>
    </row>
    <row r="511" spans="1:17">
      <c r="A511" s="64">
        <v>42033</v>
      </c>
      <c r="B511">
        <v>2021.25</v>
      </c>
      <c r="C511" s="68">
        <f>LN(B511)-LN(B510)</f>
        <v>9.4895171480100515E-3</v>
      </c>
      <c r="D511" s="68"/>
      <c r="E511" s="68"/>
      <c r="F511" s="68"/>
      <c r="G511" s="68"/>
      <c r="H511" s="68"/>
      <c r="I511">
        <f>_xlfn.STDEV.S(C491:C511)</f>
        <v>1.0332464910452678E-2</v>
      </c>
      <c r="J511">
        <f>_xlfn.NORM.S.INV(0.99)*I511*SQRT(10)</f>
        <v>7.6011376486001869E-2</v>
      </c>
      <c r="K511">
        <f>LN(B520)-LN(B511)</f>
        <v>2.3122092187830567E-2</v>
      </c>
      <c r="L511">
        <f>IF(K511&lt;-(J511),1,0)</f>
        <v>0</v>
      </c>
      <c r="M511" s="72">
        <f t="shared" si="7"/>
        <v>8.1113470415240779E-2</v>
      </c>
      <c r="N511">
        <f>SQRT((N510^2)*0.72+(1-0.72)*(C510^2))</f>
        <v>1.102887137201493E-2</v>
      </c>
      <c r="O511">
        <f>_xlfn.NORM.S.INV(0.99)*N511*SQRT(10)</f>
        <v>8.1134530950677769E-2</v>
      </c>
      <c r="P511">
        <f>LN(B520)-LN(B511)</f>
        <v>2.3122092187830567E-2</v>
      </c>
      <c r="Q511">
        <f>IF(P511&lt;-(O511),1,0)</f>
        <v>0</v>
      </c>
    </row>
    <row r="512" spans="1:17">
      <c r="A512" s="64">
        <v>42034</v>
      </c>
      <c r="B512">
        <v>1994.98999</v>
      </c>
      <c r="C512" s="68">
        <f>LN(B512)-LN(B511)</f>
        <v>-1.307709912379984E-2</v>
      </c>
      <c r="D512" s="68"/>
      <c r="E512" s="68"/>
      <c r="F512" s="68"/>
      <c r="G512" s="68"/>
      <c r="H512" s="68"/>
      <c r="I512">
        <f>_xlfn.STDEV.S(C492:C512)</f>
        <v>1.0613079133357343E-2</v>
      </c>
      <c r="J512">
        <f>_xlfn.NORM.S.INV(0.99)*I512*SQRT(10)</f>
        <v>7.8075731267691503E-2</v>
      </c>
      <c r="K512">
        <f>LN(B521)-LN(B512)</f>
        <v>4.5797486296620171E-2</v>
      </c>
      <c r="L512">
        <f>IF(K512&lt;-(J512),1,0)</f>
        <v>0</v>
      </c>
      <c r="M512" s="72">
        <f t="shared" si="7"/>
        <v>7.8110329671710083E-2</v>
      </c>
      <c r="N512">
        <f>SQRT((N511^2)*0.72+(1-0.72)*(C511^2))</f>
        <v>1.0620366504494555E-2</v>
      </c>
      <c r="O512">
        <f>_xlfn.NORM.S.INV(0.99)*N512*SQRT(10)</f>
        <v>7.812934123548762E-2</v>
      </c>
      <c r="P512">
        <f>LN(B521)-LN(B512)</f>
        <v>4.5797486296620171E-2</v>
      </c>
      <c r="Q512">
        <f>IF(P512&lt;-(O512),1,0)</f>
        <v>0</v>
      </c>
    </row>
    <row r="513" spans="1:17">
      <c r="A513" s="64">
        <v>42037</v>
      </c>
      <c r="B513">
        <v>2020.849976</v>
      </c>
      <c r="C513" s="68">
        <f>LN(B513)-LN(B512)</f>
        <v>1.2879170322592337E-2</v>
      </c>
      <c r="D513" s="68"/>
      <c r="E513" s="68"/>
      <c r="F513" s="68"/>
      <c r="G513" s="68"/>
      <c r="H513" s="68"/>
      <c r="I513">
        <f>_xlfn.STDEV.S(C493:C513)</f>
        <v>1.0904635064193041E-2</v>
      </c>
      <c r="J513">
        <f>_xlfn.NORM.S.INV(0.99)*I513*SQRT(10)</f>
        <v>8.0220579357430419E-2</v>
      </c>
      <c r="K513">
        <f>LN(B522)-LN(B513)</f>
        <v>3.6984775314485852E-2</v>
      </c>
      <c r="L513">
        <f>IF(K513&lt;-(J513),1,0)</f>
        <v>0</v>
      </c>
      <c r="M513" s="72">
        <f t="shared" si="7"/>
        <v>8.3558206401633528E-2</v>
      </c>
      <c r="N513">
        <f>SQRT((N512^2)*0.72+(1-0.72)*(C512^2))</f>
        <v>1.1361924088589968E-2</v>
      </c>
      <c r="O513">
        <f>_xlfn.NORM.S.INV(0.99)*N513*SQRT(10)</f>
        <v>8.358465254786418E-2</v>
      </c>
      <c r="P513">
        <f>LN(B522)-LN(B513)</f>
        <v>3.6984775314485852E-2</v>
      </c>
      <c r="Q513">
        <f>IF(P513&lt;-(O513),1,0)</f>
        <v>0</v>
      </c>
    </row>
    <row r="514" spans="1:17">
      <c r="A514" s="64">
        <v>42038</v>
      </c>
      <c r="B514">
        <v>2050.030029</v>
      </c>
      <c r="C514" s="68">
        <f>LN(B514)-LN(B513)</f>
        <v>1.4336238227742548E-2</v>
      </c>
      <c r="D514" s="68"/>
      <c r="E514" s="68"/>
      <c r="F514" s="68"/>
      <c r="G514" s="68"/>
      <c r="H514" s="68"/>
      <c r="I514">
        <f>_xlfn.STDEV.S(C494:C514)</f>
        <v>1.1400547171495641E-2</v>
      </c>
      <c r="J514">
        <f>_xlfn.NORM.S.INV(0.99)*I514*SQRT(10)</f>
        <v>8.3868785493994319E-2</v>
      </c>
      <c r="K514">
        <f>LN(B523)-LN(B514)</f>
        <v>2.4244836948383863E-2</v>
      </c>
      <c r="L514">
        <f>IF(K514&lt;-(J514),1,0)</f>
        <v>0</v>
      </c>
      <c r="M514" s="72">
        <f t="shared" si="7"/>
        <v>8.6836301225959936E-2</v>
      </c>
      <c r="N514">
        <f>SQRT((N513^2)*0.72+(1-0.72)*(C513^2))</f>
        <v>1.1806423572439301E-2</v>
      </c>
      <c r="O514">
        <f>_xlfn.NORM.S.INV(0.99)*N514*SQRT(10)</f>
        <v>8.6854638742593485E-2</v>
      </c>
      <c r="P514">
        <f>LN(B523)-LN(B514)</f>
        <v>2.4244836948383863E-2</v>
      </c>
      <c r="Q514">
        <f>IF(P514&lt;-(O514),1,0)</f>
        <v>0</v>
      </c>
    </row>
    <row r="515" spans="1:17">
      <c r="A515" s="64">
        <v>42039</v>
      </c>
      <c r="B515">
        <v>2041.51001</v>
      </c>
      <c r="C515" s="68">
        <f>LN(B515)-LN(B514)</f>
        <v>-4.1647063128333883E-3</v>
      </c>
      <c r="D515" s="68"/>
      <c r="E515" s="68"/>
      <c r="F515" s="68"/>
      <c r="G515" s="68"/>
      <c r="H515" s="68"/>
      <c r="I515">
        <f>_xlfn.STDEV.S(C495:C515)</f>
        <v>1.0658777942391427E-2</v>
      </c>
      <c r="J515">
        <f>_xlfn.NORM.S.INV(0.99)*I515*SQRT(10)</f>
        <v>7.8411917202853745E-2</v>
      </c>
      <c r="K515">
        <f>LN(B524)-LN(B515)</f>
        <v>2.8095184757070513E-2</v>
      </c>
      <c r="L515">
        <f>IF(K515&lt;-(J515),1,0)</f>
        <v>0</v>
      </c>
      <c r="M515" s="72">
        <f t="shared" si="7"/>
        <v>9.23925716948749E-2</v>
      </c>
      <c r="N515">
        <f>SQRT((N514^2)*0.72+(1-0.72)*(C514^2))</f>
        <v>1.2566214325645435E-2</v>
      </c>
      <c r="O515">
        <f>_xlfn.NORM.S.INV(0.99)*N515*SQRT(10)</f>
        <v>9.2444083419449791E-2</v>
      </c>
      <c r="P515">
        <f>LN(B524)-LN(B515)</f>
        <v>2.8095184757070513E-2</v>
      </c>
      <c r="Q515">
        <f>IF(P515&lt;-(O515),1,0)</f>
        <v>0</v>
      </c>
    </row>
    <row r="516" spans="1:17">
      <c r="A516" s="64">
        <v>42040</v>
      </c>
      <c r="B516">
        <v>2062.5200199999999</v>
      </c>
      <c r="C516" s="68">
        <f>LN(B516)-LN(B515)</f>
        <v>1.0238810823374855E-2</v>
      </c>
      <c r="D516" s="68"/>
      <c r="E516" s="68"/>
      <c r="F516" s="68"/>
      <c r="G516" s="68"/>
      <c r="H516" s="68"/>
      <c r="I516">
        <f>_xlfn.STDEV.S(C496:C516)</f>
        <v>1.0632265998640054E-2</v>
      </c>
      <c r="J516">
        <f>_xlfn.NORM.S.INV(0.99)*I516*SQRT(10)</f>
        <v>7.8216880553290805E-2</v>
      </c>
      <c r="K516">
        <f>LN(B525)-LN(B516)</f>
        <v>1.6793751964875092E-2</v>
      </c>
      <c r="L516">
        <f>IF(K516&lt;-(J516),1,0)</f>
        <v>0</v>
      </c>
      <c r="M516" s="72">
        <f t="shared" si="7"/>
        <v>8.004582776668219E-2</v>
      </c>
      <c r="N516">
        <f>SQRT((N515^2)*0.72+(1-0.72)*(C515^2))</f>
        <v>1.0888138160971504E-2</v>
      </c>
      <c r="O516">
        <f>_xlfn.NORM.S.INV(0.99)*N516*SQRT(10)</f>
        <v>8.0099218933514849E-2</v>
      </c>
      <c r="P516">
        <f>LN(B525)-LN(B516)</f>
        <v>1.6793751964875092E-2</v>
      </c>
      <c r="Q516">
        <f>IF(P516&lt;-(O516),1,0)</f>
        <v>0</v>
      </c>
    </row>
    <row r="517" spans="1:17">
      <c r="A517" s="64">
        <v>42041</v>
      </c>
      <c r="B517">
        <v>2055.469971</v>
      </c>
      <c r="C517" s="68">
        <f>LN(B517)-LN(B516)</f>
        <v>-3.4240276947166137E-3</v>
      </c>
      <c r="D517" s="68"/>
      <c r="E517" s="68"/>
      <c r="F517" s="68"/>
      <c r="G517" s="68"/>
      <c r="H517" s="68"/>
      <c r="I517">
        <f>_xlfn.STDEV.S(C497:C517)</f>
        <v>1.0417068893092357E-2</v>
      </c>
      <c r="J517">
        <f>_xlfn.NORM.S.INV(0.99)*I517*SQRT(10)</f>
        <v>7.6633770583864627E-2</v>
      </c>
      <c r="K517">
        <f>LN(B526)-LN(B517)</f>
        <v>2.6325622544038474E-2</v>
      </c>
      <c r="L517">
        <f>IF(K517&lt;-(J517),1,0)</f>
        <v>0</v>
      </c>
      <c r="M517" s="72">
        <f t="shared" si="7"/>
        <v>7.8733799834698318E-2</v>
      </c>
      <c r="N517">
        <f>SQRT((N516^2)*0.72+(1-0.72)*(C516^2))</f>
        <v>1.0710295376993629E-2</v>
      </c>
      <c r="O517">
        <f>_xlfn.NORM.S.INV(0.99)*N517*SQRT(10)</f>
        <v>7.8790908193975287E-2</v>
      </c>
      <c r="P517">
        <f>LN(B526)-LN(B517)</f>
        <v>2.6325622544038474E-2</v>
      </c>
      <c r="Q517">
        <f>IF(P517&lt;-(O517),1,0)</f>
        <v>0</v>
      </c>
    </row>
    <row r="518" spans="1:17">
      <c r="A518" s="64">
        <v>42044</v>
      </c>
      <c r="B518">
        <v>2046.73999</v>
      </c>
      <c r="C518" s="68">
        <f>LN(B518)-LN(B517)</f>
        <v>-4.2562395694254462E-3</v>
      </c>
      <c r="D518" s="68"/>
      <c r="E518" s="68"/>
      <c r="F518" s="68"/>
      <c r="G518" s="68"/>
      <c r="H518" s="68"/>
      <c r="I518">
        <f>_xlfn.STDEV.S(C498:C518)</f>
        <v>9.6989335555815251E-3</v>
      </c>
      <c r="J518">
        <f>_xlfn.NORM.S.INV(0.99)*I518*SQRT(10)</f>
        <v>7.1350766384913389E-2</v>
      </c>
      <c r="K518">
        <f>LN(B527)-LN(B518)</f>
        <v>3.0278476768187623E-2</v>
      </c>
      <c r="L518">
        <f>IF(K518&lt;-(J518),1,0)</f>
        <v>0</v>
      </c>
      <c r="M518" s="72">
        <f t="shared" si="7"/>
        <v>6.807545729265807E-2</v>
      </c>
      <c r="N518">
        <f>SQRT((N517^2)*0.72+(1-0.72)*(C517^2))</f>
        <v>9.2668342959252789E-3</v>
      </c>
      <c r="O518">
        <f>_xlfn.NORM.S.INV(0.99)*N518*SQRT(10)</f>
        <v>6.8172003157580568E-2</v>
      </c>
      <c r="P518">
        <f>LN(B527)-LN(B518)</f>
        <v>3.0278476768187623E-2</v>
      </c>
      <c r="Q518">
        <f>IF(P518&lt;-(O518),1,0)</f>
        <v>0</v>
      </c>
    </row>
    <row r="519" spans="1:17">
      <c r="A519" s="64">
        <v>42045</v>
      </c>
      <c r="B519">
        <v>2068.5900879999999</v>
      </c>
      <c r="C519" s="68">
        <f>LN(B519)-LN(B518)</f>
        <v>1.0618979721447985E-2</v>
      </c>
      <c r="D519" s="68"/>
      <c r="E519" s="68"/>
      <c r="F519" s="68"/>
      <c r="G519" s="68"/>
      <c r="H519" s="68"/>
      <c r="I519">
        <f>_xlfn.STDEV.S(C499:C519)</f>
        <v>9.7960104015663019E-3</v>
      </c>
      <c r="J519">
        <f>_xlfn.NORM.S.INV(0.99)*I519*SQRT(10)</f>
        <v>7.2064917824301064E-2</v>
      </c>
      <c r="K519">
        <f>LN(B528)-LN(B519)</f>
        <v>2.2414469345834576E-2</v>
      </c>
      <c r="L519">
        <f>IF(K519&lt;-(J519),1,0)</f>
        <v>0</v>
      </c>
      <c r="M519" s="72">
        <f t="shared" si="7"/>
        <v>6.0080537081257317E-2</v>
      </c>
      <c r="N519">
        <f>SQRT((N518^2)*0.72+(1-0.72)*(C518^2))</f>
        <v>8.1793519267307872E-3</v>
      </c>
      <c r="O519">
        <f>_xlfn.NORM.S.INV(0.99)*N519*SQRT(10)</f>
        <v>6.017187613047506E-2</v>
      </c>
      <c r="P519">
        <f>LN(B528)-LN(B519)</f>
        <v>2.2414469345834576E-2</v>
      </c>
      <c r="Q519">
        <f>IF(P519&lt;-(O519),1,0)</f>
        <v>0</v>
      </c>
    </row>
    <row r="520" spans="1:17">
      <c r="A520" s="64">
        <v>42046</v>
      </c>
      <c r="B520">
        <v>2068.530029</v>
      </c>
      <c r="C520" s="68">
        <f>LN(B520)-LN(B519)</f>
        <v>-2.9034206551870057E-5</v>
      </c>
      <c r="D520" s="68"/>
      <c r="E520" s="68"/>
      <c r="F520" s="68"/>
      <c r="G520" s="68"/>
      <c r="H520" s="68"/>
      <c r="I520">
        <f>_xlfn.STDEV.S(C500:C520)</f>
        <v>9.5946757282466006E-3</v>
      </c>
      <c r="J520">
        <f>_xlfn.NORM.S.INV(0.99)*I520*SQRT(10)</f>
        <v>7.0583787640359358E-2</v>
      </c>
      <c r="K520">
        <f>LN(B529)-LN(B520)</f>
        <v>2.1677486610788499E-2</v>
      </c>
      <c r="L520">
        <f>IF(K520&lt;-(J520),1,0)</f>
        <v>0</v>
      </c>
      <c r="M520" s="72">
        <f t="shared" si="7"/>
        <v>6.5622315665684786E-2</v>
      </c>
      <c r="N520">
        <f>SQRT((N519^2)*0.72+(1-0.72)*(C519^2))</f>
        <v>8.9298857220354803E-3</v>
      </c>
      <c r="O520">
        <f>_xlfn.NORM.S.INV(0.99)*N520*SQRT(10)</f>
        <v>6.5693221460441778E-2</v>
      </c>
      <c r="P520">
        <f>LN(B529)-LN(B520)</f>
        <v>2.1677486610788499E-2</v>
      </c>
      <c r="Q520">
        <f>IF(P520&lt;-(O520),1,0)</f>
        <v>0</v>
      </c>
    </row>
    <row r="521" spans="1:17">
      <c r="A521" s="64">
        <v>42047</v>
      </c>
      <c r="B521">
        <v>2088.4799800000001</v>
      </c>
      <c r="C521" s="68">
        <f>LN(B521)-LN(B520)</f>
        <v>9.5982949849897636E-3</v>
      </c>
      <c r="D521" s="68"/>
      <c r="E521" s="68"/>
      <c r="F521" s="68"/>
      <c r="G521" s="68"/>
      <c r="H521" s="68"/>
      <c r="I521">
        <f>_xlfn.STDEV.S(C501:C521)</f>
        <v>9.7384462446349577E-3</v>
      </c>
      <c r="J521">
        <f>_xlfn.NORM.S.INV(0.99)*I521*SQRT(10)</f>
        <v>7.1641443770188259E-2</v>
      </c>
      <c r="K521">
        <f>LN(B530)-LN(B521)</f>
        <v>1.0602073084081454E-2</v>
      </c>
      <c r="L521">
        <f>IF(K521&lt;-(J521),1,0)</f>
        <v>0</v>
      </c>
      <c r="M521" s="72">
        <f t="shared" si="7"/>
        <v>5.5681224573672708E-2</v>
      </c>
      <c r="N521">
        <f>SQRT((N520^2)*0.72+(1-0.72)*(C520^2))</f>
        <v>7.5772748743887786E-3</v>
      </c>
      <c r="O521">
        <f>_xlfn.NORM.S.INV(0.99)*N521*SQRT(10)</f>
        <v>5.5742661427519373E-2</v>
      </c>
      <c r="P521">
        <f>LN(B530)-LN(B521)</f>
        <v>1.0602073084081454E-2</v>
      </c>
      <c r="Q521">
        <f>IF(P521&lt;-(O521),1,0)</f>
        <v>0</v>
      </c>
    </row>
    <row r="522" spans="1:17">
      <c r="A522" s="64">
        <v>42048</v>
      </c>
      <c r="B522">
        <v>2096.98999</v>
      </c>
      <c r="C522" s="68">
        <f>LN(B522)-LN(B521)</f>
        <v>4.0664593404580174E-3</v>
      </c>
      <c r="D522" s="68"/>
      <c r="E522" s="68"/>
      <c r="F522" s="68"/>
      <c r="G522" s="68"/>
      <c r="H522" s="68"/>
      <c r="I522">
        <f>_xlfn.STDEV.S(C502:C522)</f>
        <v>9.6036964221991664E-3</v>
      </c>
      <c r="J522">
        <f>_xlfn.NORM.S.INV(0.99)*I522*SQRT(10)</f>
        <v>7.0650148897826559E-2</v>
      </c>
      <c r="K522">
        <f>LN(B531)-LN(B522)</f>
        <v>3.5749308060308849E-3</v>
      </c>
      <c r="L522">
        <f>IF(K522&lt;-(J522),1,0)</f>
        <v>0</v>
      </c>
      <c r="M522" s="72">
        <f t="shared" si="7"/>
        <v>6.0229541703080328E-2</v>
      </c>
      <c r="N522">
        <f>SQRT((N521^2)*0.72+(1-0.72)*(C521^2))</f>
        <v>8.1935647131854399E-3</v>
      </c>
      <c r="O522">
        <f>_xlfn.NORM.S.INV(0.99)*N522*SQRT(10)</f>
        <v>6.0276433317117607E-2</v>
      </c>
      <c r="P522">
        <f>LN(B531)-LN(B522)</f>
        <v>3.5749308060308849E-3</v>
      </c>
      <c r="Q522">
        <f>IF(P522&lt;-(O522),1,0)</f>
        <v>0</v>
      </c>
    </row>
    <row r="523" spans="1:17">
      <c r="A523" s="64">
        <v>42052</v>
      </c>
      <c r="B523">
        <v>2100.3400879999999</v>
      </c>
      <c r="C523" s="68">
        <f>LN(B523)-LN(B522)</f>
        <v>1.5962998616405599E-3</v>
      </c>
      <c r="D523" s="68"/>
      <c r="E523" s="68"/>
      <c r="F523" s="68"/>
      <c r="G523" s="68"/>
      <c r="H523" s="68"/>
      <c r="I523">
        <f>_xlfn.STDEV.S(C503:C523)</f>
        <v>9.2518293959002428E-3</v>
      </c>
      <c r="J523">
        <f>_xlfn.NORM.S.INV(0.99)*I523*SQRT(10)</f>
        <v>6.8061618741584728E-2</v>
      </c>
      <c r="K523">
        <f>LN(B532)-LN(B523)</f>
        <v>8.0848693247661529E-3</v>
      </c>
      <c r="L523">
        <f>IF(K523&lt;-(J523),1,0)</f>
        <v>0</v>
      </c>
      <c r="M523" s="72">
        <f t="shared" si="7"/>
        <v>5.3484701565239962E-2</v>
      </c>
      <c r="N523">
        <f>SQRT((N522^2)*0.72+(1-0.72)*(C522^2))</f>
        <v>7.2778394863806236E-3</v>
      </c>
      <c r="O523">
        <f>_xlfn.NORM.S.INV(0.99)*N523*SQRT(10)</f>
        <v>5.3539847654777255E-2</v>
      </c>
      <c r="P523">
        <f>LN(B532)-LN(B523)</f>
        <v>8.0848693247661529E-3</v>
      </c>
      <c r="Q523">
        <f>IF(P523&lt;-(O523),1,0)</f>
        <v>0</v>
      </c>
    </row>
    <row r="524" spans="1:17">
      <c r="A524" s="64">
        <v>42053</v>
      </c>
      <c r="B524">
        <v>2099.679932</v>
      </c>
      <c r="C524" s="68">
        <f>LN(B524)-LN(B523)</f>
        <v>-3.1435850414673894E-4</v>
      </c>
      <c r="D524" s="68"/>
      <c r="E524" s="68"/>
      <c r="F524" s="68"/>
      <c r="G524" s="68"/>
      <c r="H524" s="68"/>
      <c r="I524">
        <f>_xlfn.STDEV.S(C504:C524)</f>
        <v>8.926763303357562E-3</v>
      </c>
      <c r="J524">
        <f>_xlfn.NORM.S.INV(0.99)*I524*SQRT(10)</f>
        <v>6.5670251206612601E-2</v>
      </c>
      <c r="K524">
        <f>LN(B533)-LN(B524)</f>
        <v>3.8503548850048475E-3</v>
      </c>
      <c r="L524">
        <f>IF(K524&lt;-(J524),1,0)</f>
        <v>0</v>
      </c>
      <c r="M524" s="72">
        <f t="shared" si="7"/>
        <v>4.5765466395752782E-2</v>
      </c>
      <c r="N524">
        <f>SQRT((N523^2)*0.72+(1-0.72)*(C523^2))</f>
        <v>6.2329520112039795E-3</v>
      </c>
      <c r="O524">
        <f>_xlfn.NORM.S.INV(0.99)*N524*SQRT(10)</f>
        <v>4.585307243226356E-2</v>
      </c>
      <c r="P524">
        <f>LN(B533)-LN(B524)</f>
        <v>3.8503548850048475E-3</v>
      </c>
      <c r="Q524">
        <f>IF(P524&lt;-(O524),1,0)</f>
        <v>0</v>
      </c>
    </row>
    <row r="525" spans="1:17">
      <c r="A525" s="64">
        <v>42054</v>
      </c>
      <c r="B525">
        <v>2097.4499510000001</v>
      </c>
      <c r="C525" s="68">
        <f>LN(B525)-LN(B524)</f>
        <v>-1.0626219688205651E-3</v>
      </c>
      <c r="D525" s="68"/>
      <c r="E525" s="68"/>
      <c r="F525" s="68"/>
      <c r="G525" s="68"/>
      <c r="H525" s="68"/>
      <c r="I525">
        <f>_xlfn.STDEV.S(C505:C525)</f>
        <v>8.9494159814935918E-3</v>
      </c>
      <c r="J525">
        <f>_xlfn.NORM.S.INV(0.99)*I525*SQRT(10)</f>
        <v>6.5836896945179024E-2</v>
      </c>
      <c r="K525">
        <f>LN(B534)-LN(B525)</f>
        <v>5.1481562304989126E-4</v>
      </c>
      <c r="L525">
        <f>IF(K525&lt;-(J525),1,0)</f>
        <v>0</v>
      </c>
      <c r="M525" s="72">
        <f t="shared" si="7"/>
        <v>3.8851906257475137E-2</v>
      </c>
      <c r="N525">
        <f>SQRT((N524^2)*0.72+(1-0.72)*(C524^2))</f>
        <v>5.2914503978224977E-3</v>
      </c>
      <c r="O525">
        <f>_xlfn.NORM.S.INV(0.99)*N525*SQRT(10)</f>
        <v>3.8926861289313483E-2</v>
      </c>
      <c r="P525">
        <f>LN(B534)-LN(B525)</f>
        <v>5.1481562304989126E-4</v>
      </c>
      <c r="Q525">
        <f>IF(P525&lt;-(O525),1,0)</f>
        <v>0</v>
      </c>
    </row>
    <row r="526" spans="1:17">
      <c r="A526" s="64">
        <v>42055</v>
      </c>
      <c r="B526">
        <v>2110.3000489999999</v>
      </c>
      <c r="C526" s="68">
        <f>LN(B526)-LN(B525)</f>
        <v>6.107842884446768E-3</v>
      </c>
      <c r="D526" s="68"/>
      <c r="E526" s="68"/>
      <c r="F526" s="68"/>
      <c r="G526" s="68"/>
      <c r="H526" s="68"/>
      <c r="I526">
        <f>_xlfn.STDEV.S(C506:C526)</f>
        <v>8.9776598118539736E-3</v>
      </c>
      <c r="J526">
        <f>_xlfn.NORM.S.INV(0.99)*I526*SQRT(10)</f>
        <v>6.6044674318877908E-2</v>
      </c>
      <c r="K526">
        <f>LN(B535)-LN(B526)</f>
        <v>-4.3976618986398819E-3</v>
      </c>
      <c r="L526">
        <f>IF(K526&lt;-(J526),1,0)</f>
        <v>0</v>
      </c>
      <c r="M526" s="72">
        <f t="shared" si="7"/>
        <v>3.3218310381621527E-2</v>
      </c>
      <c r="N526">
        <f>SQRT((N525^2)*0.72+(1-0.72)*(C525^2))</f>
        <v>4.5250158442481777E-3</v>
      </c>
      <c r="O526">
        <f>_xlfn.NORM.S.INV(0.99)*N526*SQRT(10)</f>
        <v>3.3288541110293772E-2</v>
      </c>
      <c r="P526">
        <f>LN(B535)-LN(B526)</f>
        <v>-4.3976618986398819E-3</v>
      </c>
      <c r="Q526">
        <f>IF(P526&lt;-(O526),1,0)</f>
        <v>0</v>
      </c>
    </row>
    <row r="527" spans="1:17">
      <c r="A527" s="64">
        <v>42058</v>
      </c>
      <c r="B527">
        <v>2109.6599120000001</v>
      </c>
      <c r="C527" s="68">
        <f>LN(B527)-LN(B526)</f>
        <v>-3.033853452762969E-4</v>
      </c>
      <c r="D527" s="68"/>
      <c r="E527" s="68"/>
      <c r="F527" s="68"/>
      <c r="G527" s="68"/>
      <c r="H527" s="68"/>
      <c r="I527">
        <f>_xlfn.STDEV.S(C507:C527)</f>
        <v>8.4457183517868857E-3</v>
      </c>
      <c r="J527">
        <f>_xlfn.NORM.S.INV(0.99)*I527*SQRT(10)</f>
        <v>6.213141616217524E-2</v>
      </c>
      <c r="K527">
        <f>LN(B536)-LN(B527)</f>
        <v>-1.8369632772927247E-2</v>
      </c>
      <c r="L527">
        <f>IF(K527&lt;-(J527),1,0)</f>
        <v>0</v>
      </c>
      <c r="M527" s="72">
        <f t="shared" si="7"/>
        <v>3.6809181798342222E-2</v>
      </c>
      <c r="N527">
        <f>SQRT((N526^2)*0.72+(1-0.72)*(C526^2))</f>
        <v>5.0187809035268953E-3</v>
      </c>
      <c r="O527">
        <f>_xlfn.NORM.S.INV(0.99)*N527*SQRT(10)</f>
        <v>3.6920952363730421E-2</v>
      </c>
      <c r="P527">
        <f>LN(B536)-LN(B527)</f>
        <v>-1.8369632772927247E-2</v>
      </c>
      <c r="Q527">
        <f>IF(P527&lt;-(O527),1,0)</f>
        <v>0</v>
      </c>
    </row>
    <row r="528" spans="1:17">
      <c r="A528" s="64">
        <v>42059</v>
      </c>
      <c r="B528">
        <v>2115.4799800000001</v>
      </c>
      <c r="C528" s="68">
        <f>LN(B528)-LN(B527)</f>
        <v>2.7549722990949377E-3</v>
      </c>
      <c r="D528" s="68"/>
      <c r="E528" s="68"/>
      <c r="F528" s="68"/>
      <c r="G528" s="68"/>
      <c r="H528" s="68"/>
      <c r="I528">
        <f>_xlfn.STDEV.S(C508:C528)</f>
        <v>8.3158855658452633E-3</v>
      </c>
      <c r="J528">
        <f>_xlfn.NORM.S.INV(0.99)*I528*SQRT(10)</f>
        <v>6.1176293753537642E-2</v>
      </c>
      <c r="K528">
        <f>LN(B537)-LN(B528)</f>
        <v>-1.7187942654378396E-2</v>
      </c>
      <c r="L528">
        <f>IF(K528&lt;-(J528),1,0)</f>
        <v>0</v>
      </c>
      <c r="M528" s="72">
        <f t="shared" si="7"/>
        <v>3.1245641342516242E-2</v>
      </c>
      <c r="N528">
        <f>SQRT((N527^2)*0.72+(1-0.72)*(C527^2))</f>
        <v>4.2616016252625547E-3</v>
      </c>
      <c r="O528">
        <f>_xlfn.NORM.S.INV(0.99)*N528*SQRT(10)</f>
        <v>3.135071915351878E-2</v>
      </c>
      <c r="P528">
        <f>LN(B537)-LN(B528)</f>
        <v>-1.7187942654378396E-2</v>
      </c>
      <c r="Q528">
        <f>IF(P528&lt;-(O528),1,0)</f>
        <v>0</v>
      </c>
    </row>
    <row r="529" spans="1:17">
      <c r="A529" s="64">
        <v>42060</v>
      </c>
      <c r="B529">
        <v>2113.860107</v>
      </c>
      <c r="C529" s="68">
        <f>LN(B529)-LN(B528)</f>
        <v>-7.6601694159794675E-4</v>
      </c>
      <c r="D529" s="68"/>
      <c r="E529" s="68"/>
      <c r="F529" s="68"/>
      <c r="G529" s="68"/>
      <c r="H529" s="68"/>
      <c r="I529">
        <f>_xlfn.STDEV.S(C509:C529)</f>
        <v>8.3254156567849711E-3</v>
      </c>
      <c r="J529">
        <f>_xlfn.NORM.S.INV(0.99)*I529*SQRT(10)</f>
        <v>6.1246402419440883E-2</v>
      </c>
      <c r="K529">
        <f>LN(B538)-LN(B529)</f>
        <v>-3.3528746910648444E-2</v>
      </c>
      <c r="L529">
        <f>IF(K529&lt;-(J529),1,0)</f>
        <v>0</v>
      </c>
      <c r="M529" s="72">
        <f t="shared" si="7"/>
        <v>2.859721592299707E-2</v>
      </c>
      <c r="N529">
        <f>SQRT((N528^2)*0.72+(1-0.72)*(C528^2))</f>
        <v>3.8988797263080134E-3</v>
      </c>
      <c r="O529">
        <f>_xlfn.NORM.S.INV(0.99)*N529*SQRT(10)</f>
        <v>2.8682334497960028E-2</v>
      </c>
      <c r="P529">
        <f>LN(B538)-LN(B529)</f>
        <v>-3.3528746910648444E-2</v>
      </c>
      <c r="Q529" s="86">
        <f>IF(P529&lt;-(O529),1,0)</f>
        <v>1</v>
      </c>
    </row>
    <row r="530" spans="1:17">
      <c r="A530" s="64">
        <v>42061</v>
      </c>
      <c r="B530">
        <v>2110.73999</v>
      </c>
      <c r="C530" s="68">
        <f>LN(B530)-LN(B529)</f>
        <v>-1.4771185417172816E-3</v>
      </c>
      <c r="D530" s="68"/>
      <c r="E530" s="68"/>
      <c r="F530" s="68"/>
      <c r="G530" s="68"/>
      <c r="H530" s="68"/>
      <c r="I530">
        <f>_xlfn.STDEV.S(C510:C530)</f>
        <v>7.6445885935417773E-3</v>
      </c>
      <c r="J530">
        <f>_xlfn.NORM.S.INV(0.99)*I530*SQRT(10)</f>
        <v>5.6237858700731058E-2</v>
      </c>
      <c r="K530">
        <f>LN(B539)-LN(B530)</f>
        <v>-3.3971149072389295E-2</v>
      </c>
      <c r="L530">
        <f>IF(K530&lt;-(J530),1,0)</f>
        <v>0</v>
      </c>
      <c r="M530" s="72">
        <f t="shared" si="7"/>
        <v>2.436903072934676E-2</v>
      </c>
      <c r="N530">
        <f>SQRT((N529^2)*0.72+(1-0.72)*(C529^2))</f>
        <v>3.3330479135325205E-3</v>
      </c>
      <c r="O530">
        <f>_xlfn.NORM.S.INV(0.99)*N530*SQRT(10)</f>
        <v>2.4519759998904642E-2</v>
      </c>
      <c r="P530">
        <f>LN(B539)-LN(B530)</f>
        <v>-3.3971149072389295E-2</v>
      </c>
      <c r="Q530" s="86">
        <f>IF(P530&lt;-(O530),1,0)</f>
        <v>1</v>
      </c>
    </row>
    <row r="531" spans="1:17">
      <c r="A531" s="64">
        <v>42062</v>
      </c>
      <c r="B531">
        <v>2104.5</v>
      </c>
      <c r="C531" s="68">
        <f>LN(B531)-LN(B530)</f>
        <v>-2.9606829375925514E-3</v>
      </c>
      <c r="D531" s="68"/>
      <c r="E531" s="68"/>
      <c r="F531" s="68"/>
      <c r="G531" s="68"/>
      <c r="H531" s="68"/>
      <c r="I531">
        <f>_xlfn.STDEV.S(C511:C531)</f>
        <v>6.8842729605636576E-3</v>
      </c>
      <c r="J531">
        <f>_xlfn.NORM.S.INV(0.99)*I531*SQRT(10)</f>
        <v>5.0644552715435366E-2</v>
      </c>
      <c r="K531">
        <f>LN(B540)-LN(B531)</f>
        <v>-1.8487763897077514E-2</v>
      </c>
      <c r="L531">
        <f>IF(K531&lt;-(J531),1,0)</f>
        <v>0</v>
      </c>
      <c r="M531" s="72">
        <f t="shared" si="7"/>
        <v>2.1370846378812099E-2</v>
      </c>
      <c r="N531">
        <f>SQRT((N530^2)*0.72+(1-0.72)*(C530^2))</f>
        <v>2.9342045286193511E-3</v>
      </c>
      <c r="O531">
        <f>_xlfn.NORM.S.INV(0.99)*N531*SQRT(10)</f>
        <v>2.1585645540028821E-2</v>
      </c>
      <c r="P531">
        <f>LN(B540)-LN(B531)</f>
        <v>-1.8487763897077514E-2</v>
      </c>
      <c r="Q531">
        <f>IF(P531&lt;-(O531),1,0)</f>
        <v>0</v>
      </c>
    </row>
    <row r="532" spans="1:17">
      <c r="A532" s="64">
        <v>42065</v>
      </c>
      <c r="B532">
        <v>2117.389893</v>
      </c>
      <c r="C532" s="68">
        <f>LN(B532)-LN(B531)</f>
        <v>6.106238380375828E-3</v>
      </c>
      <c r="D532" s="68"/>
      <c r="E532" s="68"/>
      <c r="F532" s="68"/>
      <c r="G532" s="68"/>
      <c r="H532" s="68"/>
      <c r="I532">
        <f>_xlfn.STDEV.S(C512:C532)</f>
        <v>6.7476564679010489E-3</v>
      </c>
      <c r="J532">
        <f>_xlfn.NORM.S.INV(0.99)*I532*SQRT(10)</f>
        <v>4.9639525575447756E-2</v>
      </c>
      <c r="K532">
        <f>LN(B541)-LN(B532)</f>
        <v>-3.0687239451861359E-2</v>
      </c>
      <c r="L532">
        <f>IF(K532&lt;-(J532),1,0)</f>
        <v>0</v>
      </c>
      <c r="M532" s="72">
        <f t="shared" si="7"/>
        <v>2.1441762603411338E-2</v>
      </c>
      <c r="N532">
        <f>SQRT((N531^2)*0.72+(1-0.72)*(C531^2))</f>
        <v>2.9416425077328969E-3</v>
      </c>
      <c r="O532">
        <f>_xlfn.NORM.S.INV(0.99)*N532*SQRT(10)</f>
        <v>2.1640363464124821E-2</v>
      </c>
      <c r="P532">
        <f>LN(B541)-LN(B532)</f>
        <v>-3.0687239451861359E-2</v>
      </c>
      <c r="Q532">
        <f>IF(P532&lt;-(O532),1,0)</f>
        <v>1</v>
      </c>
    </row>
    <row r="533" spans="1:17">
      <c r="A533" s="64">
        <v>42066</v>
      </c>
      <c r="B533">
        <v>2107.780029</v>
      </c>
      <c r="C533" s="68">
        <f>LN(B533)-LN(B532)</f>
        <v>-4.5488729439080444E-3</v>
      </c>
      <c r="D533" s="68"/>
      <c r="E533" s="68"/>
      <c r="F533" s="68"/>
      <c r="G533" s="68"/>
      <c r="H533" s="68"/>
      <c r="I533">
        <f>_xlfn.STDEV.S(C513:C533)</f>
        <v>5.9962231241199428E-3</v>
      </c>
      <c r="J533">
        <f>_xlfn.NORM.S.INV(0.99)*I533*SQRT(10)</f>
        <v>4.4111562665019775E-2</v>
      </c>
      <c r="K533">
        <f>LN(B542)-LN(B533)</f>
        <v>-1.269545751189316E-2</v>
      </c>
      <c r="L533">
        <f>IF(K533&lt;-(J533),1,0)</f>
        <v>0</v>
      </c>
      <c r="M533" s="72">
        <f t="shared" si="7"/>
        <v>2.9872988862925144E-2</v>
      </c>
      <c r="N533">
        <f>SQRT((N532^2)*0.72+(1-0.72)*(C532^2))</f>
        <v>4.0829485506689561E-3</v>
      </c>
      <c r="O533">
        <f>_xlfn.NORM.S.INV(0.99)*N533*SQRT(10)</f>
        <v>3.0036447464139207E-2</v>
      </c>
      <c r="P533">
        <f>LN(B542)-LN(B533)</f>
        <v>-1.269545751189316E-2</v>
      </c>
      <c r="Q533">
        <f>IF(P533&lt;-(O533),1,0)</f>
        <v>0</v>
      </c>
    </row>
    <row r="534" spans="1:17">
      <c r="A534" s="64">
        <v>42067</v>
      </c>
      <c r="B534">
        <v>2098.530029</v>
      </c>
      <c r="C534" s="68">
        <f>LN(B534)-LN(B533)</f>
        <v>-4.3981612307755213E-3</v>
      </c>
      <c r="D534" s="68"/>
      <c r="E534" s="68"/>
      <c r="F534" s="68"/>
      <c r="G534" s="68"/>
      <c r="H534" s="68"/>
      <c r="I534">
        <f>_xlfn.STDEV.S(C514:C534)</f>
        <v>5.6958062341101682E-3</v>
      </c>
      <c r="J534">
        <f>_xlfn.NORM.S.INV(0.99)*I534*SQRT(10)</f>
        <v>4.1901528415962133E-2</v>
      </c>
      <c r="K534">
        <f>LN(B543)-LN(B534)</f>
        <v>-1.1622993936820869E-2</v>
      </c>
      <c r="L534">
        <f>IF(K534&lt;-(J534),1,0)</f>
        <v>0</v>
      </c>
      <c r="M534" s="72">
        <f t="shared" si="7"/>
        <v>3.0863529553658224E-2</v>
      </c>
      <c r="N534">
        <f>SQRT((N533^2)*0.72+(1-0.72)*(C533^2))</f>
        <v>4.2185976581423628E-3</v>
      </c>
      <c r="O534">
        <f>_xlfn.NORM.S.INV(0.99)*N534*SQRT(10)</f>
        <v>3.1034357978959384E-2</v>
      </c>
      <c r="P534">
        <f>LN(B543)-LN(B534)</f>
        <v>-1.1622993936820869E-2</v>
      </c>
      <c r="Q534">
        <f>IF(P534&lt;-(O534),1,0)</f>
        <v>0</v>
      </c>
    </row>
    <row r="535" spans="1:17">
      <c r="A535" s="64">
        <v>42068</v>
      </c>
      <c r="B535">
        <v>2101.040039</v>
      </c>
      <c r="C535" s="68">
        <f>LN(B535)-LN(B534)</f>
        <v>1.1953653627569949E-3</v>
      </c>
      <c r="D535" s="68"/>
      <c r="E535" s="68"/>
      <c r="F535" s="68"/>
      <c r="G535" s="68"/>
      <c r="H535" s="68"/>
      <c r="I535">
        <f>_xlfn.STDEV.S(C515:C535)</f>
        <v>4.9179671843051316E-3</v>
      </c>
      <c r="J535">
        <f>_xlfn.NORM.S.INV(0.99)*I535*SQRT(10)</f>
        <v>3.6179310399965567E-2</v>
      </c>
      <c r="K535">
        <f>LN(B544)-LN(B535)</f>
        <v>-7.3325765482668004E-4</v>
      </c>
      <c r="L535">
        <f>IF(K535&lt;-(J535),1,0)</f>
        <v>0</v>
      </c>
      <c r="M535" s="72">
        <f t="shared" si="7"/>
        <v>3.1218564322607136E-2</v>
      </c>
      <c r="N535">
        <f>SQRT((N534^2)*0.72+(1-0.72)*(C534^2))</f>
        <v>4.2696367391448845E-3</v>
      </c>
      <c r="O535">
        <f>_xlfn.NORM.S.INV(0.99)*N535*SQRT(10)</f>
        <v>3.1409829934122523E-2</v>
      </c>
      <c r="P535">
        <f>LN(B544)-LN(B535)</f>
        <v>-7.3325765482668004E-4</v>
      </c>
      <c r="Q535">
        <f>IF(P535&lt;-(O535),1,0)</f>
        <v>0</v>
      </c>
    </row>
    <row r="536" spans="1:17">
      <c r="A536" s="64">
        <v>42069</v>
      </c>
      <c r="B536">
        <v>2071.26001</v>
      </c>
      <c r="C536" s="68">
        <f>LN(B536)-LN(B535)</f>
        <v>-1.4275356219563662E-2</v>
      </c>
      <c r="D536" s="68"/>
      <c r="E536" s="68"/>
      <c r="F536" s="68"/>
      <c r="G536" s="68"/>
      <c r="H536" s="68"/>
      <c r="I536">
        <f>_xlfn.STDEV.S(C516:C536)</f>
        <v>5.8692752218775434E-3</v>
      </c>
      <c r="J536">
        <f>_xlfn.NORM.S.INV(0.99)*I536*SQRT(10)</f>
        <v>4.3177663070384481E-2</v>
      </c>
      <c r="K536">
        <f>LN(B545)-LN(B536)</f>
        <v>8.6576096621469034E-3</v>
      </c>
      <c r="L536">
        <f>IF(K536&lt;-(J536),1,0)</f>
        <v>0</v>
      </c>
      <c r="M536" s="72">
        <f t="shared" si="7"/>
        <v>2.6888570662095521E-2</v>
      </c>
      <c r="N536">
        <f>SQRT((N535^2)*0.72+(1-0.72)*(C535^2))</f>
        <v>3.6777093434362529E-3</v>
      </c>
      <c r="O536">
        <f>_xlfn.NORM.S.INV(0.99)*N536*SQRT(10)</f>
        <v>2.7055281767975774E-2</v>
      </c>
      <c r="P536">
        <f>LN(B545)-LN(B536)</f>
        <v>8.6576096621469034E-3</v>
      </c>
      <c r="Q536">
        <f>IF(P536&lt;-(O536),1,0)</f>
        <v>0</v>
      </c>
    </row>
    <row r="537" spans="1:17">
      <c r="A537" s="64">
        <v>42072</v>
      </c>
      <c r="B537">
        <v>2079.429932</v>
      </c>
      <c r="C537" s="68">
        <f>LN(B537)-LN(B536)</f>
        <v>3.9366624176437881E-3</v>
      </c>
      <c r="D537" s="68"/>
      <c r="E537" s="68"/>
      <c r="F537" s="68"/>
      <c r="G537" s="68"/>
      <c r="H537" s="68"/>
      <c r="I537">
        <f>_xlfn.STDEV.S(C517:C537)</f>
        <v>5.5064689228178894E-3</v>
      </c>
      <c r="J537">
        <f>_xlfn.NORM.S.INV(0.99)*I537*SQRT(10)</f>
        <v>4.0508657520564699E-2</v>
      </c>
      <c r="K537">
        <f>LN(B546)-LN(B537)</f>
        <v>1.3693329376463836E-2</v>
      </c>
      <c r="L537">
        <f>IF(K537&lt;-(J537),1,0)</f>
        <v>0</v>
      </c>
      <c r="M537" s="72">
        <f t="shared" ref="M537:M600" si="8">EWMAV(B516:B536,0.72,0.99)*SQRT(10)</f>
        <v>6.0052960653837653E-2</v>
      </c>
      <c r="N537">
        <f>SQRT((N536^2)*0.72+(1-0.72)*(C536^2))</f>
        <v>8.1730297800373004E-3</v>
      </c>
      <c r="O537">
        <f>_xlfn.NORM.S.INV(0.99)*N537*SQRT(10)</f>
        <v>6.0125366892197149E-2</v>
      </c>
      <c r="P537">
        <f>LN(B546)-LN(B537)</f>
        <v>1.3693329376463836E-2</v>
      </c>
      <c r="Q537">
        <f>IF(P537&lt;-(O537),1,0)</f>
        <v>0</v>
      </c>
    </row>
    <row r="538" spans="1:17">
      <c r="A538" s="64">
        <v>42073</v>
      </c>
      <c r="B538">
        <v>2044.160034</v>
      </c>
      <c r="C538" s="68">
        <f>LN(B538)-LN(B537)</f>
        <v>-1.7106821197867994E-2</v>
      </c>
      <c r="D538" s="68"/>
      <c r="E538" s="68"/>
      <c r="F538" s="68"/>
      <c r="G538" s="68"/>
      <c r="H538" s="68"/>
      <c r="I538">
        <f>_xlfn.STDEV.S(C518:C538)</f>
        <v>6.6673401575498229E-3</v>
      </c>
      <c r="J538">
        <f>_xlfn.NORM.S.INV(0.99)*I538*SQRT(10)</f>
        <v>4.9048673987082077E-2</v>
      </c>
      <c r="K538">
        <f>LN(B547)-LN(B538)</f>
        <v>2.9052893863956264E-2</v>
      </c>
      <c r="L538">
        <f>IF(K538&lt;-(J538),1,0)</f>
        <v>0</v>
      </c>
      <c r="M538" s="72">
        <f t="shared" si="8"/>
        <v>5.3208686060479661E-2</v>
      </c>
      <c r="N538">
        <f>SQRT((N537^2)*0.72+(1-0.72)*(C537^2))</f>
        <v>7.2411398579787191E-3</v>
      </c>
      <c r="O538">
        <f>_xlfn.NORM.S.INV(0.99)*N538*SQRT(10)</f>
        <v>5.3269864713094917E-2</v>
      </c>
      <c r="P538">
        <f>LN(B547)-LN(B538)</f>
        <v>2.9052893863956264E-2</v>
      </c>
      <c r="Q538">
        <f>IF(P538&lt;-(O538),1,0)</f>
        <v>0</v>
      </c>
    </row>
    <row r="539" spans="1:17">
      <c r="A539" s="64">
        <v>42074</v>
      </c>
      <c r="B539">
        <v>2040.23999</v>
      </c>
      <c r="C539" s="68">
        <f>LN(B539)-LN(B538)</f>
        <v>-1.919520703458133E-3</v>
      </c>
      <c r="D539" s="68"/>
      <c r="E539" s="68"/>
      <c r="F539" s="68"/>
      <c r="G539" s="68"/>
      <c r="H539" s="68"/>
      <c r="I539">
        <f>_xlfn.STDEV.S(C519:C539)</f>
        <v>6.6166659658272245E-3</v>
      </c>
      <c r="J539">
        <f>_xlfn.NORM.S.INV(0.99)*I539*SQRT(10)</f>
        <v>4.8675886361038104E-2</v>
      </c>
      <c r="K539">
        <f>LN(B548)-LN(B539)</f>
        <v>2.4814068806423784E-2</v>
      </c>
      <c r="L539">
        <f>IF(K539&lt;-(J539),1,0)</f>
        <v>0</v>
      </c>
      <c r="M539" s="72">
        <f t="shared" si="8"/>
        <v>8.0452265248387805E-2</v>
      </c>
      <c r="N539">
        <f>SQRT((N538^2)*0.72+(1-0.72)*(C538^2))</f>
        <v>1.0940415415223181E-2</v>
      </c>
      <c r="O539">
        <f>_xlfn.NORM.S.INV(0.99)*N539*SQRT(10)</f>
        <v>8.0483799581890308E-2</v>
      </c>
      <c r="P539">
        <f>LN(B548)-LN(B539)</f>
        <v>2.4814068806423784E-2</v>
      </c>
      <c r="Q539">
        <f>IF(P539&lt;-(O539),1,0)</f>
        <v>0</v>
      </c>
    </row>
    <row r="540" spans="1:17">
      <c r="A540" s="64">
        <v>42075</v>
      </c>
      <c r="B540">
        <v>2065.9499510000001</v>
      </c>
      <c r="C540" s="68">
        <f>LN(B540)-LN(B539)</f>
        <v>1.252270223771923E-2</v>
      </c>
      <c r="D540" s="68"/>
      <c r="E540" s="68"/>
      <c r="F540" s="68"/>
      <c r="G540" s="68"/>
      <c r="H540" s="68"/>
      <c r="I540">
        <f>_xlfn.STDEV.S(C520:C540)</f>
        <v>6.7825689804775395E-3</v>
      </c>
      <c r="J540">
        <f>_xlfn.NORM.S.INV(0.99)*I540*SQRT(10)</f>
        <v>4.9896361496065231E-2</v>
      </c>
      <c r="K540">
        <f>LN(B549)-LN(B540)</f>
        <v>-2.3745598751423458E-3</v>
      </c>
      <c r="L540">
        <f>IF(K540&lt;-(J540),1,0)</f>
        <v>0</v>
      </c>
      <c r="M540" s="72">
        <f t="shared" si="8"/>
        <v>6.8656291683755019E-2</v>
      </c>
      <c r="N540">
        <f>SQRT((N539^2)*0.72+(1-0.72)*(C539^2))</f>
        <v>9.3386515693750661E-3</v>
      </c>
      <c r="O540">
        <f>_xlfn.NORM.S.INV(0.99)*N540*SQRT(10)</f>
        <v>6.8700331088785788E-2</v>
      </c>
      <c r="P540">
        <f>LN(B549)-LN(B540)</f>
        <v>-2.3745598751423458E-3</v>
      </c>
      <c r="Q540">
        <f>IF(P540&lt;-(O540),1,0)</f>
        <v>0</v>
      </c>
    </row>
    <row r="541" spans="1:17">
      <c r="A541" s="64">
        <v>42076</v>
      </c>
      <c r="B541">
        <v>2053.3999020000001</v>
      </c>
      <c r="C541" s="68">
        <f>LN(B541)-LN(B540)</f>
        <v>-6.0932371744080172E-3</v>
      </c>
      <c r="D541" s="68"/>
      <c r="E541" s="68"/>
      <c r="F541" s="68"/>
      <c r="G541" s="68"/>
      <c r="H541" s="68"/>
      <c r="I541">
        <f>_xlfn.STDEV.S(C521:C541)</f>
        <v>6.9090620873246715E-3</v>
      </c>
      <c r="J541">
        <f>_xlfn.NORM.S.INV(0.99)*I541*SQRT(10)</f>
        <v>5.0826915362037192E-2</v>
      </c>
      <c r="K541">
        <f>LN(B550)-LN(B541)</f>
        <v>1.3383463112184302E-3</v>
      </c>
      <c r="L541">
        <f>IF(K541&lt;-(J541),1,0)</f>
        <v>0</v>
      </c>
      <c r="M541" s="72">
        <f t="shared" si="8"/>
        <v>7.5961609729714843E-2</v>
      </c>
      <c r="N541">
        <f>SQRT((N540^2)*0.72+(1-0.72)*(C540^2))</f>
        <v>1.0329596189120837E-2</v>
      </c>
      <c r="O541">
        <f>_xlfn.NORM.S.INV(0.99)*N541*SQRT(10)</f>
        <v>7.5990272571391196E-2</v>
      </c>
      <c r="P541">
        <f>LN(B550)-LN(B541)</f>
        <v>1.3383463112184302E-3</v>
      </c>
      <c r="Q541">
        <f>IF(P541&lt;-(O541),1,0)</f>
        <v>0</v>
      </c>
    </row>
    <row r="542" spans="1:17">
      <c r="A542" s="64">
        <v>42079</v>
      </c>
      <c r="B542">
        <v>2081.1899410000001</v>
      </c>
      <c r="C542" s="68">
        <f>LN(B542)-LN(B541)</f>
        <v>1.3442908996060154E-2</v>
      </c>
      <c r="D542" s="68"/>
      <c r="E542" s="68"/>
      <c r="F542" s="68"/>
      <c r="G542" s="68"/>
      <c r="H542" s="68"/>
      <c r="I542">
        <f>_xlfn.STDEV.S(C522:C542)</f>
        <v>7.2293551041653636E-3</v>
      </c>
      <c r="J542">
        <f>_xlfn.NORM.S.INV(0.99)*I542*SQRT(10)</f>
        <v>5.3183169489189955E-2</v>
      </c>
      <c r="K542">
        <f>LN(B551)-LN(B542)</f>
        <v>-9.7388015607204892E-3</v>
      </c>
      <c r="L542">
        <f>IF(K542&lt;-(J542),1,0)</f>
        <v>0</v>
      </c>
      <c r="M542" s="72">
        <f t="shared" si="8"/>
        <v>6.8667079002324133E-2</v>
      </c>
      <c r="N542">
        <f>SQRT((N541^2)*0.72+(1-0.72)*(C541^2))</f>
        <v>9.3391708595367481E-3</v>
      </c>
      <c r="O542">
        <f>_xlfn.NORM.S.INV(0.99)*N542*SQRT(10)</f>
        <v>6.8704151276933259E-2</v>
      </c>
      <c r="P542">
        <f>LN(B551)-LN(B542)</f>
        <v>-9.7388015607204892E-3</v>
      </c>
      <c r="Q542">
        <f>IF(P542&lt;-(O542),1,0)</f>
        <v>0</v>
      </c>
    </row>
    <row r="543" spans="1:17">
      <c r="A543" s="64">
        <v>42080</v>
      </c>
      <c r="B543">
        <v>2074.280029</v>
      </c>
      <c r="C543" s="68">
        <f>LN(B543)-LN(B542)</f>
        <v>-3.3256976557032303E-3</v>
      </c>
      <c r="D543" s="68"/>
      <c r="E543" s="68"/>
      <c r="F543" s="68"/>
      <c r="G543" s="68"/>
      <c r="H543" s="68"/>
      <c r="I543">
        <f>_xlfn.STDEV.S(C523:C543)</f>
        <v>7.1928153486823373E-3</v>
      </c>
      <c r="J543">
        <f>_xlfn.NORM.S.INV(0.99)*I543*SQRT(10)</f>
        <v>5.2914362661893879E-2</v>
      </c>
      <c r="K543">
        <f>LN(B552)-LN(B543)</f>
        <v>5.749278402352509E-3</v>
      </c>
      <c r="L543">
        <f>IF(K543&lt;-(J543),1,0)</f>
        <v>0</v>
      </c>
      <c r="M543" s="72">
        <f t="shared" si="8"/>
        <v>7.8313156575857468E-2</v>
      </c>
      <c r="N543">
        <f>SQRT((N542^2)*0.72+(1-0.72)*(C542^2))</f>
        <v>1.0648839632785633E-2</v>
      </c>
      <c r="O543">
        <f>_xlfn.NORM.S.INV(0.99)*N543*SQRT(10)</f>
        <v>7.8338805452692742E-2</v>
      </c>
      <c r="P543">
        <f>LN(B552)-LN(B543)</f>
        <v>5.749278402352509E-3</v>
      </c>
      <c r="Q543">
        <f>IF(P543&lt;-(O543),1,0)</f>
        <v>0</v>
      </c>
    </row>
    <row r="544" spans="1:17">
      <c r="A544" s="64">
        <v>42081</v>
      </c>
      <c r="B544">
        <v>2099.5</v>
      </c>
      <c r="C544" s="68">
        <f>LN(B544)-LN(B543)</f>
        <v>1.2085101644751184E-2</v>
      </c>
      <c r="D544" s="68"/>
      <c r="E544" s="68"/>
      <c r="F544" s="68"/>
      <c r="G544" s="68"/>
      <c r="H544" s="68"/>
      <c r="I544">
        <f>_xlfn.STDEV.S(C524:C544)</f>
        <v>7.6937370619138898E-3</v>
      </c>
      <c r="J544">
        <f>_xlfn.NORM.S.INV(0.99)*I544*SQRT(10)</f>
        <v>5.65994222545897E-2</v>
      </c>
      <c r="K544">
        <f>LN(B553)-LN(B544)</f>
        <v>-1.5170509143573874E-2</v>
      </c>
      <c r="L544">
        <f>IF(K544&lt;-(J544),1,0)</f>
        <v>0</v>
      </c>
      <c r="M544" s="72">
        <f t="shared" si="8"/>
        <v>6.7699850754145918E-2</v>
      </c>
      <c r="N544">
        <f>SQRT((N543^2)*0.72+(1-0.72)*(C543^2))</f>
        <v>9.2056113185951943E-3</v>
      </c>
      <c r="O544">
        <f>_xlfn.NORM.S.INV(0.99)*N544*SQRT(10)</f>
        <v>6.7721612779315335E-2</v>
      </c>
      <c r="P544">
        <f>LN(B553)-LN(B544)</f>
        <v>-1.5170509143573874E-2</v>
      </c>
      <c r="Q544">
        <f>IF(P544&lt;-(O544),1,0)</f>
        <v>0</v>
      </c>
    </row>
    <row r="545" spans="1:17">
      <c r="A545" s="64">
        <v>42082</v>
      </c>
      <c r="B545">
        <v>2089.2700199999999</v>
      </c>
      <c r="C545" s="68">
        <f>LN(B545)-LN(B544)</f>
        <v>-4.8844889025900784E-3</v>
      </c>
      <c r="D545" s="68"/>
      <c r="E545" s="68"/>
      <c r="F545" s="68"/>
      <c r="G545" s="68"/>
      <c r="H545" s="68"/>
      <c r="I545">
        <f>_xlfn.STDEV.S(C525:C545)</f>
        <v>7.766796344852266E-3</v>
      </c>
      <c r="J545">
        <f>_xlfn.NORM.S.INV(0.99)*I545*SQRT(10)</f>
        <v>5.7136887100524801E-2</v>
      </c>
      <c r="K545">
        <f>LN(B554)-LN(B545)</f>
        <v>-1.4259274844081737E-2</v>
      </c>
      <c r="L545">
        <f>IF(K545&lt;-(J545),1,0)</f>
        <v>0</v>
      </c>
      <c r="M545" s="72">
        <f t="shared" si="8"/>
        <v>7.4250167930226346E-2</v>
      </c>
      <c r="N545">
        <f>SQRT((N544^2)*0.72+(1-0.72)*(C544^2))</f>
        <v>1.0095002343398713E-2</v>
      </c>
      <c r="O545">
        <f>_xlfn.NORM.S.INV(0.99)*N545*SQRT(10)</f>
        <v>7.426446935957054E-2</v>
      </c>
      <c r="P545">
        <f>LN(B554)-LN(B545)</f>
        <v>-1.4259274844081737E-2</v>
      </c>
      <c r="Q545">
        <f>IF(P545&lt;-(O545),1,0)</f>
        <v>0</v>
      </c>
    </row>
    <row r="546" spans="1:17">
      <c r="A546" s="64">
        <v>42083</v>
      </c>
      <c r="B546">
        <v>2108.1000979999999</v>
      </c>
      <c r="C546" s="68">
        <f>LN(B546)-LN(B545)</f>
        <v>8.9723821319607211E-3</v>
      </c>
      <c r="D546" s="68"/>
      <c r="E546" s="68"/>
      <c r="F546" s="68"/>
      <c r="G546" s="68"/>
      <c r="H546" s="68"/>
      <c r="I546">
        <f>_xlfn.STDEV.S(C526:C546)</f>
        <v>8.0180788401896779E-3</v>
      </c>
      <c r="J546">
        <f>_xlfn.NORM.S.INV(0.99)*I546*SQRT(10)</f>
        <v>5.8985461329711053E-2</v>
      </c>
      <c r="K546">
        <f>LN(B555)-LN(B546)</f>
        <v>-1.9708204444852662E-2</v>
      </c>
      <c r="L546">
        <f>IF(K546&lt;-(J546),1,0)</f>
        <v>0</v>
      </c>
      <c r="M546" s="72">
        <f t="shared" si="8"/>
        <v>6.5809801862406758E-2</v>
      </c>
      <c r="N546">
        <f>SQRT((N545^2)*0.72+(1-0.72)*(C545^2))</f>
        <v>8.9473368652683207E-3</v>
      </c>
      <c r="O546">
        <f>_xlfn.NORM.S.INV(0.99)*N546*SQRT(10)</f>
        <v>6.5821601806262328E-2</v>
      </c>
      <c r="P546">
        <f>LN(B555)-LN(B546)</f>
        <v>-1.9708204444852662E-2</v>
      </c>
      <c r="Q546">
        <f>IF(P546&lt;-(O546),1,0)</f>
        <v>0</v>
      </c>
    </row>
    <row r="547" spans="1:17">
      <c r="A547" s="64">
        <v>42086</v>
      </c>
      <c r="B547">
        <v>2104.419922</v>
      </c>
      <c r="C547" s="68">
        <f>LN(B547)-LN(B546)</f>
        <v>-1.7472567103755665E-3</v>
      </c>
      <c r="D547" s="68"/>
      <c r="E547" s="68"/>
      <c r="F547" s="68"/>
      <c r="G547" s="68"/>
      <c r="H547" s="68"/>
      <c r="I547">
        <f>_xlfn.STDEV.S(C527:C547)</f>
        <v>7.9132475056004677E-3</v>
      </c>
      <c r="J547">
        <f>_xlfn.NORM.S.INV(0.99)*I547*SQRT(10)</f>
        <v>5.8214263545827996E-2</v>
      </c>
      <c r="K547">
        <f>LN(B556)-LN(B547)</f>
        <v>-1.1373875207666195E-2</v>
      </c>
      <c r="L547">
        <f>IF(K547&lt;-(J547),1,0)</f>
        <v>0</v>
      </c>
      <c r="M547" s="72">
        <f t="shared" si="8"/>
        <v>6.585873834177404E-2</v>
      </c>
      <c r="N547">
        <f>SQRT((N546^2)*0.72+(1-0.72)*(C546^2))</f>
        <v>8.9543566011279843E-3</v>
      </c>
      <c r="O547">
        <f>_xlfn.NORM.S.INV(0.99)*N547*SQRT(10)</f>
        <v>6.5873242899639889E-2</v>
      </c>
      <c r="P547">
        <f>LN(B556)-LN(B547)</f>
        <v>-1.1373875207666195E-2</v>
      </c>
      <c r="Q547">
        <f>IF(P547&lt;-(O547),1,0)</f>
        <v>0</v>
      </c>
    </row>
    <row r="548" spans="1:17">
      <c r="A548" s="64">
        <v>42087</v>
      </c>
      <c r="B548">
        <v>2091.5</v>
      </c>
      <c r="C548" s="68">
        <f>LN(B548)-LN(B547)</f>
        <v>-6.1583457609906134E-3</v>
      </c>
      <c r="D548" s="68"/>
      <c r="E548" s="68"/>
      <c r="F548" s="68"/>
      <c r="G548" s="68"/>
      <c r="H548" s="68"/>
      <c r="I548">
        <f>_xlfn.STDEV.S(C528:C548)</f>
        <v>8.0219529710784995E-3</v>
      </c>
      <c r="J548">
        <f>_xlfn.NORM.S.INV(0.99)*I548*SQRT(10)</f>
        <v>5.9013961597952788E-2</v>
      </c>
      <c r="K548">
        <f>LN(B557)-LN(B548)</f>
        <v>-7.2795621253476384E-3</v>
      </c>
      <c r="L548">
        <f>IF(K548&lt;-(J548),1,0)</f>
        <v>0</v>
      </c>
      <c r="M548" s="72">
        <f t="shared" si="8"/>
        <v>5.6295368536184498E-2</v>
      </c>
      <c r="N548">
        <f>SQRT((N547^2)*0.72+(1-0.72)*(C547^2))</f>
        <v>7.6540691938513979E-3</v>
      </c>
      <c r="O548">
        <f>_xlfn.NORM.S.INV(0.99)*N548*SQRT(10)</f>
        <v>5.6307603285947978E-2</v>
      </c>
      <c r="P548">
        <f>LN(B557)-LN(B548)</f>
        <v>-7.2795621253476384E-3</v>
      </c>
      <c r="Q548">
        <f>IF(P548&lt;-(O548),1,0)</f>
        <v>0</v>
      </c>
    </row>
    <row r="549" spans="1:17">
      <c r="A549" s="64">
        <v>42088</v>
      </c>
      <c r="B549">
        <v>2061.0500489999999</v>
      </c>
      <c r="C549" s="68">
        <f>LN(B549)-LN(B548)</f>
        <v>-1.4665926443846899E-2</v>
      </c>
      <c r="D549" s="68"/>
      <c r="E549" s="68"/>
      <c r="F549" s="68"/>
      <c r="G549" s="68"/>
      <c r="H549" s="68"/>
      <c r="I549">
        <f>_xlfn.STDEV.S(C529:C549)</f>
        <v>8.560778904649291E-3</v>
      </c>
      <c r="J549">
        <f>_xlfn.NORM.S.INV(0.99)*I549*SQRT(10)</f>
        <v>6.2977865782678111E-2</v>
      </c>
      <c r="K549">
        <f>LN(B558)-LN(B549)</f>
        <v>1.0065305770935673E-2</v>
      </c>
      <c r="L549">
        <f>IF(K549&lt;-(J549),1,0)</f>
        <v>0</v>
      </c>
      <c r="M549" s="72">
        <f t="shared" si="8"/>
        <v>5.3444668255299914E-2</v>
      </c>
      <c r="N549">
        <f>SQRT((N548^2)*0.72+(1-0.72)*(C548^2))</f>
        <v>7.2663677628376265E-3</v>
      </c>
      <c r="O549">
        <f>_xlfn.NORM.S.INV(0.99)*N549*SQRT(10)</f>
        <v>5.3455455256184344E-2</v>
      </c>
      <c r="P549">
        <f>LN(B558)-LN(B549)</f>
        <v>1.0065305770935673E-2</v>
      </c>
      <c r="Q549">
        <f>IF(P549&lt;-(O549),1,0)</f>
        <v>0</v>
      </c>
    </row>
    <row r="550" spans="1:17">
      <c r="A550" s="64">
        <v>42089</v>
      </c>
      <c r="B550">
        <v>2056.1499020000001</v>
      </c>
      <c r="C550" s="68">
        <f>LN(B550)-LN(B549)</f>
        <v>-2.3803309880472412E-3</v>
      </c>
      <c r="D550" s="68"/>
      <c r="E550" s="68"/>
      <c r="F550" s="68"/>
      <c r="G550" s="68"/>
      <c r="H550" s="68"/>
      <c r="I550">
        <f>_xlfn.STDEV.S(C530:C550)</f>
        <v>8.563545670431395E-3</v>
      </c>
      <c r="J550">
        <f>_xlfn.NORM.S.INV(0.99)*I550*SQRT(10)</f>
        <v>6.2998219655382701E-2</v>
      </c>
      <c r="K550">
        <f>LN(B559)-LN(B550)</f>
        <v>1.6893212969574911E-2</v>
      </c>
      <c r="L550">
        <f>IF(K550&lt;-(J550),1,0)</f>
        <v>0</v>
      </c>
      <c r="M550" s="72">
        <f t="shared" si="8"/>
        <v>7.2909958942045133E-2</v>
      </c>
      <c r="N550">
        <f>SQRT((N549^2)*0.72+(1-0.72)*(C549^2))</f>
        <v>9.9116650418802996E-3</v>
      </c>
      <c r="O550">
        <f>_xlfn.NORM.S.INV(0.99)*N550*SQRT(10)</f>
        <v>7.2915737883546272E-2</v>
      </c>
      <c r="P550">
        <f>LN(B559)-LN(B550)</f>
        <v>1.6893212969574911E-2</v>
      </c>
      <c r="Q550">
        <f>IF(P550&lt;-(O550),1,0)</f>
        <v>0</v>
      </c>
    </row>
    <row r="551" spans="1:17">
      <c r="A551" s="64">
        <v>42090</v>
      </c>
      <c r="B551">
        <v>2061.0200199999999</v>
      </c>
      <c r="C551" s="68">
        <f>LN(B551)-LN(B550)</f>
        <v>2.3657611241212351E-3</v>
      </c>
      <c r="D551" s="68"/>
      <c r="E551" s="68"/>
      <c r="F551" s="68"/>
      <c r="G551" s="68"/>
      <c r="H551" s="68"/>
      <c r="I551">
        <f>_xlfn.STDEV.S(C531:C551)</f>
        <v>8.6009555873103535E-3</v>
      </c>
      <c r="J551">
        <f>_xlfn.NORM.S.INV(0.99)*I551*SQRT(10)</f>
        <v>6.3273427875380622E-2</v>
      </c>
      <c r="K551">
        <f>LN(B560)-LN(B551)</f>
        <v>1.9716828766319416E-2</v>
      </c>
      <c r="L551">
        <f>IF(K551&lt;-(J551),1,0)</f>
        <v>0</v>
      </c>
      <c r="M551" s="72">
        <f t="shared" si="8"/>
        <v>6.2555836107610521E-2</v>
      </c>
      <c r="N551">
        <f>SQRT((N550^2)*0.72+(1-0.72)*(C550^2))</f>
        <v>8.5041206471507241E-3</v>
      </c>
      <c r="O551">
        <f>_xlfn.NORM.S.INV(0.99)*N551*SQRT(10)</f>
        <v>6.2561056030204856E-2</v>
      </c>
      <c r="P551">
        <f>LN(B560)-LN(B551)</f>
        <v>1.9716828766319416E-2</v>
      </c>
      <c r="Q551">
        <f>IF(P551&lt;-(O551),1,0)</f>
        <v>0</v>
      </c>
    </row>
    <row r="552" spans="1:17">
      <c r="A552" s="64">
        <v>42093</v>
      </c>
      <c r="B552">
        <v>2086.23999</v>
      </c>
      <c r="C552" s="68">
        <f>LN(B552)-LN(B551)</f>
        <v>1.2162382307369768E-2</v>
      </c>
      <c r="D552" s="68"/>
      <c r="E552" s="68"/>
      <c r="F552" s="68"/>
      <c r="G552" s="68"/>
      <c r="H552" s="68"/>
      <c r="I552">
        <f>_xlfn.STDEV.S(C532:C552)</f>
        <v>9.061260659962371E-3</v>
      </c>
      <c r="J552">
        <f>_xlfn.NORM.S.INV(0.99)*I552*SQRT(10)</f>
        <v>6.6659688799467903E-2</v>
      </c>
      <c r="K552">
        <f>LN(B561)-LN(B552)</f>
        <v>2.9626396164763591E-3</v>
      </c>
      <c r="L552">
        <f>IF(K552&lt;-(J552),1,0)</f>
        <v>0</v>
      </c>
      <c r="M552" s="72">
        <f t="shared" si="8"/>
        <v>5.3871622534004932E-2</v>
      </c>
      <c r="N552">
        <f>SQRT((N551^2)*0.72+(1-0.72)*(C551^2))</f>
        <v>7.3237668000507451E-3</v>
      </c>
      <c r="O552">
        <f>_xlfn.NORM.S.INV(0.99)*N552*SQRT(10)</f>
        <v>5.3877714597527639E-2</v>
      </c>
      <c r="P552">
        <f>LN(B561)-LN(B552)</f>
        <v>2.9626396164763591E-3</v>
      </c>
      <c r="Q552">
        <f>IF(P552&lt;-(O552),1,0)</f>
        <v>0</v>
      </c>
    </row>
    <row r="553" spans="1:17">
      <c r="A553" s="64">
        <v>42094</v>
      </c>
      <c r="B553">
        <v>2067.889893</v>
      </c>
      <c r="C553" s="68">
        <f>LN(B553)-LN(B552)</f>
        <v>-8.8346859011751988E-3</v>
      </c>
      <c r="D553" s="68"/>
      <c r="E553" s="68"/>
      <c r="F553" s="68"/>
      <c r="G553" s="68"/>
      <c r="H553" s="68"/>
      <c r="I553">
        <f>_xlfn.STDEV.S(C533:C553)</f>
        <v>9.1100606280922272E-3</v>
      </c>
      <c r="J553">
        <f>_xlfn.NORM.S.INV(0.99)*I553*SQRT(10)</f>
        <v>6.7018688591112083E-2</v>
      </c>
      <c r="K553">
        <f>LN(B562)-LN(B553)</f>
        <v>1.3425757656601256E-2</v>
      </c>
      <c r="L553">
        <f>IF(K553&lt;-(J553),1,0)</f>
        <v>0</v>
      </c>
      <c r="M553" s="72">
        <f t="shared" si="8"/>
        <v>6.5804921955344209E-2</v>
      </c>
      <c r="N553">
        <f>SQRT((N552^2)*0.72+(1-0.72)*(C552^2))</f>
        <v>8.9463755483029164E-3</v>
      </c>
      <c r="O553">
        <f>_xlfn.NORM.S.INV(0.99)*N553*SQRT(10)</f>
        <v>6.5814529822334683E-2</v>
      </c>
      <c r="P553">
        <f>LN(B562)-LN(B553)</f>
        <v>1.3425757656601256E-2</v>
      </c>
      <c r="Q553">
        <f>IF(P553&lt;-(O553),1,0)</f>
        <v>0</v>
      </c>
    </row>
    <row r="554" spans="1:17">
      <c r="A554" s="64">
        <v>42095</v>
      </c>
      <c r="B554">
        <v>2059.6899410000001</v>
      </c>
      <c r="C554" s="68">
        <f>LN(B554)-LN(B553)</f>
        <v>-3.9732546030979421E-3</v>
      </c>
      <c r="D554" s="68"/>
      <c r="E554" s="68"/>
      <c r="F554" s="68"/>
      <c r="G554" s="68"/>
      <c r="H554" s="68"/>
      <c r="I554">
        <f>_xlfn.STDEV.S(C534:C554)</f>
        <v>9.1001088781271031E-3</v>
      </c>
      <c r="J554">
        <f>_xlfn.NORM.S.INV(0.99)*I554*SQRT(10)</f>
        <v>6.6945477966169314E-2</v>
      </c>
      <c r="K554">
        <f>LN(B563)-LN(B554)</f>
        <v>2.2534001341512955E-2</v>
      </c>
      <c r="L554">
        <f>IF(K554&lt;-(J554),1,0)</f>
        <v>0</v>
      </c>
      <c r="M554" s="72">
        <f t="shared" si="8"/>
        <v>6.5575212289422036E-2</v>
      </c>
      <c r="N554">
        <f>SQRT((N553^2)*0.72+(1-0.72)*(C553^2))</f>
        <v>8.9152434917502237E-3</v>
      </c>
      <c r="O554">
        <f>_xlfn.NORM.S.INV(0.99)*N554*SQRT(10)</f>
        <v>6.55855050453895E-2</v>
      </c>
      <c r="P554">
        <f>LN(B563)-LN(B554)</f>
        <v>2.2534001341512955E-2</v>
      </c>
      <c r="Q554">
        <f>IF(P554&lt;-(O554),1,0)</f>
        <v>0</v>
      </c>
    </row>
    <row r="555" spans="1:17">
      <c r="A555" s="64">
        <v>42096</v>
      </c>
      <c r="B555">
        <v>2066.959961</v>
      </c>
      <c r="C555" s="68">
        <f>LN(B555)-LN(B554)</f>
        <v>3.5234525311897968E-3</v>
      </c>
      <c r="D555" s="68"/>
      <c r="E555" s="68"/>
      <c r="F555" s="68"/>
      <c r="G555" s="68"/>
      <c r="H555" s="68"/>
      <c r="I555">
        <f>_xlfn.STDEV.S(C535:C555)</f>
        <v>9.1206761323981769E-3</v>
      </c>
      <c r="J555">
        <f>_xlfn.NORM.S.INV(0.99)*I555*SQRT(10)</f>
        <v>6.7096782163302407E-2</v>
      </c>
      <c r="K555">
        <f>LN(B564)-LN(B555)</f>
        <v>1.8231801851991136E-2</v>
      </c>
      <c r="L555">
        <f>IF(K555&lt;-(J555),1,0)</f>
        <v>0</v>
      </c>
      <c r="M555" s="72">
        <f t="shared" si="8"/>
        <v>5.7748495144806691E-2</v>
      </c>
      <c r="N555">
        <f>SQRT((N554^2)*0.72+(1-0.72)*(C554^2))</f>
        <v>7.8515615320693434E-3</v>
      </c>
      <c r="O555">
        <f>_xlfn.NORM.S.INV(0.99)*N555*SQRT(10)</f>
        <v>5.7760467109196849E-2</v>
      </c>
      <c r="P555">
        <f>LN(B564)-LN(B555)</f>
        <v>1.8231801851991136E-2</v>
      </c>
      <c r="Q555">
        <f>IF(P555&lt;-(O555),1,0)</f>
        <v>0</v>
      </c>
    </row>
    <row r="556" spans="1:17">
      <c r="A556" s="64">
        <v>42100</v>
      </c>
      <c r="B556">
        <v>2080.6201169999999</v>
      </c>
      <c r="C556" s="68">
        <f>LN(B556)-LN(B555)</f>
        <v>6.5870725268108998E-3</v>
      </c>
      <c r="D556" s="68"/>
      <c r="E556" s="68"/>
      <c r="F556" s="68"/>
      <c r="G556" s="68"/>
      <c r="H556" s="68"/>
      <c r="I556">
        <f>_xlfn.STDEV.S(C536:C556)</f>
        <v>9.2522825675887231E-3</v>
      </c>
      <c r="J556">
        <f>_xlfn.NORM.S.INV(0.99)*I556*SQRT(10)</f>
        <v>6.8064952525355049E-2</v>
      </c>
      <c r="K556">
        <f>LN(B565)-LN(B556)</f>
        <v>2.690254201480613E-4</v>
      </c>
      <c r="L556">
        <f>IF(K556&lt;-(J556),1,0)</f>
        <v>0</v>
      </c>
      <c r="M556" s="72">
        <f t="shared" si="8"/>
        <v>5.0884314920339811E-2</v>
      </c>
      <c r="N556">
        <f>SQRT((N555^2)*0.72+(1-0.72)*(C555^2))</f>
        <v>6.9182349108150819E-3</v>
      </c>
      <c r="O556">
        <f>_xlfn.NORM.S.INV(0.99)*N556*SQRT(10)</f>
        <v>5.0894395769259672E-2</v>
      </c>
      <c r="P556">
        <f>LN(B565)-LN(B556)</f>
        <v>2.690254201480613E-4</v>
      </c>
      <c r="Q556">
        <f>IF(P556&lt;-(O556),1,0)</f>
        <v>0</v>
      </c>
    </row>
    <row r="557" spans="1:17">
      <c r="A557" s="64">
        <v>42101</v>
      </c>
      <c r="B557">
        <v>2076.330078</v>
      </c>
      <c r="C557" s="68">
        <f>LN(B557)-LN(B556)</f>
        <v>-2.0640326786720564E-3</v>
      </c>
      <c r="D557" s="68"/>
      <c r="E557" s="68"/>
      <c r="F557" s="68"/>
      <c r="G557" s="68"/>
      <c r="H557" s="68"/>
      <c r="I557">
        <f>_xlfn.STDEV.S(C537:C557)</f>
        <v>8.7086927233630922E-3</v>
      </c>
      <c r="J557">
        <f>_xlfn.NORM.S.INV(0.99)*I557*SQRT(10)</f>
        <v>6.4066002356010482E-2</v>
      </c>
      <c r="K557">
        <f>LN(B566)-LN(B557)</f>
        <v>1.1525806349018453E-2</v>
      </c>
      <c r="L557">
        <f>IF(K557&lt;-(J557),1,0)</f>
        <v>0</v>
      </c>
      <c r="M557" s="72">
        <f t="shared" si="8"/>
        <v>5.01736978716944E-2</v>
      </c>
      <c r="N557">
        <f>SQRT((N556^2)*0.72+(1-0.72)*(C556^2))</f>
        <v>6.8271288500400765E-3</v>
      </c>
      <c r="O557">
        <f>_xlfn.NORM.S.INV(0.99)*N557*SQRT(10)</f>
        <v>5.0224168757046946E-2</v>
      </c>
      <c r="P557">
        <f>LN(B566)-LN(B557)</f>
        <v>1.1525806349018453E-2</v>
      </c>
      <c r="Q557">
        <f>IF(P557&lt;-(O557),1,0)</f>
        <v>0</v>
      </c>
    </row>
    <row r="558" spans="1:17">
      <c r="A558" s="64">
        <v>42102</v>
      </c>
      <c r="B558">
        <v>2081.8999020000001</v>
      </c>
      <c r="C558" s="68">
        <f>LN(B558)-LN(B557)</f>
        <v>2.6789414524364119E-3</v>
      </c>
      <c r="D558" s="68"/>
      <c r="E558" s="68"/>
      <c r="F558" s="68"/>
      <c r="G558" s="68"/>
      <c r="H558" s="68"/>
      <c r="I558">
        <f>_xlfn.STDEV.S(C538:C558)</f>
        <v>8.6854001553260188E-3</v>
      </c>
      <c r="J558">
        <f>_xlfn.NORM.S.INV(0.99)*I558*SQRT(10)</f>
        <v>6.3894649230329822E-2</v>
      </c>
      <c r="K558">
        <f>LN(B567)-LN(B558)</f>
        <v>7.3651625256729858E-3</v>
      </c>
      <c r="L558">
        <f>IF(K558&lt;-(J558),1,0)</f>
        <v>0</v>
      </c>
      <c r="M558" s="72">
        <f t="shared" si="8"/>
        <v>4.3321534835656532E-2</v>
      </c>
      <c r="N558">
        <f>SQRT((N557^2)*0.72+(1-0.72)*(C557^2))</f>
        <v>5.8950691474189661E-3</v>
      </c>
      <c r="O558">
        <f>_xlfn.NORM.S.INV(0.99)*N558*SQRT(10)</f>
        <v>4.3367417577404151E-2</v>
      </c>
      <c r="P558">
        <f>LN(B567)-LN(B558)</f>
        <v>7.3651625256729858E-3</v>
      </c>
      <c r="Q558">
        <f>IF(P558&lt;-(O558),1,0)</f>
        <v>0</v>
      </c>
    </row>
    <row r="559" spans="1:17">
      <c r="A559" s="64">
        <v>42103</v>
      </c>
      <c r="B559">
        <v>2091.179932</v>
      </c>
      <c r="C559" s="68">
        <f>LN(B559)-LN(B558)</f>
        <v>4.4475762105919969E-3</v>
      </c>
      <c r="D559" s="68"/>
      <c r="E559" s="68"/>
      <c r="F559" s="68"/>
      <c r="G559" s="68"/>
      <c r="H559" s="68"/>
      <c r="I559">
        <f>_xlfn.STDEV.S(C539:C559)</f>
        <v>7.7823543918129831E-3</v>
      </c>
      <c r="J559">
        <f>_xlfn.NORM.S.INV(0.99)*I559*SQRT(10)</f>
        <v>5.7251340773986747E-2</v>
      </c>
      <c r="K559">
        <f>LN(B568)-LN(B559)</f>
        <v>7.9921692279176781E-3</v>
      </c>
      <c r="L559">
        <f>IF(K559&lt;-(J559),1,0)</f>
        <v>0</v>
      </c>
      <c r="M559" s="72">
        <f t="shared" si="8"/>
        <v>3.8128719143989492E-2</v>
      </c>
      <c r="N559">
        <f>SQRT((N558^2)*0.72+(1-0.72)*(C558^2))</f>
        <v>5.199116139077458E-3</v>
      </c>
      <c r="O559">
        <f>_xlfn.NORM.S.INV(0.99)*N559*SQRT(10)</f>
        <v>3.8247598967606974E-2</v>
      </c>
      <c r="P559">
        <f>LN(B568)-LN(B559)</f>
        <v>7.9921692279176781E-3</v>
      </c>
      <c r="Q559">
        <f>IF(P559&lt;-(O559),1,0)</f>
        <v>0</v>
      </c>
    </row>
    <row r="560" spans="1:17">
      <c r="A560" s="64">
        <v>42104</v>
      </c>
      <c r="B560">
        <v>2102.0600589999999</v>
      </c>
      <c r="C560" s="68">
        <f>LN(B560)-LN(B559)</f>
        <v>5.1893769208657403E-3</v>
      </c>
      <c r="D560" s="68"/>
      <c r="E560" s="68"/>
      <c r="F560" s="68"/>
      <c r="G560" s="68"/>
      <c r="H560" s="68"/>
      <c r="I560">
        <f>_xlfn.STDEV.S(C540:C560)</f>
        <v>7.799815751284426E-3</v>
      </c>
      <c r="J560">
        <f>_xlfn.NORM.S.INV(0.99)*I560*SQRT(10)</f>
        <v>5.7379796276158211E-2</v>
      </c>
      <c r="K560">
        <f>LN(B569)-LN(B560)</f>
        <v>5.1577332900381023E-3</v>
      </c>
      <c r="L560">
        <f>IF(K560&lt;-(J560),1,0)</f>
        <v>0</v>
      </c>
      <c r="M560" s="72">
        <f t="shared" si="8"/>
        <v>3.6693374020814774E-2</v>
      </c>
      <c r="N560">
        <f>SQRT((N559^2)*0.72+(1-0.72)*(C559^2))</f>
        <v>5.0000843766490558E-3</v>
      </c>
      <c r="O560">
        <f>_xlfn.NORM.S.INV(0.99)*N560*SQRT(10)</f>
        <v>3.678341028100296E-2</v>
      </c>
      <c r="P560">
        <f>LN(B569)-LN(B560)</f>
        <v>5.1577332900381023E-3</v>
      </c>
      <c r="Q560">
        <f>IF(P560&lt;-(O560),1,0)</f>
        <v>0</v>
      </c>
    </row>
    <row r="561" spans="1:17">
      <c r="A561" s="64">
        <v>42107</v>
      </c>
      <c r="B561">
        <v>2092.429932</v>
      </c>
      <c r="C561" s="68">
        <f>LN(B561)-LN(B560)</f>
        <v>-4.5918068424732894E-3</v>
      </c>
      <c r="D561" s="68"/>
      <c r="E561" s="68"/>
      <c r="F561" s="68"/>
      <c r="G561" s="68"/>
      <c r="H561" s="68"/>
      <c r="I561">
        <f>_xlfn.STDEV.S(C541:C561)</f>
        <v>7.4689891131255771E-3</v>
      </c>
      <c r="J561">
        <f>_xlfn.NORM.S.INV(0.99)*I561*SQRT(10)</f>
        <v>5.4946050953756841E-2</v>
      </c>
      <c r="K561">
        <f>LN(B570)-LN(B561)</f>
        <v>1.1999806595344609E-2</v>
      </c>
      <c r="L561">
        <f>IF(K561&lt;-(J561),1,0)</f>
        <v>0</v>
      </c>
      <c r="M561" s="72">
        <f t="shared" si="8"/>
        <v>3.7069566339819789E-2</v>
      </c>
      <c r="N561">
        <f>SQRT((N560^2)*0.72+(1-0.72)*(C560^2))</f>
        <v>5.0538010159193155E-3</v>
      </c>
      <c r="O561">
        <f>_xlfn.NORM.S.INV(0.99)*N561*SQRT(10)</f>
        <v>3.717857984862509E-2</v>
      </c>
      <c r="P561">
        <f>LN(B570)-LN(B561)</f>
        <v>1.1999806595344609E-2</v>
      </c>
      <c r="Q561">
        <f>IF(P561&lt;-(O561),1,0)</f>
        <v>0</v>
      </c>
    </row>
    <row r="562" spans="1:17">
      <c r="A562" s="64">
        <v>42108</v>
      </c>
      <c r="B562">
        <v>2095.8400879999999</v>
      </c>
      <c r="C562" s="68">
        <f>LN(B562)-LN(B561)</f>
        <v>1.6284321389496981E-3</v>
      </c>
      <c r="D562" s="68"/>
      <c r="E562" s="68"/>
      <c r="F562" s="68"/>
      <c r="G562" s="68"/>
      <c r="H562" s="68"/>
      <c r="I562">
        <f>_xlfn.STDEV.S(C542:C562)</f>
        <v>7.3110704927277642E-3</v>
      </c>
      <c r="J562">
        <f>_xlfn.NORM.S.INV(0.99)*I562*SQRT(10)</f>
        <v>5.3784313477439359E-2</v>
      </c>
      <c r="K562">
        <f>LN(B571)-LN(B562)</f>
        <v>6.2214614667688295E-3</v>
      </c>
      <c r="L562">
        <f>IF(K562&lt;-(J562),1,0)</f>
        <v>0</v>
      </c>
      <c r="M562" s="72">
        <f t="shared" si="8"/>
        <v>3.6167721965069885E-2</v>
      </c>
      <c r="N562">
        <f>SQRT((N561^2)*0.72+(1-0.72)*(C561^2))</f>
        <v>4.9288096546862888E-3</v>
      </c>
      <c r="O562">
        <f>_xlfn.NORM.S.INV(0.99)*N562*SQRT(10)</f>
        <v>3.6259073661232169E-2</v>
      </c>
      <c r="P562">
        <f>LN(B571)-LN(B562)</f>
        <v>6.2214614667688295E-3</v>
      </c>
      <c r="Q562">
        <f>IF(P562&lt;-(O562),1,0)</f>
        <v>0</v>
      </c>
    </row>
    <row r="563" spans="1:17">
      <c r="A563" s="64">
        <v>42109</v>
      </c>
      <c r="B563">
        <v>2106.6298830000001</v>
      </c>
      <c r="C563" s="68">
        <f>LN(B563)-LN(B562)</f>
        <v>5.1349890818137567E-3</v>
      </c>
      <c r="D563" s="68"/>
      <c r="E563" s="68"/>
      <c r="F563" s="68"/>
      <c r="G563" s="68"/>
      <c r="H563" s="68"/>
      <c r="I563">
        <f>_xlfn.STDEV.S(C543:C563)</f>
        <v>6.8102542238320535E-3</v>
      </c>
      <c r="J563">
        <f>_xlfn.NORM.S.INV(0.99)*I563*SQRT(10)</f>
        <v>5.0100029592106632E-2</v>
      </c>
      <c r="K563">
        <f>LN(B572)-LN(B563)</f>
        <v>3.8518768738580178E-3</v>
      </c>
      <c r="L563">
        <f>IF(K563&lt;-(J563),1,0)</f>
        <v>0</v>
      </c>
      <c r="M563" s="72">
        <f t="shared" si="8"/>
        <v>3.1275869570400294E-2</v>
      </c>
      <c r="N563">
        <f>SQRT((N562^2)*0.72+(1-0.72)*(C562^2))</f>
        <v>4.2700796322151556E-3</v>
      </c>
      <c r="O563">
        <f>_xlfn.NORM.S.INV(0.99)*N563*SQRT(10)</f>
        <v>3.141308810264274E-2</v>
      </c>
      <c r="P563">
        <f>LN(B572)-LN(B563)</f>
        <v>3.8518768738580178E-3</v>
      </c>
      <c r="Q563">
        <f>IF(P563&lt;-(O563),1,0)</f>
        <v>0</v>
      </c>
    </row>
    <row r="564" spans="1:17">
      <c r="A564" s="64">
        <v>42110</v>
      </c>
      <c r="B564">
        <v>2104.98999</v>
      </c>
      <c r="C564" s="68">
        <f>LN(B564)-LN(B563)</f>
        <v>-7.7874695833202168E-4</v>
      </c>
      <c r="D564" s="68"/>
      <c r="E564" s="68"/>
      <c r="F564" s="68"/>
      <c r="G564" s="68"/>
      <c r="H564" s="68"/>
      <c r="I564">
        <f>_xlfn.STDEV.S(C544:C564)</f>
        <v>6.7597390192605895E-3</v>
      </c>
      <c r="J564">
        <f>_xlfn.NORM.S.INV(0.99)*I564*SQRT(10)</f>
        <v>4.9728411564247225E-2</v>
      </c>
      <c r="K564">
        <f>LN(B573)-LN(B564)</f>
        <v>8.8327575694702176E-4</v>
      </c>
      <c r="L564">
        <f>IF(K564&lt;-(J564),1,0)</f>
        <v>0</v>
      </c>
      <c r="M564" s="72">
        <f t="shared" si="8"/>
        <v>3.3220757546401018E-2</v>
      </c>
      <c r="N564">
        <f>SQRT((N563^2)*0.72+(1-0.72)*(C563^2))</f>
        <v>4.5289346706292085E-3</v>
      </c>
      <c r="O564">
        <f>_xlfn.NORM.S.INV(0.99)*N564*SQRT(10)</f>
        <v>3.3317370183512343E-2</v>
      </c>
      <c r="P564">
        <f>LN(B573)-LN(B564)</f>
        <v>8.8327575694702176E-4</v>
      </c>
      <c r="Q564">
        <f>IF(P564&lt;-(O564),1,0)</f>
        <v>0</v>
      </c>
    </row>
    <row r="565" spans="1:17">
      <c r="A565" s="64">
        <v>42111</v>
      </c>
      <c r="B565">
        <v>2081.179932</v>
      </c>
      <c r="C565" s="68">
        <f>LN(B565)-LN(B564)</f>
        <v>-1.1375703905032175E-2</v>
      </c>
      <c r="D565" s="68"/>
      <c r="E565" s="68"/>
      <c r="F565" s="68"/>
      <c r="G565" s="68"/>
      <c r="H565" s="68"/>
      <c r="I565">
        <f>_xlfn.STDEV.S(C545:C565)</f>
        <v>6.7225959723323974E-3</v>
      </c>
      <c r="J565">
        <f>_xlfn.NORM.S.INV(0.99)*I565*SQRT(10)</f>
        <v>4.9455166588497065E-2</v>
      </c>
      <c r="K565">
        <f>LN(B574)-LN(B565)</f>
        <v>2.0784265779552058E-3</v>
      </c>
      <c r="L565">
        <f>IF(K565&lt;-(J565),1,0)</f>
        <v>0</v>
      </c>
      <c r="M565" s="72">
        <f t="shared" si="8"/>
        <v>2.8296520022326521E-2</v>
      </c>
      <c r="N565">
        <f>SQRT((N564^2)*0.72+(1-0.72)*(C564^2))</f>
        <v>3.8649585472067924E-3</v>
      </c>
      <c r="O565">
        <f>_xlfn.NORM.S.INV(0.99)*N565*SQRT(10)</f>
        <v>2.8432791379463338E-2</v>
      </c>
      <c r="P565">
        <f>LN(B574)-LN(B565)</f>
        <v>2.0784265779552058E-3</v>
      </c>
      <c r="Q565">
        <f>IF(P565&lt;-(O565),1,0)</f>
        <v>0</v>
      </c>
    </row>
    <row r="566" spans="1:17">
      <c r="A566" s="64">
        <v>42114</v>
      </c>
      <c r="B566">
        <v>2100.3999020000001</v>
      </c>
      <c r="C566" s="68">
        <f>LN(B566)-LN(B565)</f>
        <v>9.1927482501983349E-3</v>
      </c>
      <c r="D566" s="68"/>
      <c r="E566" s="68"/>
      <c r="F566" s="68"/>
      <c r="G566" s="68"/>
      <c r="H566" s="68"/>
      <c r="I566">
        <f>_xlfn.STDEV.S(C546:C566)</f>
        <v>6.9527973037999437E-3</v>
      </c>
      <c r="J566">
        <f>_xlfn.NORM.S.INV(0.99)*I566*SQRT(10)</f>
        <v>5.1148656014825253E-2</v>
      </c>
      <c r="K566">
        <f>LN(B575)-LN(B566)</f>
        <v>3.7494547491849772E-3</v>
      </c>
      <c r="L566">
        <f>IF(K566&lt;-(J566),1,0)</f>
        <v>0</v>
      </c>
      <c r="M566" s="72">
        <f t="shared" si="8"/>
        <v>5.0367950511445159E-2</v>
      </c>
      <c r="N566">
        <f>SQRT((N565^2)*0.72+(1-0.72)*(C565^2))</f>
        <v>6.8548632594211045E-3</v>
      </c>
      <c r="O566">
        <f>_xlfn.NORM.S.INV(0.99)*N566*SQRT(10)</f>
        <v>5.0428198545809703E-2</v>
      </c>
      <c r="P566">
        <f>LN(B575)-LN(B566)</f>
        <v>3.7494547491849772E-3</v>
      </c>
      <c r="Q566">
        <f>IF(P566&lt;-(O566),1,0)</f>
        <v>0</v>
      </c>
    </row>
    <row r="567" spans="1:17">
      <c r="A567" s="64">
        <v>42115</v>
      </c>
      <c r="B567">
        <v>2097.290039</v>
      </c>
      <c r="C567" s="68">
        <f>LN(B567)-LN(B566)</f>
        <v>-1.4817023709090549E-3</v>
      </c>
      <c r="D567" s="68"/>
      <c r="E567" s="68"/>
      <c r="F567" s="68"/>
      <c r="G567" s="68"/>
      <c r="H567" s="68"/>
      <c r="I567">
        <f>_xlfn.STDEV.S(C547:C567)</f>
        <v>6.665602798667002E-3</v>
      </c>
      <c r="J567">
        <f>_xlfn.NORM.S.INV(0.99)*I567*SQRT(10)</f>
        <v>4.9035893005846917E-2</v>
      </c>
      <c r="K567">
        <f>LN(B576)-LN(B567)</f>
        <v>8.1675901866589129E-3</v>
      </c>
      <c r="L567">
        <f>IF(K567&lt;-(J567),1,0)</f>
        <v>0</v>
      </c>
      <c r="M567" s="72">
        <f t="shared" si="8"/>
        <v>5.5726425965220733E-2</v>
      </c>
      <c r="N567">
        <f>SQRT((N566^2)*0.72+(1-0.72)*(C566^2))</f>
        <v>7.5824825703384932E-3</v>
      </c>
      <c r="O567">
        <f>_xlfn.NORM.S.INV(0.99)*N567*SQRT(10)</f>
        <v>5.5780972144360806E-2</v>
      </c>
      <c r="P567">
        <f>LN(B576)-LN(B567)</f>
        <v>8.1675901866589129E-3</v>
      </c>
      <c r="Q567">
        <f>IF(P567&lt;-(O567),1,0)</f>
        <v>0</v>
      </c>
    </row>
    <row r="568" spans="1:17">
      <c r="A568" s="64">
        <v>42116</v>
      </c>
      <c r="B568">
        <v>2107.959961</v>
      </c>
      <c r="C568" s="68">
        <f>LN(B568)-LN(B567)</f>
        <v>5.0745829128366893E-3</v>
      </c>
      <c r="D568" s="68"/>
      <c r="E568" s="68"/>
      <c r="F568" s="68"/>
      <c r="G568" s="68"/>
      <c r="H568" s="68"/>
      <c r="I568">
        <f>_xlfn.STDEV.S(C548:C568)</f>
        <v>6.7543607021379789E-3</v>
      </c>
      <c r="J568">
        <f>_xlfn.NORM.S.INV(0.99)*I568*SQRT(10)</f>
        <v>4.9688845662866396E-2</v>
      </c>
      <c r="K568">
        <f>LN(B577)-LN(B568)</f>
        <v>-8.8149959439531855E-3</v>
      </c>
      <c r="L568">
        <f>IF(K568&lt;-(J568),1,0)</f>
        <v>0</v>
      </c>
      <c r="M568" s="72">
        <f t="shared" si="8"/>
        <v>4.763524149346917E-2</v>
      </c>
      <c r="N568">
        <f>SQRT((N567^2)*0.72+(1-0.72)*(C567^2))</f>
        <v>6.4815456432627842E-3</v>
      </c>
      <c r="O568">
        <f>_xlfn.NORM.S.INV(0.99)*N568*SQRT(10)</f>
        <v>4.7681865883023658E-2</v>
      </c>
      <c r="P568">
        <f>LN(B577)-LN(B568)</f>
        <v>-8.8149959439531855E-3</v>
      </c>
      <c r="Q568">
        <f>IF(P568&lt;-(O568),1,0)</f>
        <v>0</v>
      </c>
    </row>
    <row r="569" spans="1:17">
      <c r="A569" s="64">
        <v>42117</v>
      </c>
      <c r="B569">
        <v>2112.929932</v>
      </c>
      <c r="C569" s="68">
        <f>LN(B569)-LN(B568)</f>
        <v>2.3549409829861645E-3</v>
      </c>
      <c r="D569" s="68"/>
      <c r="E569" s="68"/>
      <c r="F569" s="68"/>
      <c r="G569" s="68"/>
      <c r="H569" s="68"/>
      <c r="I569">
        <f>_xlfn.STDEV.S(C549:C569)</f>
        <v>6.6152637755155204E-3</v>
      </c>
      <c r="J569">
        <f>_xlfn.NORM.S.INV(0.99)*I569*SQRT(10)</f>
        <v>4.8665571066806607E-2</v>
      </c>
      <c r="K569">
        <f>LN(B578)-LN(B569)</f>
        <v>-1.5635618263035944E-2</v>
      </c>
      <c r="L569">
        <f>IF(K569&lt;-(J569),1,0)</f>
        <v>0</v>
      </c>
      <c r="M569" s="72">
        <f t="shared" si="8"/>
        <v>4.497973797407586E-2</v>
      </c>
      <c r="N569">
        <f>SQRT((N568^2)*0.72+(1-0.72)*(C568^2))</f>
        <v>6.1202861136955243E-3</v>
      </c>
      <c r="O569">
        <f>_xlfn.NORM.S.INV(0.99)*N569*SQRT(10)</f>
        <v>4.5024239232550972E-2</v>
      </c>
      <c r="P569">
        <f>LN(B578)-LN(B569)</f>
        <v>-1.5635618263035944E-2</v>
      </c>
      <c r="Q569">
        <f>IF(P569&lt;-(O569),1,0)</f>
        <v>0</v>
      </c>
    </row>
    <row r="570" spans="1:17">
      <c r="A570" s="64">
        <v>42118</v>
      </c>
      <c r="B570">
        <v>2117.6899410000001</v>
      </c>
      <c r="C570" s="68">
        <f>LN(B570)-LN(B569)</f>
        <v>2.250266462833217E-3</v>
      </c>
      <c r="D570" s="68"/>
      <c r="E570" s="68"/>
      <c r="F570" s="68"/>
      <c r="G570" s="68"/>
      <c r="H570" s="68"/>
      <c r="I570">
        <f>_xlfn.STDEV.S(C550:C570)</f>
        <v>5.6354180541737468E-3</v>
      </c>
      <c r="J570">
        <f>_xlfn.NORM.S.INV(0.99)*I570*SQRT(10)</f>
        <v>4.1457279273068054E-2</v>
      </c>
      <c r="K570">
        <f>LN(B579)-LN(B570)</f>
        <v>-1.4119174091141495E-2</v>
      </c>
      <c r="L570">
        <f>IF(K570&lt;-(J570),1,0)</f>
        <v>0</v>
      </c>
      <c r="M570" s="72">
        <f t="shared" si="8"/>
        <v>3.9193815601175214E-2</v>
      </c>
      <c r="N570">
        <f>SQRT((N569^2)*0.72+(1-0.72)*(C569^2))</f>
        <v>5.3406459057920384E-3</v>
      </c>
      <c r="O570">
        <f>_xlfn.NORM.S.INV(0.99)*N570*SQRT(10)</f>
        <v>3.9288770892694752E-2</v>
      </c>
      <c r="P570">
        <f>LN(B579)-LN(B570)</f>
        <v>-1.4119174091141495E-2</v>
      </c>
      <c r="Q570">
        <f>IF(P570&lt;-(O570),1,0)</f>
        <v>0</v>
      </c>
    </row>
    <row r="571" spans="1:17">
      <c r="A571" s="64">
        <v>42121</v>
      </c>
      <c r="B571">
        <v>2108.919922</v>
      </c>
      <c r="C571" s="68">
        <f>LN(B571)-LN(B570)</f>
        <v>-4.1499129896260811E-3</v>
      </c>
      <c r="D571" s="68"/>
      <c r="E571" s="68"/>
      <c r="F571" s="68"/>
      <c r="G571" s="68"/>
      <c r="H571" s="68"/>
      <c r="I571">
        <f>_xlfn.STDEV.S(C551:C571)</f>
        <v>5.705849435636165E-3</v>
      </c>
      <c r="J571">
        <f>_xlfn.NORM.S.INV(0.99)*I571*SQRT(10)</f>
        <v>4.19754118096086E-2</v>
      </c>
      <c r="K571">
        <f>LN(B580)-LN(B571)</f>
        <v>3.398887048291499E-3</v>
      </c>
      <c r="L571">
        <f>IF(K571&lt;-(J571),1,0)</f>
        <v>0</v>
      </c>
      <c r="M571" s="72">
        <f t="shared" si="8"/>
        <v>3.4389579224046563E-2</v>
      </c>
      <c r="N571">
        <f>SQRT((N570^2)*0.72+(1-0.72)*(C570^2))</f>
        <v>4.6855132931845241E-3</v>
      </c>
      <c r="O571">
        <f>_xlfn.NORM.S.INV(0.99)*N571*SQRT(10)</f>
        <v>3.4469249888099726E-2</v>
      </c>
      <c r="P571">
        <f>LN(B580)-LN(B571)</f>
        <v>3.398887048291499E-3</v>
      </c>
      <c r="Q571">
        <f>IF(P571&lt;-(O571),1,0)</f>
        <v>0</v>
      </c>
    </row>
    <row r="572" spans="1:17">
      <c r="A572" s="64">
        <v>42122</v>
      </c>
      <c r="B572">
        <v>2114.76001</v>
      </c>
      <c r="C572" s="68">
        <f>LN(B572)-LN(B571)</f>
        <v>2.765404488902945E-3</v>
      </c>
      <c r="D572" s="68"/>
      <c r="E572" s="68"/>
      <c r="F572" s="68"/>
      <c r="G572" s="68"/>
      <c r="H572" s="68"/>
      <c r="I572">
        <f>_xlfn.STDEV.S(C552:C572)</f>
        <v>5.7105730362997991E-3</v>
      </c>
      <c r="J572">
        <f>_xlfn.NORM.S.INV(0.99)*I572*SQRT(10)</f>
        <v>4.2010161251443127E-2</v>
      </c>
      <c r="K572">
        <f>LN(B581)-LN(B572)</f>
        <v>-4.4690741185124949E-3</v>
      </c>
      <c r="L572">
        <f>IF(K572&lt;-(J572),1,0)</f>
        <v>0</v>
      </c>
      <c r="M572" s="72">
        <f t="shared" si="8"/>
        <v>3.33519270665475E-2</v>
      </c>
      <c r="N572">
        <f>SQRT((N571^2)*0.72+(1-0.72)*(C571^2))</f>
        <v>4.5419162102409193E-3</v>
      </c>
      <c r="O572">
        <f>_xlfn.NORM.S.INV(0.99)*N572*SQRT(10)</f>
        <v>3.3412869631450993E-2</v>
      </c>
      <c r="P572">
        <f>LN(B581)-LN(B572)</f>
        <v>-4.4690741185124949E-3</v>
      </c>
      <c r="Q572">
        <f>IF(P572&lt;-(O572),1,0)</f>
        <v>0</v>
      </c>
    </row>
    <row r="573" spans="1:17">
      <c r="A573" s="64">
        <v>42123</v>
      </c>
      <c r="B573">
        <v>2106.8500979999999</v>
      </c>
      <c r="C573" s="68">
        <f>LN(B573)-LN(B572)</f>
        <v>-3.7473480752430177E-3</v>
      </c>
      <c r="D573" s="68"/>
      <c r="E573" s="68"/>
      <c r="F573" s="68"/>
      <c r="G573" s="68"/>
      <c r="H573" s="68"/>
      <c r="I573">
        <f>_xlfn.STDEV.S(C553:C573)</f>
        <v>5.2214974110295527E-3</v>
      </c>
      <c r="J573">
        <f>_xlfn.NORM.S.INV(0.99)*I573*SQRT(10)</f>
        <v>3.8412248090863632E-2</v>
      </c>
      <c r="K573">
        <f>LN(B582)-LN(B573)</f>
        <v>-3.6757225125860771E-3</v>
      </c>
      <c r="L573">
        <f>IF(K573&lt;-(J573),1,0)</f>
        <v>0</v>
      </c>
      <c r="M573" s="72">
        <f t="shared" si="8"/>
        <v>3.0226398255402569E-2</v>
      </c>
      <c r="N573">
        <f>SQRT((N572^2)*0.72+(1-0.72)*(C572^2))</f>
        <v>4.122398745419943E-3</v>
      </c>
      <c r="O573">
        <f>_xlfn.NORM.S.INV(0.99)*N573*SQRT(10)</f>
        <v>3.032666510645898E-2</v>
      </c>
      <c r="P573">
        <f>LN(B582)-LN(B573)</f>
        <v>-3.6757225125860771E-3</v>
      </c>
      <c r="Q573">
        <f>IF(P573&lt;-(O573),1,0)</f>
        <v>0</v>
      </c>
    </row>
    <row r="574" spans="1:17">
      <c r="A574" s="64">
        <v>42124</v>
      </c>
      <c r="B574">
        <v>2085.51001</v>
      </c>
      <c r="C574" s="68">
        <f>LN(B574)-LN(B573)</f>
        <v>-1.0180553084023991E-2</v>
      </c>
      <c r="D574" s="68"/>
      <c r="E574" s="68"/>
      <c r="F574" s="68"/>
      <c r="G574" s="68"/>
      <c r="H574" s="68"/>
      <c r="I574">
        <f>_xlfn.STDEV.S(C554:C574)</f>
        <v>5.3481141482002491E-3</v>
      </c>
      <c r="J574">
        <f>_xlfn.NORM.S.INV(0.99)*I574*SQRT(10)</f>
        <v>3.934371145047056E-2</v>
      </c>
      <c r="K574">
        <f>LN(B583)-LN(B574)</f>
        <v>6.1998291467331157E-3</v>
      </c>
      <c r="L574">
        <f>IF(K574&lt;-(J574),1,0)</f>
        <v>0</v>
      </c>
      <c r="M574" s="72">
        <f t="shared" si="8"/>
        <v>2.9477983989194372E-2</v>
      </c>
      <c r="N574">
        <f>SQRT((N573^2)*0.72+(1-0.72)*(C573^2))</f>
        <v>4.020912377416406E-3</v>
      </c>
      <c r="O574">
        <f>_xlfn.NORM.S.INV(0.99)*N574*SQRT(10)</f>
        <v>2.9580074762976669E-2</v>
      </c>
      <c r="P574">
        <f>LN(B583)-LN(B574)</f>
        <v>6.1998291467331157E-3</v>
      </c>
      <c r="Q574">
        <f>IF(P574&lt;-(O574),1,0)</f>
        <v>0</v>
      </c>
    </row>
    <row r="575" spans="1:17">
      <c r="A575" s="64">
        <v>42125</v>
      </c>
      <c r="B575">
        <v>2108.290039</v>
      </c>
      <c r="C575" s="68">
        <f>LN(B575)-LN(B574)</f>
        <v>1.0863776421428106E-2</v>
      </c>
      <c r="D575" s="68"/>
      <c r="E575" s="68"/>
      <c r="F575" s="68"/>
      <c r="G575" s="68"/>
      <c r="H575" s="68"/>
      <c r="I575">
        <f>_xlfn.STDEV.S(C555:C575)</f>
        <v>5.708805940412569E-3</v>
      </c>
      <c r="J575">
        <f>_xlfn.NORM.S.INV(0.99)*I575*SQRT(10)</f>
        <v>4.1997161508212907E-2</v>
      </c>
      <c r="K575">
        <f>LN(B584)-LN(B575)</f>
        <v>6.0576573725033001E-3</v>
      </c>
      <c r="L575">
        <f>IF(K575&lt;-(J575),1,0)</f>
        <v>0</v>
      </c>
      <c r="M575" s="72">
        <f t="shared" si="8"/>
        <v>4.6859937500461572E-2</v>
      </c>
      <c r="N575">
        <f>SQRT((N574^2)*0.72+(1-0.72)*(C574^2))</f>
        <v>6.3765974686188281E-3</v>
      </c>
      <c r="O575">
        <f>_xlfn.NORM.S.INV(0.99)*N575*SQRT(10)</f>
        <v>4.6909808558511443E-2</v>
      </c>
      <c r="P575">
        <f>LN(B584)-LN(B575)</f>
        <v>6.0576573725033001E-3</v>
      </c>
      <c r="Q575">
        <f>IF(P575&lt;-(O575),1,0)</f>
        <v>0</v>
      </c>
    </row>
    <row r="576" spans="1:17">
      <c r="A576" s="64">
        <v>42128</v>
      </c>
      <c r="B576">
        <v>2114.48999</v>
      </c>
      <c r="C576" s="68">
        <f>LN(B576)-LN(B575)</f>
        <v>2.9364330665648808E-3</v>
      </c>
      <c r="D576" s="68"/>
      <c r="E576" s="68"/>
      <c r="F576" s="68"/>
      <c r="G576" s="68"/>
      <c r="H576" s="68"/>
      <c r="I576">
        <f>_xlfn.STDEV.S(C556:C576)</f>
        <v>5.6978270327094028E-3</v>
      </c>
      <c r="J576">
        <f>_xlfn.NORM.S.INV(0.99)*I576*SQRT(10)</f>
        <v>4.1916394537885607E-2</v>
      </c>
      <c r="K576">
        <f>LN(B585)-LN(B576)</f>
        <v>3.8893427509183454E-3</v>
      </c>
      <c r="L576">
        <f>IF(K576&lt;-(J576),1,0)</f>
        <v>0</v>
      </c>
      <c r="M576" s="72">
        <f t="shared" si="8"/>
        <v>5.8044541634975001E-2</v>
      </c>
      <c r="N576">
        <f>SQRT((N575^2)*0.72+(1-0.72)*(C575^2))</f>
        <v>7.8944268491785256E-3</v>
      </c>
      <c r="O576">
        <f>_xlfn.NORM.S.INV(0.99)*N576*SQRT(10)</f>
        <v>5.8075808296920765E-2</v>
      </c>
      <c r="P576">
        <f>LN(B585)-LN(B576)</f>
        <v>3.8893427509183454E-3</v>
      </c>
      <c r="Q576">
        <f>IF(P576&lt;-(O576),1,0)</f>
        <v>0</v>
      </c>
    </row>
    <row r="577" spans="1:17">
      <c r="A577" s="64">
        <v>42129</v>
      </c>
      <c r="B577">
        <v>2089.459961</v>
      </c>
      <c r="C577" s="68">
        <f>LN(B577)-LN(B576)</f>
        <v>-1.1908003217775409E-2</v>
      </c>
      <c r="D577" s="68"/>
      <c r="E577" s="68"/>
      <c r="F577" s="68"/>
      <c r="G577" s="68"/>
      <c r="H577" s="68"/>
      <c r="I577">
        <f>_xlfn.STDEV.S(C557:C577)</f>
        <v>6.2107668768785493E-3</v>
      </c>
      <c r="J577">
        <f>_xlfn.NORM.S.INV(0.99)*I577*SQRT(10)</f>
        <v>4.5689866206816143E-2</v>
      </c>
      <c r="K577">
        <f>LN(B586)-LN(B577)</f>
        <v>1.884065858136541E-2</v>
      </c>
      <c r="L577">
        <f>IF(K577&lt;-(J577),1,0)</f>
        <v>0</v>
      </c>
      <c r="M577" s="72">
        <f t="shared" si="8"/>
        <v>5.0552363172612351E-2</v>
      </c>
      <c r="N577">
        <f>SQRT((N576^2)*0.72+(1-0.72)*(C576^2))</f>
        <v>6.8764933769108316E-3</v>
      </c>
      <c r="O577">
        <f>_xlfn.NORM.S.INV(0.99)*N577*SQRT(10)</f>
        <v>5.0587321757763197E-2</v>
      </c>
      <c r="P577">
        <f>LN(B586)-LN(B577)</f>
        <v>1.884065858136541E-2</v>
      </c>
      <c r="Q577">
        <f>IF(P577&lt;-(O577),1,0)</f>
        <v>0</v>
      </c>
    </row>
    <row r="578" spans="1:17">
      <c r="A578" s="64">
        <v>42130</v>
      </c>
      <c r="B578">
        <v>2080.1499020000001</v>
      </c>
      <c r="C578" s="68">
        <f>LN(B578)-LN(B577)</f>
        <v>-4.4656813360965941E-3</v>
      </c>
      <c r="D578" s="68"/>
      <c r="E578" s="68"/>
      <c r="F578" s="68"/>
      <c r="G578" s="68"/>
      <c r="H578" s="68"/>
      <c r="I578">
        <f>_xlfn.STDEV.S(C558:C578)</f>
        <v>6.2763430858774243E-3</v>
      </c>
      <c r="J578">
        <f>_xlfn.NORM.S.INV(0.99)*I578*SQRT(10)</f>
        <v>4.6172281385956575E-2</v>
      </c>
      <c r="K578">
        <f>LN(B587)-LN(B578)</f>
        <v>2.2662758341597922E-2</v>
      </c>
      <c r="L578">
        <f>IF(K578&lt;-(J578),1,0)</f>
        <v>0</v>
      </c>
      <c r="M578" s="72">
        <f t="shared" si="8"/>
        <v>6.3155728904885508E-2</v>
      </c>
      <c r="N578">
        <f>SQRT((N577^2)*0.72+(1-0.72)*(C577^2))</f>
        <v>8.5877929303644022E-3</v>
      </c>
      <c r="O578">
        <f>_xlfn.NORM.S.INV(0.99)*N578*SQRT(10)</f>
        <v>6.3176596027283788E-2</v>
      </c>
      <c r="P578">
        <f>LN(B587)-LN(B578)</f>
        <v>2.2662758341597922E-2</v>
      </c>
      <c r="Q578">
        <f>IF(P578&lt;-(O578),1,0)</f>
        <v>0</v>
      </c>
    </row>
    <row r="579" spans="1:17">
      <c r="A579" s="64">
        <v>42131</v>
      </c>
      <c r="B579">
        <v>2088</v>
      </c>
      <c r="C579" s="68">
        <f>LN(B579)-LN(B578)</f>
        <v>3.7667106347276658E-3</v>
      </c>
      <c r="D579" s="68"/>
      <c r="E579" s="68"/>
      <c r="F579" s="68"/>
      <c r="G579" s="68"/>
      <c r="H579" s="68"/>
      <c r="I579">
        <f>_xlfn.STDEV.S(C559:C579)</f>
        <v>6.3032304221113103E-3</v>
      </c>
      <c r="J579">
        <f>_xlfn.NORM.S.INV(0.99)*I579*SQRT(10)</f>
        <v>4.6370079632056797E-2</v>
      </c>
      <c r="K579">
        <f>LN(B588)-LN(B579)</f>
        <v>1.7965098476521391E-2</v>
      </c>
      <c r="L579">
        <f>IF(K579&lt;-(J579),1,0)</f>
        <v>0</v>
      </c>
      <c r="M579" s="72">
        <f t="shared" si="8"/>
        <v>5.6337062787982922E-2</v>
      </c>
      <c r="N579">
        <f>SQRT((N578^2)*0.72+(1-0.72)*(C578^2))</f>
        <v>7.6605470876057744E-3</v>
      </c>
      <c r="O579">
        <f>_xlfn.NORM.S.INV(0.99)*N579*SQRT(10)</f>
        <v>5.635525828649892E-2</v>
      </c>
      <c r="P579">
        <f>LN(B588)-LN(B579)</f>
        <v>1.7965098476521391E-2</v>
      </c>
      <c r="Q579">
        <f>IF(P579&lt;-(O579),1,0)</f>
        <v>0</v>
      </c>
    </row>
    <row r="580" spans="1:17">
      <c r="A580" s="64">
        <v>42132</v>
      </c>
      <c r="B580">
        <v>2116.1000979999999</v>
      </c>
      <c r="C580" s="68">
        <f>LN(B580)-LN(B579)</f>
        <v>1.3368148149806913E-2</v>
      </c>
      <c r="D580" s="68"/>
      <c r="E580" s="68"/>
      <c r="F580" s="68"/>
      <c r="G580" s="68"/>
      <c r="H580" s="68"/>
      <c r="I580">
        <f>_xlfn.STDEV.S(C560:C580)</f>
        <v>6.8820988284612741E-3</v>
      </c>
      <c r="J580">
        <f>_xlfn.NORM.S.INV(0.99)*I580*SQRT(10)</f>
        <v>5.0628558586716152E-2</v>
      </c>
      <c r="K580">
        <f>LN(B589)-LN(B580)</f>
        <v>6.9320959051033526E-3</v>
      </c>
      <c r="L580">
        <f>IF(K580&lt;-(J580),1,0)</f>
        <v>0</v>
      </c>
      <c r="M580" s="72">
        <f t="shared" si="8"/>
        <v>4.9997591225816561E-2</v>
      </c>
      <c r="N580">
        <f>SQRT((N579^2)*0.72+(1-0.72)*(C579^2))</f>
        <v>6.7989070689517418E-3</v>
      </c>
      <c r="O580">
        <f>_xlfn.NORM.S.INV(0.99)*N580*SQRT(10)</f>
        <v>5.0016553590094791E-2</v>
      </c>
      <c r="P580">
        <f>LN(B589)-LN(B580)</f>
        <v>6.9320959051033526E-3</v>
      </c>
      <c r="Q580">
        <f>IF(P580&lt;-(O580),1,0)</f>
        <v>0</v>
      </c>
    </row>
    <row r="581" spans="1:17">
      <c r="A581" s="64">
        <v>42135</v>
      </c>
      <c r="B581">
        <v>2105.330078</v>
      </c>
      <c r="C581" s="68">
        <f>LN(B581)-LN(B580)</f>
        <v>-5.1025566779010489E-3</v>
      </c>
      <c r="D581" s="68"/>
      <c r="E581" s="68"/>
      <c r="F581" s="68"/>
      <c r="G581" s="68"/>
      <c r="H581" s="68"/>
      <c r="I581">
        <f>_xlfn.STDEV.S(C561:C581)</f>
        <v>6.9026797248016867E-3</v>
      </c>
      <c r="J581">
        <f>_xlfn.NORM.S.INV(0.99)*I581*SQRT(10)</f>
        <v>5.0779963142522373E-2</v>
      </c>
      <c r="K581">
        <f>LN(B590)-LN(B581)</f>
        <v>9.7982677932577644E-3</v>
      </c>
      <c r="L581">
        <f>IF(K581&lt;-(J581),1,0)</f>
        <v>0</v>
      </c>
      <c r="M581" s="72">
        <f t="shared" si="8"/>
        <v>6.7136145163324806E-2</v>
      </c>
      <c r="N581">
        <f>SQRT((N580^2)*0.72+(1-0.72)*(C580^2))</f>
        <v>9.1279880952303116E-3</v>
      </c>
      <c r="O581">
        <f>_xlfn.NORM.S.INV(0.99)*N581*SQRT(10)</f>
        <v>6.7150573041326364E-2</v>
      </c>
      <c r="P581">
        <f>LN(B590)-LN(B581)</f>
        <v>9.7982677932577644E-3</v>
      </c>
      <c r="Q581">
        <f>IF(P581&lt;-(O581),1,0)</f>
        <v>0</v>
      </c>
    </row>
    <row r="582" spans="1:17">
      <c r="A582" s="64">
        <v>42136</v>
      </c>
      <c r="B582">
        <v>2099.1201169999999</v>
      </c>
      <c r="C582" s="68">
        <f>LN(B582)-LN(B581)</f>
        <v>-2.9539964693165999E-3</v>
      </c>
      <c r="D582" s="68"/>
      <c r="E582" s="68"/>
      <c r="F582" s="68"/>
      <c r="G582" s="68"/>
      <c r="H582" s="68"/>
      <c r="I582">
        <f>_xlfn.STDEV.S(C562:C582)</f>
        <v>6.8564238393839481E-3</v>
      </c>
      <c r="J582">
        <f>_xlfn.NORM.S.INV(0.99)*I582*SQRT(10)</f>
        <v>5.0439679042682442E-2</v>
      </c>
      <c r="K582">
        <f>LN(B591)-LN(B582)</f>
        <v>2.4170590823091587E-3</v>
      </c>
      <c r="L582">
        <f>IF(K582&lt;-(J582),1,0)</f>
        <v>0</v>
      </c>
      <c r="M582" s="72">
        <f t="shared" si="8"/>
        <v>6.0326722980274465E-2</v>
      </c>
      <c r="N582">
        <f>SQRT((N581^2)*0.72+(1-0.72)*(C581^2))</f>
        <v>8.2024766809990785E-3</v>
      </c>
      <c r="O582">
        <f>_xlfn.NORM.S.INV(0.99)*N582*SQRT(10)</f>
        <v>6.0341994724447269E-2</v>
      </c>
      <c r="P582">
        <f>LN(B591)-LN(B582)</f>
        <v>2.4170590823091587E-3</v>
      </c>
      <c r="Q582">
        <f>IF(P582&lt;-(O582),1,0)</f>
        <v>0</v>
      </c>
    </row>
    <row r="583" spans="1:17">
      <c r="A583" s="64">
        <v>42137</v>
      </c>
      <c r="B583">
        <v>2098.4799800000001</v>
      </c>
      <c r="C583" s="68">
        <f>LN(B583)-LN(B582)</f>
        <v>-3.050014247047983E-4</v>
      </c>
      <c r="D583" s="68"/>
      <c r="E583" s="68"/>
      <c r="F583" s="68"/>
      <c r="G583" s="68"/>
      <c r="H583" s="68"/>
      <c r="I583">
        <f>_xlfn.STDEV.S(C563:C583)</f>
        <v>6.8485837578489382E-3</v>
      </c>
      <c r="J583">
        <f>_xlfn.NORM.S.INV(0.99)*I583*SQRT(10)</f>
        <v>5.0382003028836442E-2</v>
      </c>
      <c r="K583">
        <f>LN(B592)-LN(B583)</f>
        <v>1.1842979297060019E-2</v>
      </c>
      <c r="L583">
        <f>IF(K583&lt;-(J583),1,0)</f>
        <v>0</v>
      </c>
      <c r="M583" s="72">
        <f t="shared" si="8"/>
        <v>5.2464069376434802E-2</v>
      </c>
      <c r="N583">
        <f>SQRT((N582^2)*0.72+(1-0.72)*(C582^2))</f>
        <v>7.1333972064568235E-3</v>
      </c>
      <c r="O583">
        <f>_xlfn.NORM.S.INV(0.99)*N583*SQRT(10)</f>
        <v>5.2477249657596786E-2</v>
      </c>
      <c r="P583">
        <f>LN(B592)-LN(B583)</f>
        <v>1.1842979297060019E-2</v>
      </c>
      <c r="Q583">
        <f>IF(P583&lt;-(O583),1,0)</f>
        <v>0</v>
      </c>
    </row>
    <row r="584" spans="1:17">
      <c r="A584" s="64">
        <v>42138</v>
      </c>
      <c r="B584">
        <v>2121.1000979999999</v>
      </c>
      <c r="C584" s="68">
        <f>LN(B584)-LN(B583)</f>
        <v>1.0721604647198291E-2</v>
      </c>
      <c r="D584" s="68"/>
      <c r="E584" s="68"/>
      <c r="F584" s="68"/>
      <c r="G584" s="68"/>
      <c r="H584" s="68"/>
      <c r="I584">
        <f>_xlfn.STDEV.S(C564:C584)</f>
        <v>7.1571318537253618E-3</v>
      </c>
      <c r="J584">
        <f>_xlfn.NORM.S.INV(0.99)*I584*SQRT(10)</f>
        <v>5.2651854964745344E-2</v>
      </c>
      <c r="K584">
        <f>LN(B593)-LN(B584)</f>
        <v>-1.4618907634922351E-4</v>
      </c>
      <c r="L584">
        <f>IF(K584&lt;-(J584),1,0)</f>
        <v>0</v>
      </c>
      <c r="M584" s="72">
        <f t="shared" si="8"/>
        <v>4.4526780272276939E-2</v>
      </c>
      <c r="N584">
        <f>SQRT((N583^2)*0.72+(1-0.72)*(C583^2))</f>
        <v>6.0550395003667878E-3</v>
      </c>
      <c r="O584">
        <f>_xlfn.NORM.S.INV(0.99)*N584*SQRT(10)</f>
        <v>4.4544248743045411E-2</v>
      </c>
      <c r="P584">
        <f>LN(B593)-LN(B584)</f>
        <v>-1.4618907634922351E-4</v>
      </c>
      <c r="Q584">
        <f>IF(P584&lt;-(O584),1,0)</f>
        <v>0</v>
      </c>
    </row>
    <row r="585" spans="1:17">
      <c r="A585" s="64">
        <v>42139</v>
      </c>
      <c r="B585">
        <v>2122.7299800000001</v>
      </c>
      <c r="C585" s="68">
        <f>LN(B585)-LN(B584)</f>
        <v>7.681184449799261E-4</v>
      </c>
      <c r="D585" s="68"/>
      <c r="E585" s="68"/>
      <c r="F585" s="68"/>
      <c r="G585" s="68"/>
      <c r="H585" s="68"/>
      <c r="I585">
        <f>_xlfn.STDEV.S(C565:C585)</f>
        <v>7.1531527133060118E-3</v>
      </c>
      <c r="J585">
        <f>_xlfn.NORM.S.INV(0.99)*I585*SQRT(10)</f>
        <v>5.2622582187810969E-2</v>
      </c>
      <c r="K585">
        <f>LN(B594)-LN(B585)</f>
        <v>-7.2528224757686388E-3</v>
      </c>
      <c r="L585">
        <f>IF(K585&lt;-(J585),1,0)</f>
        <v>0</v>
      </c>
      <c r="M585" s="72">
        <f t="shared" si="8"/>
        <v>5.6297411842398615E-2</v>
      </c>
      <c r="N585">
        <f>SQRT((N584^2)*0.72+(1-0.72)*(C584^2))</f>
        <v>7.6540517473918483E-3</v>
      </c>
      <c r="O585">
        <f>_xlfn.NORM.S.INV(0.99)*N585*SQRT(10)</f>
        <v>5.6307474940057951E-2</v>
      </c>
      <c r="P585">
        <f>LN(B594)-LN(B585)</f>
        <v>-7.2528224757686388E-3</v>
      </c>
      <c r="Q585">
        <f>IF(P585&lt;-(O585),1,0)</f>
        <v>0</v>
      </c>
    </row>
    <row r="586" spans="1:17">
      <c r="A586" s="64">
        <v>42142</v>
      </c>
      <c r="B586">
        <v>2129.1999510000001</v>
      </c>
      <c r="C586" s="68">
        <f>LN(B586)-LN(B585)</f>
        <v>3.0433126126716559E-3</v>
      </c>
      <c r="D586" s="68"/>
      <c r="E586" s="68"/>
      <c r="F586" s="68"/>
      <c r="G586" s="68"/>
      <c r="H586" s="68"/>
      <c r="I586">
        <f>_xlfn.STDEV.S(C566:C586)</f>
        <v>6.6399623476869236E-3</v>
      </c>
      <c r="J586">
        <f>_xlfn.NORM.S.INV(0.99)*I586*SQRT(10)</f>
        <v>4.884726754332578E-2</v>
      </c>
      <c r="K586">
        <f>LN(B595)-LN(B586)</f>
        <v>-8.2387920114550539E-3</v>
      </c>
      <c r="L586">
        <f>IF(K586&lt;-(J586),1,0)</f>
        <v>0</v>
      </c>
      <c r="M586" s="72">
        <f t="shared" si="8"/>
        <v>4.7834703959496128E-2</v>
      </c>
      <c r="N586">
        <f>SQRT((N585^2)*0.72+(1-0.72)*(C585^2))</f>
        <v>6.5073840776464645E-3</v>
      </c>
      <c r="O586">
        <f>_xlfn.NORM.S.INV(0.99)*N586*SQRT(10)</f>
        <v>4.7871947821918989E-2</v>
      </c>
      <c r="P586">
        <f>LN(B595)-LN(B586)</f>
        <v>-8.2387920114550539E-3</v>
      </c>
      <c r="Q586">
        <f>IF(P586&lt;-(O586),1,0)</f>
        <v>0</v>
      </c>
    </row>
    <row r="587" spans="1:17">
      <c r="A587" s="64">
        <v>42143</v>
      </c>
      <c r="B587">
        <v>2127.830078</v>
      </c>
      <c r="C587" s="68">
        <f>LN(B587)-LN(B586)</f>
        <v>-6.4358157586408282E-4</v>
      </c>
      <c r="D587" s="68"/>
      <c r="E587" s="68"/>
      <c r="F587" s="68"/>
      <c r="G587" s="68"/>
      <c r="H587" s="68"/>
      <c r="I587">
        <f>_xlfn.STDEV.S(C567:C587)</f>
        <v>6.3814251455455205E-3</v>
      </c>
      <c r="J587">
        <f>_xlfn.NORM.S.INV(0.99)*I587*SQRT(10)</f>
        <v>4.6945323643402405E-2</v>
      </c>
      <c r="K587">
        <f>LN(B596)-LN(B587)</f>
        <v>-8.6043152160195646E-3</v>
      </c>
      <c r="L587">
        <f>IF(K587&lt;-(J587),1,0)</f>
        <v>0</v>
      </c>
      <c r="M587" s="72">
        <f t="shared" si="8"/>
        <v>4.2261396335955242E-2</v>
      </c>
      <c r="N587">
        <f>SQRT((N586^2)*0.72+(1-0.72)*(C586^2))</f>
        <v>5.7517340592946262E-3</v>
      </c>
      <c r="O587">
        <f>_xlfn.NORM.S.INV(0.99)*N587*SQRT(10)</f>
        <v>4.2312964700815948E-2</v>
      </c>
      <c r="P587">
        <f>LN(B596)-LN(B587)</f>
        <v>-8.6043152160195646E-3</v>
      </c>
      <c r="Q587">
        <f>IF(P587&lt;-(O587),1,0)</f>
        <v>0</v>
      </c>
    </row>
    <row r="588" spans="1:17">
      <c r="A588" s="64">
        <v>42144</v>
      </c>
      <c r="B588">
        <v>2125.8500979999999</v>
      </c>
      <c r="C588" s="68">
        <f>LN(B588)-LN(B587)</f>
        <v>-9.3094923034886534E-4</v>
      </c>
      <c r="D588" s="68"/>
      <c r="E588" s="68"/>
      <c r="F588" s="68"/>
      <c r="G588" s="68"/>
      <c r="H588" s="68"/>
      <c r="I588">
        <f>_xlfn.STDEV.S(C568:C588)</f>
        <v>6.3734917689156709E-3</v>
      </c>
      <c r="J588">
        <f>_xlfn.NORM.S.INV(0.99)*I588*SQRT(10)</f>
        <v>4.6886961298788325E-2</v>
      </c>
      <c r="K588">
        <f>LN(B597)-LN(B588)</f>
        <v>-5.5567368488524949E-3</v>
      </c>
      <c r="L588">
        <f>IF(K588&lt;-(J588),1,0)</f>
        <v>0</v>
      </c>
      <c r="M588" s="72">
        <f t="shared" si="8"/>
        <v>3.5946742161736697E-2</v>
      </c>
      <c r="N588">
        <f>SQRT((N587^2)*0.72+(1-0.72)*(C587^2))</f>
        <v>4.8923752313690698E-3</v>
      </c>
      <c r="O588">
        <f>_xlfn.NORM.S.INV(0.99)*N588*SQRT(10)</f>
        <v>3.599104171611385E-2</v>
      </c>
      <c r="P588">
        <f>LN(B597)-LN(B588)</f>
        <v>-5.5567368488524949E-3</v>
      </c>
      <c r="Q588">
        <f>IF(P588&lt;-(O588),1,0)</f>
        <v>0</v>
      </c>
    </row>
    <row r="589" spans="1:17">
      <c r="A589" s="64">
        <v>42145</v>
      </c>
      <c r="B589">
        <v>2130.820068</v>
      </c>
      <c r="C589" s="68">
        <f>LN(B589)-LN(B588)</f>
        <v>2.3351455783888753E-3</v>
      </c>
      <c r="D589" s="68"/>
      <c r="E589" s="68"/>
      <c r="F589" s="68"/>
      <c r="G589" s="68"/>
      <c r="H589" s="68"/>
      <c r="I589">
        <f>_xlfn.STDEV.S(C569:C589)</f>
        <v>6.3059533157766301E-3</v>
      </c>
      <c r="J589">
        <f>_xlfn.NORM.S.INV(0.99)*I589*SQRT(10)</f>
        <v>4.6390110756993556E-2</v>
      </c>
      <c r="K589">
        <f>LN(B598)-LN(B589)</f>
        <v>-1.6552444420163681E-2</v>
      </c>
      <c r="L589">
        <f>IF(K589&lt;-(J589),1,0)</f>
        <v>0</v>
      </c>
      <c r="M589" s="72">
        <f t="shared" si="8"/>
        <v>3.070744296844885E-2</v>
      </c>
      <c r="N589">
        <f>SQRT((N588^2)*0.72+(1-0.72)*(C588^2))</f>
        <v>4.1804435294243792E-3</v>
      </c>
      <c r="O589">
        <f>_xlfn.NORM.S.INV(0.99)*N589*SQRT(10)</f>
        <v>3.0753674921468993E-2</v>
      </c>
      <c r="P589">
        <f>LN(B598)-LN(B589)</f>
        <v>-1.6552444420163681E-2</v>
      </c>
      <c r="Q589">
        <f>IF(P589&lt;-(O589),1,0)</f>
        <v>0</v>
      </c>
    </row>
    <row r="590" spans="1:17">
      <c r="A590" s="64">
        <v>42146</v>
      </c>
      <c r="B590">
        <v>2126.0600589999999</v>
      </c>
      <c r="C590" s="68">
        <f>LN(B590)-LN(B589)</f>
        <v>-2.2363847897466371E-3</v>
      </c>
      <c r="D590" s="68"/>
      <c r="E590" s="68"/>
      <c r="F590" s="68"/>
      <c r="G590" s="68"/>
      <c r="H590" s="68"/>
      <c r="I590">
        <f>_xlfn.STDEV.S(C570:C590)</f>
        <v>6.3185017918042574E-3</v>
      </c>
      <c r="J590">
        <f>_xlfn.NORM.S.INV(0.99)*I590*SQRT(10)</f>
        <v>4.6482424347596377E-2</v>
      </c>
      <c r="K590">
        <f>LN(B599)-LN(B590)</f>
        <v>-1.5753274975063292E-2</v>
      </c>
      <c r="L590">
        <f>IF(K590&lt;-(J590),1,0)</f>
        <v>0</v>
      </c>
      <c r="M590" s="72">
        <f t="shared" si="8"/>
        <v>2.7594086570325776E-2</v>
      </c>
      <c r="N590">
        <f>SQRT((N589^2)*0.72+(1-0.72)*(C589^2))</f>
        <v>3.7562762409311416E-3</v>
      </c>
      <c r="O590">
        <f>_xlfn.NORM.S.INV(0.99)*N590*SQRT(10)</f>
        <v>2.7633263699352054E-2</v>
      </c>
      <c r="P590">
        <f>LN(B599)-LN(B590)</f>
        <v>-1.5753274975063292E-2</v>
      </c>
      <c r="Q590">
        <f>IF(P590&lt;-(O590),1,0)</f>
        <v>0</v>
      </c>
    </row>
    <row r="591" spans="1:17">
      <c r="A591" s="64">
        <v>42150</v>
      </c>
      <c r="B591">
        <v>2104.1999510000001</v>
      </c>
      <c r="C591" s="68">
        <f>LN(B591)-LN(B590)</f>
        <v>-1.0335205180265206E-2</v>
      </c>
      <c r="D591" s="68"/>
      <c r="E591" s="68"/>
      <c r="F591" s="68"/>
      <c r="G591" s="68"/>
      <c r="H591" s="68"/>
      <c r="I591">
        <f>_xlfn.STDEV.S(C571:C591)</f>
        <v>6.708594707920775E-3</v>
      </c>
      <c r="J591">
        <f>_xlfn.NORM.S.INV(0.99)*I591*SQRT(10)</f>
        <v>4.9352165476013711E-2</v>
      </c>
      <c r="K591">
        <f>LN(B600)-LN(B591)</f>
        <v>-1.191363021615377E-2</v>
      </c>
      <c r="L591">
        <f>IF(K591&lt;-(J591),1,0)</f>
        <v>0</v>
      </c>
      <c r="M591" s="72">
        <f t="shared" si="8"/>
        <v>2.4978243359915428E-2</v>
      </c>
      <c r="N591">
        <f>SQRT((N590^2)*0.72+(1-0.72)*(C590^2))</f>
        <v>3.3998995282918522E-3</v>
      </c>
      <c r="O591">
        <f>_xlfn.NORM.S.INV(0.99)*N591*SQRT(10)</f>
        <v>2.5011557774382992E-2</v>
      </c>
      <c r="P591">
        <f>LN(B600)-LN(B591)</f>
        <v>-1.191363021615377E-2</v>
      </c>
      <c r="Q591">
        <f>IF(P591&lt;-(O591),1,0)</f>
        <v>0</v>
      </c>
    </row>
    <row r="592" spans="1:17">
      <c r="A592" s="64">
        <v>42151</v>
      </c>
      <c r="B592">
        <v>2123.4799800000001</v>
      </c>
      <c r="C592" s="68">
        <f>LN(B592)-LN(B591)</f>
        <v>9.120918790046062E-3</v>
      </c>
      <c r="D592" s="68"/>
      <c r="E592" s="68"/>
      <c r="F592" s="68"/>
      <c r="G592" s="68"/>
      <c r="H592" s="68"/>
      <c r="I592">
        <f>_xlfn.STDEV.S(C572:C592)</f>
        <v>6.9489737361211456E-3</v>
      </c>
      <c r="J592">
        <f>_xlfn.NORM.S.INV(0.99)*I592*SQRT(10)</f>
        <v>5.1120527717766255E-2</v>
      </c>
      <c r="K592">
        <f>LN(B601)-LN(B592)</f>
        <v>-2.0616283509672151E-2</v>
      </c>
      <c r="L592">
        <f>IF(K592&lt;-(J592),1,0)</f>
        <v>0</v>
      </c>
      <c r="M592" s="72">
        <f t="shared" si="8"/>
        <v>4.5469481365470035E-2</v>
      </c>
      <c r="N592">
        <f>SQRT((N591^2)*0.72+(1-0.72)*(C591^2))</f>
        <v>6.1831479531768933E-3</v>
      </c>
      <c r="O592">
        <f>_xlfn.NORM.S.INV(0.99)*N592*SQRT(10)</f>
        <v>4.5486685995141676E-2</v>
      </c>
      <c r="P592">
        <f>LN(B601)-LN(B592)</f>
        <v>-2.0616283509672151E-2</v>
      </c>
      <c r="Q592">
        <f>IF(P592&lt;-(O592),1,0)</f>
        <v>0</v>
      </c>
    </row>
    <row r="593" spans="1:17">
      <c r="A593" s="64">
        <v>42152</v>
      </c>
      <c r="B593">
        <v>2120.790039</v>
      </c>
      <c r="C593" s="68">
        <f>LN(B593)-LN(B592)</f>
        <v>-1.2675637262109518E-3</v>
      </c>
      <c r="D593" s="68"/>
      <c r="E593" s="68"/>
      <c r="F593" s="68"/>
      <c r="G593" s="68"/>
      <c r="H593" s="68"/>
      <c r="I593">
        <f>_xlfn.STDEV.S(C573:C593)</f>
        <v>6.933945968352795E-3</v>
      </c>
      <c r="J593">
        <f>_xlfn.NORM.S.INV(0.99)*I593*SQRT(10)</f>
        <v>5.1009975073892405E-2</v>
      </c>
      <c r="K593">
        <f>LN(B602)-LN(B593)</f>
        <v>-7.3782279473375567E-3</v>
      </c>
      <c r="L593">
        <f>IF(K593&lt;-(J593),1,0)</f>
        <v>0</v>
      </c>
      <c r="M593" s="72">
        <f t="shared" si="8"/>
        <v>5.2431284759572393E-2</v>
      </c>
      <c r="N593">
        <f>SQRT((N592^2)*0.72+(1-0.72)*(C592^2))</f>
        <v>7.1288199641120634E-3</v>
      </c>
      <c r="O593">
        <f>_xlfn.NORM.S.INV(0.99)*N593*SQRT(10)</f>
        <v>5.2443576909210941E-2</v>
      </c>
      <c r="P593">
        <f>LN(B602)-LN(B593)</f>
        <v>-7.3782279473375567E-3</v>
      </c>
      <c r="Q593">
        <f>IF(P593&lt;-(O593),1,0)</f>
        <v>0</v>
      </c>
    </row>
    <row r="594" spans="1:17">
      <c r="A594" s="64">
        <v>42153</v>
      </c>
      <c r="B594">
        <v>2107.389893</v>
      </c>
      <c r="C594" s="68">
        <f>LN(B594)-LN(B593)</f>
        <v>-6.3385149544394892E-3</v>
      </c>
      <c r="D594" s="68"/>
      <c r="E594" s="68"/>
      <c r="F594" s="68"/>
      <c r="G594" s="68"/>
      <c r="H594" s="68"/>
      <c r="I594">
        <f>_xlfn.STDEV.S(C574:C594)</f>
        <v>7.0289018630810864E-3</v>
      </c>
      <c r="J594">
        <f>_xlfn.NORM.S.INV(0.99)*I594*SQRT(10)</f>
        <v>5.1708523612533523E-2</v>
      </c>
      <c r="K594">
        <f>LN(B603)-LN(B594)</f>
        <v>6.974036452245258E-4</v>
      </c>
      <c r="L594">
        <f>IF(K594&lt;-(J594),1,0)</f>
        <v>0</v>
      </c>
      <c r="M594" s="72">
        <f t="shared" si="8"/>
        <v>4.4758880061189797E-2</v>
      </c>
      <c r="N594">
        <f>SQRT((N593^2)*0.72+(1-0.72)*(C593^2))</f>
        <v>6.0860770880857215E-3</v>
      </c>
      <c r="O594">
        <f>_xlfn.NORM.S.INV(0.99)*N594*SQRT(10)</f>
        <v>4.4772578554544175E-2</v>
      </c>
      <c r="P594">
        <f>LN(B603)-LN(B594)</f>
        <v>6.974036452245258E-4</v>
      </c>
      <c r="Q594">
        <f>IF(P594&lt;-(O594),1,0)</f>
        <v>0</v>
      </c>
    </row>
    <row r="595" spans="1:17">
      <c r="A595" s="64">
        <v>42156</v>
      </c>
      <c r="B595">
        <v>2111.7299800000001</v>
      </c>
      <c r="C595" s="68">
        <f>LN(B595)-LN(B594)</f>
        <v>2.0573430769852408E-3</v>
      </c>
      <c r="D595" s="68"/>
      <c r="E595" s="68"/>
      <c r="F595" s="68"/>
      <c r="G595" s="68"/>
      <c r="H595" s="68"/>
      <c r="I595">
        <f>_xlfn.STDEV.S(C575:C595)</f>
        <v>6.6380265546568656E-3</v>
      </c>
      <c r="J595">
        <f>_xlfn.NORM.S.INV(0.99)*I595*SQRT(10)</f>
        <v>4.8833026769794778E-2</v>
      </c>
      <c r="K595">
        <f>LN(B604)-LN(B595)</f>
        <v>-8.3788140862726124E-3</v>
      </c>
      <c r="L595">
        <f>IF(K595&lt;-(J595),1,0)</f>
        <v>0</v>
      </c>
      <c r="M595" s="72">
        <f t="shared" si="8"/>
        <v>4.5266176513381613E-2</v>
      </c>
      <c r="N595">
        <f>SQRT((N594^2)*0.72+(1-0.72)*(C594^2))</f>
        <v>6.157802921795295E-3</v>
      </c>
      <c r="O595">
        <f>_xlfn.NORM.S.INV(0.99)*N595*SQRT(10)</f>
        <v>4.5300233804005052E-2</v>
      </c>
      <c r="P595">
        <f>LN(B604)-LN(B595)</f>
        <v>-8.3788140862726124E-3</v>
      </c>
      <c r="Q595">
        <f>IF(P595&lt;-(O595),1,0)</f>
        <v>0</v>
      </c>
    </row>
    <row r="596" spans="1:17">
      <c r="A596" s="64">
        <v>42157</v>
      </c>
      <c r="B596">
        <v>2109.6000979999999</v>
      </c>
      <c r="C596" s="68">
        <f>LN(B596)-LN(B595)</f>
        <v>-1.0091047804285935E-3</v>
      </c>
      <c r="D596" s="68"/>
      <c r="E596" s="68"/>
      <c r="F596" s="68"/>
      <c r="G596" s="68"/>
      <c r="H596" s="68"/>
      <c r="I596">
        <f>_xlfn.STDEV.S(C576:C596)</f>
        <v>6.211600565303039E-3</v>
      </c>
      <c r="J596">
        <f>_xlfn.NORM.S.INV(0.99)*I596*SQRT(10)</f>
        <v>4.5695999283991352E-2</v>
      </c>
      <c r="K596">
        <f>LN(B605)-LN(B596)</f>
        <v>-1.2002998553747979E-2</v>
      </c>
      <c r="L596">
        <f>IF(K596&lt;-(J596),1,0)</f>
        <v>0</v>
      </c>
      <c r="M596" s="72">
        <f t="shared" si="8"/>
        <v>3.9203714722378907E-2</v>
      </c>
      <c r="N596">
        <f>SQRT((N595^2)*0.72+(1-0.72)*(C595^2))</f>
        <v>5.3372737856737526E-3</v>
      </c>
      <c r="O596">
        <f>_xlfn.NORM.S.INV(0.99)*N596*SQRT(10)</f>
        <v>3.9263963695758838E-2</v>
      </c>
      <c r="P596">
        <f>LN(B605)-LN(B596)</f>
        <v>-1.2002998553747979E-2</v>
      </c>
      <c r="Q596">
        <f>IF(P596&lt;-(O596),1,0)</f>
        <v>0</v>
      </c>
    </row>
    <row r="597" spans="1:17">
      <c r="A597" s="64">
        <v>42158</v>
      </c>
      <c r="B597">
        <v>2114.070068</v>
      </c>
      <c r="C597" s="68">
        <f>LN(B597)-LN(B596)</f>
        <v>2.1166291368182044E-3</v>
      </c>
      <c r="D597" s="68"/>
      <c r="E597" s="68"/>
      <c r="F597" s="68"/>
      <c r="G597" s="68"/>
      <c r="H597" s="68"/>
      <c r="I597">
        <f>_xlfn.STDEV.S(C577:C597)</f>
        <v>6.1949721879026066E-3</v>
      </c>
      <c r="J597">
        <f>_xlfn.NORM.S.INV(0.99)*I597*SQRT(10)</f>
        <v>4.5573671662664808E-2</v>
      </c>
      <c r="K597">
        <f>LN(B606)-LN(B597)</f>
        <v>-8.445897377035827E-3</v>
      </c>
      <c r="L597">
        <f>IF(K597&lt;-(J597),1,0)</f>
        <v>0</v>
      </c>
      <c r="M597" s="72">
        <f t="shared" si="8"/>
        <v>3.34938479149927E-2</v>
      </c>
      <c r="N597">
        <f>SQRT((N596^2)*0.72+(1-0.72)*(C596^2))</f>
        <v>4.5601968972556924E-3</v>
      </c>
      <c r="O597">
        <f>_xlfn.NORM.S.INV(0.99)*N597*SQRT(10)</f>
        <v>3.3547352564143755E-2</v>
      </c>
      <c r="P597">
        <f>LN(B606)-LN(B597)</f>
        <v>-8.445897377035827E-3</v>
      </c>
      <c r="Q597">
        <f>IF(P597&lt;-(O597),1,0)</f>
        <v>0</v>
      </c>
    </row>
    <row r="598" spans="1:17">
      <c r="A598" s="64">
        <v>42159</v>
      </c>
      <c r="B598">
        <v>2095.8400879999999</v>
      </c>
      <c r="C598" s="68">
        <f>LN(B598)-LN(B597)</f>
        <v>-8.660561992922311E-3</v>
      </c>
      <c r="D598" s="68"/>
      <c r="E598" s="68"/>
      <c r="F598" s="68"/>
      <c r="G598" s="68"/>
      <c r="H598" s="68"/>
      <c r="I598">
        <f>_xlfn.STDEV.S(C578:C598)</f>
        <v>5.9174219213636043E-3</v>
      </c>
      <c r="J598">
        <f>_xlfn.NORM.S.INV(0.99)*I598*SQRT(10)</f>
        <v>4.3531857053418582E-2</v>
      </c>
      <c r="K598">
        <f>LN(B607)-LN(B598)</f>
        <v>2.1923488473616359E-3</v>
      </c>
      <c r="L598">
        <f>IF(K598&lt;-(J598),1,0)</f>
        <v>0</v>
      </c>
      <c r="M598" s="72">
        <f t="shared" si="8"/>
        <v>2.9539803545949189E-2</v>
      </c>
      <c r="N598">
        <f>SQRT((N597^2)*0.72+(1-0.72)*(C597^2))</f>
        <v>4.0282897396841872E-3</v>
      </c>
      <c r="O598">
        <f>_xlfn.NORM.S.INV(0.99)*N598*SQRT(10)</f>
        <v>2.9634346755736372E-2</v>
      </c>
      <c r="P598">
        <f>LN(B607)-LN(B598)</f>
        <v>2.1923488473616359E-3</v>
      </c>
      <c r="Q598">
        <f>IF(P598&lt;-(O598),1,0)</f>
        <v>0</v>
      </c>
    </row>
    <row r="599" spans="1:17">
      <c r="A599" s="64">
        <v>42160</v>
      </c>
      <c r="B599">
        <v>2092.830078</v>
      </c>
      <c r="C599" s="68">
        <f>LN(B599)-LN(B598)</f>
        <v>-1.4372153446462477E-3</v>
      </c>
      <c r="D599" s="68"/>
      <c r="E599" s="68"/>
      <c r="F599" s="68"/>
      <c r="G599" s="68"/>
      <c r="H599" s="68"/>
      <c r="I599">
        <f>_xlfn.STDEV.S(C579:C599)</f>
        <v>5.8357725255779513E-3</v>
      </c>
      <c r="J599">
        <f>_xlfn.NORM.S.INV(0.99)*I599*SQRT(10)</f>
        <v>4.293119854485309E-2</v>
      </c>
      <c r="K599">
        <f>LN(B608)-LN(B599)</f>
        <v>1.3483564328939046E-2</v>
      </c>
      <c r="L599">
        <f>IF(K599&lt;-(J599),1,0)</f>
        <v>0</v>
      </c>
      <c r="M599" s="72">
        <f t="shared" si="8"/>
        <v>4.2005083939200459E-2</v>
      </c>
      <c r="N599">
        <f>SQRT((N598^2)*0.72+(1-0.72)*(C598^2))</f>
        <v>5.7170813054073719E-3</v>
      </c>
      <c r="O599">
        <f>_xlfn.NORM.S.INV(0.99)*N599*SQRT(10)</f>
        <v>4.205803971003895E-2</v>
      </c>
      <c r="P599">
        <f>LN(B608)-LN(B599)</f>
        <v>1.3483564328939046E-2</v>
      </c>
      <c r="Q599">
        <f>IF(P599&lt;-(O599),1,0)</f>
        <v>0</v>
      </c>
    </row>
    <row r="600" spans="1:17">
      <c r="A600" s="64">
        <v>42163</v>
      </c>
      <c r="B600">
        <v>2079.280029</v>
      </c>
      <c r="C600" s="68">
        <f>LN(B600)-LN(B599)</f>
        <v>-6.4955604213556839E-3</v>
      </c>
      <c r="D600" s="68"/>
      <c r="E600" s="68"/>
      <c r="F600" s="68"/>
      <c r="G600" s="68"/>
      <c r="H600" s="68"/>
      <c r="I600">
        <f>_xlfn.STDEV.S(C580:C600)</f>
        <v>5.9584131827594171E-3</v>
      </c>
      <c r="J600">
        <f>_xlfn.NORM.S.INV(0.99)*I600*SQRT(10)</f>
        <v>4.3833411641757053E-2</v>
      </c>
      <c r="K600">
        <f>LN(B609)-LN(B600)</f>
        <v>1.466150951175571E-2</v>
      </c>
      <c r="L600">
        <f>IF(K600&lt;-(J600),1,0)</f>
        <v>0</v>
      </c>
      <c r="M600" s="72">
        <f t="shared" si="8"/>
        <v>3.6074736601085421E-2</v>
      </c>
      <c r="N600">
        <f>SQRT((N599^2)*0.72+(1-0.72)*(C599^2))</f>
        <v>4.9103541679829926E-3</v>
      </c>
      <c r="O600">
        <f>_xlfn.NORM.S.INV(0.99)*N600*SQRT(10)</f>
        <v>3.6123304804507823E-2</v>
      </c>
      <c r="P600">
        <f>LN(B609)-LN(B600)</f>
        <v>1.466150951175571E-2</v>
      </c>
      <c r="Q600">
        <f>IF(P600&lt;-(O600),1,0)</f>
        <v>0</v>
      </c>
    </row>
    <row r="601" spans="1:17">
      <c r="A601" s="64">
        <v>42164</v>
      </c>
      <c r="B601">
        <v>2080.1499020000001</v>
      </c>
      <c r="C601" s="68">
        <f>LN(B601)-LN(B600)</f>
        <v>4.1826549652768108E-4</v>
      </c>
      <c r="D601" s="68"/>
      <c r="E601" s="68"/>
      <c r="F601" s="68"/>
      <c r="G601" s="68"/>
      <c r="H601" s="68"/>
      <c r="I601">
        <f>_xlfn.STDEV.S(C581:C601)</f>
        <v>5.0910421418534678E-3</v>
      </c>
      <c r="J601">
        <f>_xlfn.NORM.S.INV(0.99)*I601*SQRT(10)</f>
        <v>3.745254634826254E-2</v>
      </c>
      <c r="K601">
        <f>LN(B610)-LN(B601)</f>
        <v>2.0319612269777743E-2</v>
      </c>
      <c r="L601">
        <f>IF(K601&lt;-(J601),1,0)</f>
        <v>0</v>
      </c>
      <c r="M601" s="72">
        <f t="shared" ref="M601:M664" si="9">EWMAV(B580:B600,0.72,0.99)*SQRT(10)</f>
        <v>3.9655459171813699E-2</v>
      </c>
      <c r="N601">
        <f>SQRT((N600^2)*0.72+(1-0.72)*(C600^2))</f>
        <v>5.4013129563204535E-3</v>
      </c>
      <c r="O601">
        <f>_xlfn.NORM.S.INV(0.99)*N601*SQRT(10)</f>
        <v>3.973507156324875E-2</v>
      </c>
      <c r="P601">
        <f>LN(B610)-LN(B601)</f>
        <v>2.0319612269777743E-2</v>
      </c>
      <c r="Q601">
        <f>IF(P601&lt;-(O601),1,0)</f>
        <v>0</v>
      </c>
    </row>
    <row r="602" spans="1:17">
      <c r="A602" s="64">
        <v>42165</v>
      </c>
      <c r="B602">
        <v>2105.1999510000001</v>
      </c>
      <c r="C602" s="68">
        <f>LN(B602)-LN(B601)</f>
        <v>1.1970491836123642E-2</v>
      </c>
      <c r="D602" s="68"/>
      <c r="E602" s="68"/>
      <c r="F602" s="68"/>
      <c r="G602" s="68"/>
      <c r="H602" s="68"/>
      <c r="I602">
        <f>_xlfn.STDEV.S(C582:C602)</f>
        <v>5.6991741665763356E-3</v>
      </c>
      <c r="J602">
        <f>_xlfn.NORM.S.INV(0.99)*I602*SQRT(10)</f>
        <v>4.1926304806192721E-2</v>
      </c>
      <c r="K602">
        <f>LN(B611)-LN(B602)</f>
        <v>8.9847866160059908E-3</v>
      </c>
      <c r="L602">
        <f>IF(K602&lt;-(J602),1,0)</f>
        <v>0</v>
      </c>
      <c r="M602" s="72">
        <f t="shared" si="9"/>
        <v>3.3679933473135977E-2</v>
      </c>
      <c r="N602">
        <f>SQRT((N601^2)*0.72+(1-0.72)*(C601^2))</f>
        <v>4.5885069114786018E-3</v>
      </c>
      <c r="O602">
        <f>_xlfn.NORM.S.INV(0.99)*N602*SQRT(10)</f>
        <v>3.3755616823260157E-2</v>
      </c>
      <c r="P602">
        <f>LN(B611)-LN(B602)</f>
        <v>8.9847866160059908E-3</v>
      </c>
      <c r="Q602">
        <f>IF(P602&lt;-(O602),1,0)</f>
        <v>0</v>
      </c>
    </row>
    <row r="603" spans="1:17">
      <c r="A603" s="64">
        <v>42166</v>
      </c>
      <c r="B603">
        <v>2108.860107</v>
      </c>
      <c r="C603" s="68">
        <f>LN(B603)-LN(B602)</f>
        <v>1.7371166381225933E-3</v>
      </c>
      <c r="D603" s="68"/>
      <c r="E603" s="68"/>
      <c r="F603" s="68"/>
      <c r="G603" s="68"/>
      <c r="H603" s="68"/>
      <c r="I603">
        <f>_xlfn.STDEV.S(C583:C603)</f>
        <v>5.6695806161162453E-3</v>
      </c>
      <c r="J603">
        <f>_xlfn.NORM.S.INV(0.99)*I603*SQRT(10)</f>
        <v>4.1708598138415529E-2</v>
      </c>
      <c r="K603">
        <f>LN(B612)-LN(B603)</f>
        <v>-1.327957187902129E-4</v>
      </c>
      <c r="L603">
        <f>IF(K603&lt;-(J603),1,0)</f>
        <v>0</v>
      </c>
      <c r="M603" s="72">
        <f t="shared" si="9"/>
        <v>5.4661645406760419E-2</v>
      </c>
      <c r="N603">
        <f>SQRT((N602^2)*0.72+(1-0.72)*(C602^2))</f>
        <v>7.4351270218370414E-3</v>
      </c>
      <c r="O603">
        <f>_xlfn.NORM.S.INV(0.99)*N603*SQRT(10)</f>
        <v>5.4696942518176049E-2</v>
      </c>
      <c r="P603">
        <f>LN(B612)-LN(B603)</f>
        <v>-1.327957187902129E-4</v>
      </c>
      <c r="Q603">
        <f>IF(P603&lt;-(O603),1,0)</f>
        <v>0</v>
      </c>
    </row>
    <row r="604" spans="1:17">
      <c r="A604" s="64">
        <v>42167</v>
      </c>
      <c r="B604">
        <v>2094.110107</v>
      </c>
      <c r="C604" s="68">
        <f>LN(B604)-LN(B603)</f>
        <v>-7.0188746545118974E-3</v>
      </c>
      <c r="D604" s="68"/>
      <c r="E604" s="68"/>
      <c r="F604" s="68"/>
      <c r="G604" s="68"/>
      <c r="H604" s="68"/>
      <c r="I604">
        <f>_xlfn.STDEV.S(C584:C604)</f>
        <v>5.8858645701097209E-3</v>
      </c>
      <c r="J604">
        <f>_xlfn.NORM.S.INV(0.99)*I604*SQRT(10)</f>
        <v>4.3299703571374498E-2</v>
      </c>
      <c r="K604">
        <f>LN(B613)-LN(B604)</f>
        <v>3.9080750316466961E-3</v>
      </c>
      <c r="L604">
        <f>IF(K604&lt;-(J604),1,0)</f>
        <v>0</v>
      </c>
      <c r="M604" s="72">
        <f t="shared" si="9"/>
        <v>4.6872262472954493E-2</v>
      </c>
      <c r="N604">
        <f>SQRT((N603^2)*0.72+(1-0.72)*(C603^2))</f>
        <v>6.3755252911628256E-3</v>
      </c>
      <c r="O604">
        <f>_xlfn.NORM.S.INV(0.99)*N604*SQRT(10)</f>
        <v>4.6901921022964574E-2</v>
      </c>
      <c r="P604">
        <f>LN(B613)-LN(B604)</f>
        <v>3.9080750316466961E-3</v>
      </c>
      <c r="Q604">
        <f>IF(P604&lt;-(O604),1,0)</f>
        <v>0</v>
      </c>
    </row>
    <row r="605" spans="1:17">
      <c r="A605" s="64">
        <v>42170</v>
      </c>
      <c r="B605">
        <v>2084.429932</v>
      </c>
      <c r="C605" s="68">
        <f>LN(B605)-LN(B604)</f>
        <v>-4.63328924790396E-3</v>
      </c>
      <c r="D605" s="68"/>
      <c r="E605" s="68"/>
      <c r="F605" s="68"/>
      <c r="G605" s="68"/>
      <c r="H605" s="68"/>
      <c r="I605">
        <f>_xlfn.STDEV.S(C585:C605)</f>
        <v>5.4088210740850665E-3</v>
      </c>
      <c r="J605">
        <f>_xlfn.NORM.S.INV(0.99)*I605*SQRT(10)</f>
        <v>3.9790305466393186E-2</v>
      </c>
      <c r="K605">
        <f>LN(B614)-LN(B605)</f>
        <v>8.1512082298607069E-3</v>
      </c>
      <c r="L605">
        <f>IF(K605&lt;-(J605),1,0)</f>
        <v>0</v>
      </c>
      <c r="M605" s="72">
        <f t="shared" si="9"/>
        <v>4.8227858763559263E-2</v>
      </c>
      <c r="N605">
        <f>SQRT((N604^2)*0.72+(1-0.72)*(C604^2))</f>
        <v>6.562024136495901E-3</v>
      </c>
      <c r="O605">
        <f>_xlfn.NORM.S.INV(0.99)*N605*SQRT(10)</f>
        <v>4.8273910579152278E-2</v>
      </c>
      <c r="P605">
        <f>LN(B614)-LN(B605)</f>
        <v>8.1512082298607069E-3</v>
      </c>
      <c r="Q605">
        <f>IF(P605&lt;-(O605),1,0)</f>
        <v>0</v>
      </c>
    </row>
    <row r="606" spans="1:17">
      <c r="A606" s="64">
        <v>42171</v>
      </c>
      <c r="B606">
        <v>2096.290039</v>
      </c>
      <c r="C606" s="68">
        <f>LN(B606)-LN(B605)</f>
        <v>5.6737303135303563E-3</v>
      </c>
      <c r="D606" s="68"/>
      <c r="E606" s="68"/>
      <c r="F606" s="68"/>
      <c r="G606" s="68"/>
      <c r="H606" s="68"/>
      <c r="I606">
        <f>_xlfn.STDEV.S(C586:C606)</f>
        <v>5.5843974682920445E-3</v>
      </c>
      <c r="J606">
        <f>_xlfn.NORM.S.INV(0.99)*I606*SQRT(10)</f>
        <v>4.1081943378332306E-2</v>
      </c>
      <c r="K606">
        <f>LN(B615)-LN(B606)</f>
        <v>-1.8609491275724643E-2</v>
      </c>
      <c r="L606">
        <f>IF(K606&lt;-(J606),1,0)</f>
        <v>0</v>
      </c>
      <c r="M606" s="72">
        <f t="shared" si="9"/>
        <v>4.4720867938674816E-2</v>
      </c>
      <c r="N606">
        <f>SQRT((N605^2)*0.72+(1-0.72)*(C605^2))</f>
        <v>6.0839279371352941E-3</v>
      </c>
      <c r="O606">
        <f>_xlfn.NORM.S.INV(0.99)*N606*SQRT(10)</f>
        <v>4.4756768201116022E-2</v>
      </c>
      <c r="P606">
        <f>LN(B615)-LN(B606)</f>
        <v>-1.8609491275724643E-2</v>
      </c>
      <c r="Q606">
        <f>IF(P606&lt;-(O606),1,0)</f>
        <v>0</v>
      </c>
    </row>
    <row r="607" spans="1:17">
      <c r="A607" s="64">
        <v>42172</v>
      </c>
      <c r="B607">
        <v>2100.4399410000001</v>
      </c>
      <c r="C607" s="68">
        <f>LN(B607)-LN(B606)</f>
        <v>1.9776842314751519E-3</v>
      </c>
      <c r="D607" s="68"/>
      <c r="E607" s="68"/>
      <c r="F607" s="68"/>
      <c r="G607" s="68"/>
      <c r="H607" s="68"/>
      <c r="I607">
        <f>_xlfn.STDEV.S(C587:C607)</f>
        <v>5.5544273765404332E-3</v>
      </c>
      <c r="J607">
        <f>_xlfn.NORM.S.INV(0.99)*I607*SQRT(10)</f>
        <v>4.0861466662737829E-2</v>
      </c>
      <c r="K607">
        <f>LN(B616)-LN(B607)</f>
        <v>-1.7932213564246346E-2</v>
      </c>
      <c r="L607">
        <f>IF(K607&lt;-(J607),1,0)</f>
        <v>0</v>
      </c>
      <c r="M607" s="72">
        <f t="shared" si="9"/>
        <v>4.3904155958701528E-2</v>
      </c>
      <c r="N607">
        <f>SQRT((N606^2)*0.72+(1-0.72)*(C606^2))</f>
        <v>5.9719133761008576E-3</v>
      </c>
      <c r="O607">
        <f>_xlfn.NORM.S.INV(0.99)*N607*SQRT(10)</f>
        <v>4.3932726595894665E-2</v>
      </c>
      <c r="P607">
        <f>LN(B616)-LN(B607)</f>
        <v>-1.7932213564246346E-2</v>
      </c>
      <c r="Q607">
        <f>IF(P607&lt;-(O607),1,0)</f>
        <v>0</v>
      </c>
    </row>
    <row r="608" spans="1:17">
      <c r="A608" s="64">
        <v>42173</v>
      </c>
      <c r="B608">
        <v>2121.23999</v>
      </c>
      <c r="C608" s="68">
        <f>LN(B608)-LN(B607)</f>
        <v>9.8540001369311625E-3</v>
      </c>
      <c r="D608" s="68"/>
      <c r="E608" s="68"/>
      <c r="F608" s="68"/>
      <c r="G608" s="68"/>
      <c r="H608" s="68"/>
      <c r="I608">
        <f>_xlfn.STDEV.S(C588:C608)</f>
        <v>6.0086153053357455E-3</v>
      </c>
      <c r="J608">
        <f>_xlfn.NORM.S.INV(0.99)*I608*SQRT(10)</f>
        <v>4.4202726463788089E-2</v>
      </c>
      <c r="K608">
        <f>LN(B617)-LN(B608)</f>
        <v>-2.0874117001884684E-2</v>
      </c>
      <c r="L608">
        <f>IF(K608&lt;-(J608),1,0)</f>
        <v>0</v>
      </c>
      <c r="M608" s="72">
        <f t="shared" si="9"/>
        <v>3.8040942039555561E-2</v>
      </c>
      <c r="N608">
        <f>SQRT((N607^2)*0.72+(1-0.72)*(C607^2))</f>
        <v>5.1742676124287212E-3</v>
      </c>
      <c r="O608">
        <f>_xlfn.NORM.S.INV(0.99)*N608*SQRT(10)</f>
        <v>3.806479934229115E-2</v>
      </c>
      <c r="P608">
        <f>LN(B617)-LN(B608)</f>
        <v>-2.0874117001884684E-2</v>
      </c>
      <c r="Q608">
        <f>IF(P608&lt;-(O608),1,0)</f>
        <v>0</v>
      </c>
    </row>
    <row r="609" spans="1:17">
      <c r="A609" s="64">
        <v>42174</v>
      </c>
      <c r="B609">
        <v>2109.98999</v>
      </c>
      <c r="C609" s="68">
        <f>LN(B609)-LN(B608)</f>
        <v>-5.3176152385390196E-3</v>
      </c>
      <c r="D609" s="68"/>
      <c r="E609" s="68"/>
      <c r="F609" s="68"/>
      <c r="G609" s="68"/>
      <c r="H609" s="68"/>
      <c r="I609">
        <f>_xlfn.STDEV.S(C589:C609)</f>
        <v>6.1125579471357451E-3</v>
      </c>
      <c r="J609">
        <f>_xlfn.NORM.S.INV(0.99)*I609*SQRT(10)</f>
        <v>4.4967386527701457E-2</v>
      </c>
      <c r="K609">
        <f>LN(B618)-LN(B609)</f>
        <v>-1.5864572156012891E-2</v>
      </c>
      <c r="L609">
        <f>IF(K609&lt;-(J609),1,0)</f>
        <v>0</v>
      </c>
      <c r="M609" s="72">
        <f t="shared" si="9"/>
        <v>5.0132913218252514E-2</v>
      </c>
      <c r="N609">
        <f>SQRT((N608^2)*0.72+(1-0.72)*(C608^2))</f>
        <v>6.8165212439806697E-3</v>
      </c>
      <c r="O609">
        <f>_xlfn.NORM.S.INV(0.99)*N609*SQRT(10)</f>
        <v>5.014613328876473E-2</v>
      </c>
      <c r="P609">
        <f>LN(B618)-LN(B609)</f>
        <v>-1.5864572156012891E-2</v>
      </c>
      <c r="Q609">
        <f>IF(P609&lt;-(O609),1,0)</f>
        <v>0</v>
      </c>
    </row>
    <row r="610" spans="1:17">
      <c r="A610" s="64">
        <v>42177</v>
      </c>
      <c r="B610">
        <v>2122.8500979999999</v>
      </c>
      <c r="C610" s="68">
        <f>LN(B610)-LN(B609)</f>
        <v>6.0763682545497133E-3</v>
      </c>
      <c r="D610" s="68"/>
      <c r="E610" s="68"/>
      <c r="F610" s="68"/>
      <c r="G610" s="68"/>
      <c r="H610" s="68"/>
      <c r="I610">
        <f>_xlfn.STDEV.S(C590:C610)</f>
        <v>6.2479530857846499E-3</v>
      </c>
      <c r="J610">
        <f>_xlfn.NORM.S.INV(0.99)*I610*SQRT(10)</f>
        <v>4.5963428706156377E-2</v>
      </c>
      <c r="K610">
        <f>LN(B619)-LN(B610)</f>
        <v>-2.581017285321785E-2</v>
      </c>
      <c r="L610">
        <f>IF(K610&lt;-(J610),1,0)</f>
        <v>0</v>
      </c>
      <c r="M610" s="72">
        <f t="shared" si="9"/>
        <v>4.7307051500954954E-2</v>
      </c>
      <c r="N610">
        <f>SQRT((N609^2)*0.72+(1-0.72)*(C609^2))</f>
        <v>6.4321335074126462E-3</v>
      </c>
      <c r="O610">
        <f>_xlfn.NORM.S.INV(0.99)*N610*SQRT(10)</f>
        <v>4.7318362644093448E-2</v>
      </c>
      <c r="P610">
        <f>LN(B619)-LN(B610)</f>
        <v>-2.581017285321785E-2</v>
      </c>
      <c r="Q610">
        <f>IF(P610&lt;-(O610),1,0)</f>
        <v>0</v>
      </c>
    </row>
    <row r="611" spans="1:17">
      <c r="A611" s="64">
        <v>42178</v>
      </c>
      <c r="B611">
        <v>2124.1999510000001</v>
      </c>
      <c r="C611" s="68">
        <f>LN(B611)-LN(B610)</f>
        <v>6.3566618235189054E-4</v>
      </c>
      <c r="D611" s="68"/>
      <c r="E611" s="68"/>
      <c r="F611" s="68"/>
      <c r="G611" s="68"/>
      <c r="H611" s="68"/>
      <c r="I611">
        <f>_xlfn.STDEV.S(C591:C611)</f>
        <v>6.2320671580299181E-3</v>
      </c>
      <c r="J611">
        <f>_xlfn.NORM.S.INV(0.99)*I611*SQRT(10)</f>
        <v>4.584656295864508E-2</v>
      </c>
      <c r="K611">
        <f>LN(B620)-LN(B611)</f>
        <v>-2.0383278502443147E-2</v>
      </c>
      <c r="L611">
        <f>IF(K611&lt;-(J611),1,0)</f>
        <v>0</v>
      </c>
      <c r="M611" s="72">
        <f t="shared" si="9"/>
        <v>4.6590954145135137E-2</v>
      </c>
      <c r="N611">
        <f>SQRT((N610^2)*0.72+(1-0.72)*(C610^2))</f>
        <v>6.3345336194026028E-3</v>
      </c>
      <c r="O611">
        <f>_xlfn.NORM.S.INV(0.99)*N611*SQRT(10)</f>
        <v>4.6600363415756553E-2</v>
      </c>
      <c r="P611">
        <f>LN(B620)-LN(B611)</f>
        <v>-2.0383278502443147E-2</v>
      </c>
      <c r="Q611">
        <f>IF(P611&lt;-(O611),1,0)</f>
        <v>0</v>
      </c>
    </row>
    <row r="612" spans="1:17">
      <c r="A612" s="64">
        <v>42179</v>
      </c>
      <c r="B612">
        <v>2108.580078</v>
      </c>
      <c r="C612" s="68">
        <f>LN(B612)-LN(B611)</f>
        <v>-7.3804656966736104E-3</v>
      </c>
      <c r="D612" s="68"/>
      <c r="E612" s="68"/>
      <c r="F612" s="68"/>
      <c r="G612" s="68"/>
      <c r="H612" s="68"/>
      <c r="I612">
        <f>_xlfn.STDEV.S(C592:C612)</f>
        <v>6.0177180140379444E-3</v>
      </c>
      <c r="J612">
        <f>_xlfn.NORM.S.INV(0.99)*I612*SQRT(10)</f>
        <v>4.4269691067510601E-2</v>
      </c>
      <c r="K612">
        <f>LN(B621)-LN(B612)</f>
        <v>-2.9795777629225917E-2</v>
      </c>
      <c r="L612">
        <f>IF(K612&lt;-(J612),1,0)</f>
        <v>0</v>
      </c>
      <c r="M612" s="72">
        <f t="shared" si="9"/>
        <v>3.9582451516597027E-2</v>
      </c>
      <c r="N612">
        <f>SQRT((N611^2)*0.72+(1-0.72)*(C611^2))</f>
        <v>5.3855443239243838E-3</v>
      </c>
      <c r="O612">
        <f>_xlfn.NORM.S.INV(0.99)*N612*SQRT(10)</f>
        <v>3.9619068705836237E-2</v>
      </c>
      <c r="P612">
        <f>LN(B621)-LN(B612)</f>
        <v>-2.9795777629225917E-2</v>
      </c>
      <c r="Q612">
        <f>IF(P612&lt;-(O612),1,0)</f>
        <v>0</v>
      </c>
    </row>
    <row r="613" spans="1:17">
      <c r="A613" s="64">
        <v>42180</v>
      </c>
      <c r="B613">
        <v>2102.3100589999999</v>
      </c>
      <c r="C613" s="68">
        <f>LN(B613)-LN(B612)</f>
        <v>-2.9780039040749884E-3</v>
      </c>
      <c r="D613" s="68"/>
      <c r="E613" s="68"/>
      <c r="F613" s="68"/>
      <c r="G613" s="68"/>
      <c r="H613" s="68"/>
      <c r="I613">
        <f>_xlfn.STDEV.S(C593:C613)</f>
        <v>5.680499050315182E-3</v>
      </c>
      <c r="J613">
        <f>_xlfn.NORM.S.INV(0.99)*I613*SQRT(10)</f>
        <v>4.1788920231906834E-2</v>
      </c>
      <c r="K613">
        <f>LN(B622)-LN(B613)</f>
        <v>-2.4558126023522142E-2</v>
      </c>
      <c r="L613">
        <f>IF(K613&lt;-(J613),1,0)</f>
        <v>0</v>
      </c>
      <c r="M613" s="72">
        <f t="shared" si="9"/>
        <v>4.4178360544154312E-2</v>
      </c>
      <c r="N613">
        <f>SQRT((N612^2)*0.72+(1-0.72)*(C612^2))</f>
        <v>6.0112311393510929E-3</v>
      </c>
      <c r="O613">
        <f>_xlfn.NORM.S.INV(0.99)*N613*SQRT(10)</f>
        <v>4.4221969998209806E-2</v>
      </c>
      <c r="P613">
        <f>LN(B622)-LN(B613)</f>
        <v>-2.4558126023522142E-2</v>
      </c>
      <c r="Q613">
        <f>IF(P613&lt;-(O613),1,0)</f>
        <v>0</v>
      </c>
    </row>
    <row r="614" spans="1:17">
      <c r="A614" s="64">
        <v>42181</v>
      </c>
      <c r="B614">
        <v>2101.48999</v>
      </c>
      <c r="C614" s="68">
        <f>LN(B614)-LN(B613)</f>
        <v>-3.9015604968994921E-4</v>
      </c>
      <c r="D614" s="68"/>
      <c r="E614" s="68"/>
      <c r="F614" s="68"/>
      <c r="G614" s="68"/>
      <c r="H614" s="68"/>
      <c r="I614">
        <f>_xlfn.STDEV.S(C594:C614)</f>
        <v>5.6776204858154343E-3</v>
      </c>
      <c r="J614">
        <f>_xlfn.NORM.S.INV(0.99)*I614*SQRT(10)</f>
        <v>4.1767743905461417E-2</v>
      </c>
      <c r="K614">
        <f>LN(B623)-LN(B614)</f>
        <v>-1.1904983877159658E-2</v>
      </c>
      <c r="L614">
        <f>IF(K614&lt;-(J614),1,0)</f>
        <v>0</v>
      </c>
      <c r="M614" s="72">
        <f t="shared" si="9"/>
        <v>3.923769733557067E-2</v>
      </c>
      <c r="N614">
        <f>SQRT((N613^2)*0.72+(1-0.72)*(C613^2))</f>
        <v>5.3385681502121042E-3</v>
      </c>
      <c r="O614">
        <f>_xlfn.NORM.S.INV(0.99)*N614*SQRT(10)</f>
        <v>3.9273485763444277E-2</v>
      </c>
      <c r="P614">
        <f>LN(B623)-LN(B614)</f>
        <v>-1.1904983877159658E-2</v>
      </c>
      <c r="Q614">
        <f>IF(P614&lt;-(O614),1,0)</f>
        <v>0</v>
      </c>
    </row>
    <row r="615" spans="1:17">
      <c r="A615" s="64">
        <v>42184</v>
      </c>
      <c r="B615">
        <v>2057.639893</v>
      </c>
      <c r="C615" s="68">
        <f>LN(B615)-LN(B614)</f>
        <v>-2.1086969192054994E-2</v>
      </c>
      <c r="D615" s="68"/>
      <c r="E615" s="68"/>
      <c r="F615" s="68"/>
      <c r="G615" s="68"/>
      <c r="H615" s="68"/>
      <c r="I615">
        <f>_xlfn.STDEV.S(C595:C615)</f>
        <v>7.1623737552281817E-3</v>
      </c>
      <c r="J615">
        <f>_xlfn.NORM.S.INV(0.99)*I615*SQRT(10)</f>
        <v>5.2690417316719106E-2</v>
      </c>
      <c r="K615">
        <f>LN(B624)-LN(B615)</f>
        <v>2.0187254076263095E-2</v>
      </c>
      <c r="L615">
        <f>IF(K615&lt;-(J615),1,0)</f>
        <v>0</v>
      </c>
      <c r="M615" s="72">
        <f t="shared" si="9"/>
        <v>3.3316108187013041E-2</v>
      </c>
      <c r="N615">
        <f>SQRT((N614^2)*0.72+(1-0.72)*(C614^2))</f>
        <v>4.5346273509607434E-3</v>
      </c>
      <c r="O615">
        <f>_xlfn.NORM.S.INV(0.99)*N615*SQRT(10)</f>
        <v>3.3359248716044981E-2</v>
      </c>
      <c r="P615">
        <f>LN(B624)-LN(B615)</f>
        <v>2.0187254076263095E-2</v>
      </c>
      <c r="Q615">
        <f>IF(P615&lt;-(O615),1,0)</f>
        <v>0</v>
      </c>
    </row>
    <row r="616" spans="1:17">
      <c r="A616" s="64">
        <v>42185</v>
      </c>
      <c r="B616">
        <v>2063.110107</v>
      </c>
      <c r="C616" s="68">
        <f>LN(B616)-LN(B615)</f>
        <v>2.6549619429534488E-3</v>
      </c>
      <c r="D616" s="68"/>
      <c r="E616" s="68"/>
      <c r="F616" s="68"/>
      <c r="G616" s="68"/>
      <c r="H616" s="68"/>
      <c r="I616">
        <f>_xlfn.STDEV.S(C596:C616)</f>
        <v>7.1768755959242423E-3</v>
      </c>
      <c r="J616">
        <f>_xlfn.NORM.S.INV(0.99)*I616*SQRT(10)</f>
        <v>5.2797100947628239E-2</v>
      </c>
      <c r="K616">
        <f>LN(B625)-LN(B616)</f>
        <v>2.1975565124590979E-2</v>
      </c>
      <c r="L616">
        <f>IF(K616&lt;-(J616),1,0)</f>
        <v>0</v>
      </c>
      <c r="M616" s="72">
        <f t="shared" si="9"/>
        <v>8.6816795200384489E-2</v>
      </c>
      <c r="N616">
        <f>SQRT((N615^2)*0.72+(1-0.72)*(C615^2))</f>
        <v>1.1802970984907483E-2</v>
      </c>
      <c r="O616">
        <f>_xlfn.NORM.S.INV(0.99)*N616*SQRT(10)</f>
        <v>8.6829239582469894E-2</v>
      </c>
      <c r="P616">
        <f>LN(B625)-LN(B616)</f>
        <v>2.1975565124590979E-2</v>
      </c>
      <c r="Q616">
        <f>IF(P616&lt;-(O616),1,0)</f>
        <v>0</v>
      </c>
    </row>
    <row r="617" spans="1:17">
      <c r="A617" s="64">
        <v>42186</v>
      </c>
      <c r="B617">
        <v>2077.419922</v>
      </c>
      <c r="C617" s="68">
        <f>LN(B617)-LN(B616)</f>
        <v>6.9120966992928246E-3</v>
      </c>
      <c r="D617" s="68"/>
      <c r="E617" s="68"/>
      <c r="F617" s="68"/>
      <c r="G617" s="68"/>
      <c r="H617" s="68"/>
      <c r="I617">
        <f>_xlfn.STDEV.S(C597:C617)</f>
        <v>7.3874689365561403E-3</v>
      </c>
      <c r="J617">
        <f>_xlfn.NORM.S.INV(0.99)*I617*SQRT(10)</f>
        <v>5.4346343053838758E-2</v>
      </c>
      <c r="K617">
        <f>LN(B626)-LN(B617)</f>
        <v>1.43282120429431E-2</v>
      </c>
      <c r="L617">
        <f>IF(K617&lt;-(J617),1,0)</f>
        <v>0</v>
      </c>
      <c r="M617" s="72">
        <f t="shared" si="9"/>
        <v>7.4387792005872519E-2</v>
      </c>
      <c r="N617">
        <f>SQRT((N616^2)*0.72+(1-0.72)*(C616^2))</f>
        <v>1.0113207193961648E-2</v>
      </c>
      <c r="O617">
        <f>_xlfn.NORM.S.INV(0.99)*N617*SQRT(10)</f>
        <v>7.4398394397013512E-2</v>
      </c>
      <c r="P617">
        <f>LN(B626)-LN(B617)</f>
        <v>1.43282120429431E-2</v>
      </c>
      <c r="Q617">
        <f>IF(P617&lt;-(O617),1,0)</f>
        <v>0</v>
      </c>
    </row>
    <row r="618" spans="1:17">
      <c r="A618" s="64">
        <v>42187</v>
      </c>
      <c r="B618">
        <v>2076.780029</v>
      </c>
      <c r="C618" s="68">
        <f>LN(B618)-LN(B617)</f>
        <v>-3.0807039266722569E-4</v>
      </c>
      <c r="D618" s="68"/>
      <c r="E618" s="68"/>
      <c r="F618" s="68"/>
      <c r="G618" s="68"/>
      <c r="H618" s="68"/>
      <c r="I618">
        <f>_xlfn.STDEV.S(C598:C618)</f>
        <v>7.3596164398290163E-3</v>
      </c>
      <c r="J618">
        <f>_xlfn.NORM.S.INV(0.99)*I618*SQRT(10)</f>
        <v>5.4141444548675796E-2</v>
      </c>
      <c r="K618">
        <f>LN(B627)-LN(B618)</f>
        <v>2.2619016013779358E-2</v>
      </c>
      <c r="L618">
        <f>IF(K618&lt;-(J618),1,0)</f>
        <v>0</v>
      </c>
      <c r="M618" s="72">
        <f t="shared" si="9"/>
        <v>6.8615135954510298E-2</v>
      </c>
      <c r="N618">
        <f>SQRT((N617^2)*0.72+(1-0.72)*(C617^2))</f>
        <v>9.3282899631745592E-3</v>
      </c>
      <c r="O618">
        <f>_xlfn.NORM.S.INV(0.99)*N618*SQRT(10)</f>
        <v>6.8624105332711877E-2</v>
      </c>
      <c r="P618">
        <f>LN(B627)-LN(B618)</f>
        <v>2.2619016013779358E-2</v>
      </c>
      <c r="Q618">
        <f>IF(P618&lt;-(O618),1,0)</f>
        <v>0</v>
      </c>
    </row>
    <row r="619" spans="1:17">
      <c r="A619" s="64">
        <v>42191</v>
      </c>
      <c r="B619">
        <v>2068.76001</v>
      </c>
      <c r="C619" s="68">
        <f>LN(B619)-LN(B618)</f>
        <v>-3.869232442655246E-3</v>
      </c>
      <c r="D619" s="68"/>
      <c r="E619" s="68"/>
      <c r="F619" s="68"/>
      <c r="G619" s="68"/>
      <c r="H619" s="68"/>
      <c r="I619">
        <f>_xlfn.STDEV.S(C599:C619)</f>
        <v>7.1772986823390771E-3</v>
      </c>
      <c r="J619">
        <f>_xlfn.NORM.S.INV(0.99)*I619*SQRT(10)</f>
        <v>5.2800213407340688E-2</v>
      </c>
      <c r="K619">
        <f>LN(B628)-LN(B619)</f>
        <v>2.7593820308683625E-2</v>
      </c>
      <c r="L619">
        <f>IF(K619&lt;-(J619),1,0)</f>
        <v>0</v>
      </c>
      <c r="M619" s="72">
        <f t="shared" si="9"/>
        <v>5.8220542696430989E-2</v>
      </c>
      <c r="N619">
        <f>SQRT((N618^2)*0.72+(1-0.72)*(C618^2))</f>
        <v>7.9169949779825041E-3</v>
      </c>
      <c r="O619">
        <f>_xlfn.NORM.S.INV(0.99)*N619*SQRT(10)</f>
        <v>5.8241832043429545E-2</v>
      </c>
      <c r="P619">
        <f>LN(B628)-LN(B619)</f>
        <v>2.7593820308683625E-2</v>
      </c>
      <c r="Q619">
        <f>IF(P619&lt;-(O619),1,0)</f>
        <v>0</v>
      </c>
    </row>
    <row r="620" spans="1:17">
      <c r="A620" s="64">
        <v>42192</v>
      </c>
      <c r="B620">
        <v>2081.3400879999999</v>
      </c>
      <c r="C620" s="68">
        <f>LN(B620)-LN(B619)</f>
        <v>6.062560533126593E-3</v>
      </c>
      <c r="D620" s="68"/>
      <c r="E620" s="68"/>
      <c r="F620" s="68"/>
      <c r="G620" s="68"/>
      <c r="H620" s="68"/>
      <c r="I620">
        <f>_xlfn.STDEV.S(C600:C620)</f>
        <v>7.3197405253465631E-3</v>
      </c>
      <c r="J620">
        <f>_xlfn.NORM.S.INV(0.99)*I620*SQRT(10)</f>
        <v>5.3848095074497261E-2</v>
      </c>
      <c r="K620">
        <f>LN(B629)-LN(B620)</f>
        <v>2.2302196061692037E-2</v>
      </c>
      <c r="L620">
        <f>IF(K620&lt;-(J620),1,0)</f>
        <v>0</v>
      </c>
      <c r="M620" s="72">
        <f t="shared" si="9"/>
        <v>5.164639757334516E-2</v>
      </c>
      <c r="N620">
        <f>SQRT((N619^2)*0.72+(1-0.72)*(C619^2))</f>
        <v>7.0228634858788891E-3</v>
      </c>
      <c r="O620">
        <f>_xlfn.NORM.S.INV(0.99)*N620*SQRT(10)</f>
        <v>5.1664101940951904E-2</v>
      </c>
      <c r="P620">
        <f>LN(B629)-LN(B620)</f>
        <v>2.2302196061692037E-2</v>
      </c>
      <c r="Q620">
        <f>IF(P620&lt;-(O620),1,0)</f>
        <v>0</v>
      </c>
    </row>
    <row r="621" spans="1:17">
      <c r="A621" s="64">
        <v>42193</v>
      </c>
      <c r="B621">
        <v>2046.6800539999999</v>
      </c>
      <c r="C621" s="68">
        <f>LN(B621)-LN(B620)</f>
        <v>-1.679296482345638E-2</v>
      </c>
      <c r="D621" s="68"/>
      <c r="E621" s="68"/>
      <c r="F621" s="68"/>
      <c r="G621" s="68"/>
      <c r="H621" s="68"/>
      <c r="I621">
        <f>_xlfn.STDEV.S(C601:C621)</f>
        <v>8.0651564129646663E-3</v>
      </c>
      <c r="J621">
        <f>_xlfn.NORM.S.INV(0.99)*I621*SQRT(10)</f>
        <v>5.9331790220180043E-2</v>
      </c>
      <c r="K621">
        <f>LN(B630)-LN(B621)</f>
        <v>3.4824364811408159E-2</v>
      </c>
      <c r="L621">
        <f>IF(K621&lt;-(J621),1,0)</f>
        <v>0</v>
      </c>
      <c r="M621" s="72">
        <f t="shared" si="9"/>
        <v>4.9764951085901732E-2</v>
      </c>
      <c r="N621">
        <f>SQRT((N620^2)*0.72+(1-0.72)*(C620^2))</f>
        <v>6.7677277996917315E-3</v>
      </c>
      <c r="O621">
        <f>_xlfn.NORM.S.INV(0.99)*N621*SQRT(10)</f>
        <v>4.9787181490134058E-2</v>
      </c>
      <c r="P621">
        <f>LN(B630)-LN(B621)</f>
        <v>3.4824364811408159E-2</v>
      </c>
      <c r="Q621">
        <f>IF(P621&lt;-(O621),1,0)</f>
        <v>0</v>
      </c>
    </row>
    <row r="622" spans="1:17">
      <c r="A622" s="64">
        <v>42194</v>
      </c>
      <c r="B622">
        <v>2051.3100589999999</v>
      </c>
      <c r="C622" s="68">
        <f>LN(B622)-LN(B621)</f>
        <v>2.2596477016287864E-3</v>
      </c>
      <c r="D622" s="68"/>
      <c r="E622" s="68"/>
      <c r="F622" s="68"/>
      <c r="G622" s="68"/>
      <c r="H622" s="68"/>
      <c r="I622">
        <f>_xlfn.STDEV.S(C602:C622)</f>
        <v>8.0884976196183029E-3</v>
      </c>
      <c r="J622">
        <f>_xlfn.NORM.S.INV(0.99)*I622*SQRT(10)</f>
        <v>5.9503501158660196E-2</v>
      </c>
      <c r="K622">
        <f>LN(B631)-LN(B622)</f>
        <v>3.0174151897501389E-2</v>
      </c>
      <c r="L622">
        <f>IF(K622&lt;-(J622),1,0)</f>
        <v>0</v>
      </c>
      <c r="M622" s="72">
        <f t="shared" si="9"/>
        <v>7.7822875552782098E-2</v>
      </c>
      <c r="N622">
        <f>SQRT((N621^2)*0.72+(1-0.72)*(C621^2))</f>
        <v>1.0580102429004871E-2</v>
      </c>
      <c r="O622">
        <f>_xlfn.NORM.S.INV(0.99)*N622*SQRT(10)</f>
        <v>7.7833136232380265E-2</v>
      </c>
      <c r="P622">
        <f>LN(B631)-LN(B622)</f>
        <v>3.0174151897501389E-2</v>
      </c>
      <c r="Q622">
        <f>IF(P622&lt;-(O622),1,0)</f>
        <v>0</v>
      </c>
    </row>
    <row r="623" spans="1:17">
      <c r="A623" s="64">
        <v>42195</v>
      </c>
      <c r="B623">
        <v>2076.6201169999999</v>
      </c>
      <c r="C623" s="68">
        <f>LN(B623)-LN(B622)</f>
        <v>1.2262986096672535E-2</v>
      </c>
      <c r="D623" s="68"/>
      <c r="E623" s="68"/>
      <c r="F623" s="68"/>
      <c r="G623" s="68"/>
      <c r="H623" s="68"/>
      <c r="I623">
        <f>_xlfn.STDEV.S(C603:C623)</f>
        <v>8.1115623306737949E-3</v>
      </c>
      <c r="J623">
        <f>_xlfn.NORM.S.INV(0.99)*I623*SQRT(10)</f>
        <v>5.9673178041260232E-2</v>
      </c>
      <c r="K623">
        <f>LN(B632)-LN(B623)</f>
        <v>1.2218955588521929E-2</v>
      </c>
      <c r="L623">
        <f>IF(K623&lt;-(J623),1,0)</f>
        <v>0</v>
      </c>
      <c r="M623" s="72">
        <f t="shared" si="9"/>
        <v>6.6595324944299331E-2</v>
      </c>
      <c r="N623">
        <f>SQRT((N622^2)*0.72+(1-0.72)*(C622^2))</f>
        <v>9.056790308926357E-3</v>
      </c>
      <c r="O623">
        <f>_xlfn.NORM.S.INV(0.99)*N623*SQRT(10)</f>
        <v>6.6626802403185123E-2</v>
      </c>
      <c r="P623">
        <f>LN(B632)-LN(B623)</f>
        <v>1.2218955588521929E-2</v>
      </c>
      <c r="Q623">
        <f>IF(P623&lt;-(O623),1,0)</f>
        <v>0</v>
      </c>
    </row>
    <row r="624" spans="1:17">
      <c r="A624" s="64">
        <v>42198</v>
      </c>
      <c r="B624">
        <v>2099.6000979999999</v>
      </c>
      <c r="C624" s="68">
        <f>LN(B624)-LN(B623)</f>
        <v>1.1005268761367759E-2</v>
      </c>
      <c r="D624" s="68"/>
      <c r="E624" s="68"/>
      <c r="F624" s="68"/>
      <c r="G624" s="68"/>
      <c r="H624" s="68"/>
      <c r="I624">
        <f>_xlfn.STDEV.S(C604:C624)</f>
        <v>8.4912367649377773E-3</v>
      </c>
      <c r="J624">
        <f>_xlfn.NORM.S.INV(0.99)*I624*SQRT(10)</f>
        <v>6.246627500457573E-2</v>
      </c>
      <c r="K624">
        <f>LN(B633)-LN(B624)</f>
        <v>-9.5473338712768197E-3</v>
      </c>
      <c r="L624">
        <f>IF(K624&lt;-(J624),1,0)</f>
        <v>0</v>
      </c>
      <c r="M624" s="72">
        <f t="shared" si="9"/>
        <v>7.397200300973808E-2</v>
      </c>
      <c r="N624">
        <f>SQRT((N623^2)*0.72+(1-0.72)*(C623^2))</f>
        <v>1.0058079157866695E-2</v>
      </c>
      <c r="O624">
        <f>_xlfn.NORM.S.INV(0.99)*N624*SQRT(10)</f>
        <v>7.3992841806913914E-2</v>
      </c>
      <c r="P624">
        <f>LN(B633)-LN(B624)</f>
        <v>-9.5473338712768197E-3</v>
      </c>
      <c r="Q624">
        <f>IF(P624&lt;-(O624),1,0)</f>
        <v>0</v>
      </c>
    </row>
    <row r="625" spans="1:17">
      <c r="A625" s="64">
        <v>42199</v>
      </c>
      <c r="B625">
        <v>2108.9499510000001</v>
      </c>
      <c r="C625" s="68">
        <f>LN(B625)-LN(B624)</f>
        <v>4.4432729912813329E-3</v>
      </c>
      <c r="D625" s="68"/>
      <c r="E625" s="68"/>
      <c r="F625" s="68"/>
      <c r="G625" s="68"/>
      <c r="H625" s="68"/>
      <c r="I625">
        <f>_xlfn.STDEV.S(C605:C625)</f>
        <v>8.3995470039250567E-3</v>
      </c>
      <c r="J625">
        <f>_xlfn.NORM.S.INV(0.99)*I625*SQRT(10)</f>
        <v>6.1791753967761091E-2</v>
      </c>
      <c r="K625">
        <f>LN(B634)-LN(B625)</f>
        <v>-1.9782361558292827E-2</v>
      </c>
      <c r="L625">
        <f>IF(K625&lt;-(J625),1,0)</f>
        <v>0</v>
      </c>
      <c r="M625" s="72">
        <f t="shared" si="9"/>
        <v>7.5986824735374034E-2</v>
      </c>
      <c r="N625">
        <f>SQRT((N624^2)*0.72+(1-0.72)*(C624^2))</f>
        <v>1.0332048776106282E-2</v>
      </c>
      <c r="O625">
        <f>_xlfn.NORM.S.INV(0.99)*N625*SQRT(10)</f>
        <v>7.6008315169583479E-2</v>
      </c>
      <c r="P625">
        <f>LN(B634)-LN(B625)</f>
        <v>-1.9782361558292827E-2</v>
      </c>
      <c r="Q625">
        <f>IF(P625&lt;-(O625),1,0)</f>
        <v>0</v>
      </c>
    </row>
    <row r="626" spans="1:17">
      <c r="A626" s="64">
        <v>42200</v>
      </c>
      <c r="B626">
        <v>2107.3999020000001</v>
      </c>
      <c r="C626" s="68">
        <f>LN(B626)-LN(B625)</f>
        <v>-7.3525638235505397E-4</v>
      </c>
      <c r="D626" s="68"/>
      <c r="E626" s="68"/>
      <c r="F626" s="68"/>
      <c r="G626" s="68"/>
      <c r="H626" s="68"/>
      <c r="I626">
        <f>_xlfn.STDEV.S(C606:C626)</f>
        <v>8.3269921446655851E-3</v>
      </c>
      <c r="J626">
        <f>_xlfn.NORM.S.INV(0.99)*I626*SQRT(10)</f>
        <v>6.1257999943831964E-2</v>
      </c>
      <c r="K626">
        <f>LN(B635)-LN(B626)</f>
        <v>-6.7370315780852508E-3</v>
      </c>
      <c r="L626">
        <f>IF(K626&lt;-(J626),1,0)</f>
        <v>0</v>
      </c>
      <c r="M626" s="72">
        <f t="shared" si="9"/>
        <v>6.6753194802845875E-2</v>
      </c>
      <c r="N626">
        <f>SQRT((N625^2)*0.72+(1-0.72)*(C625^2))</f>
        <v>9.0768296195058301E-3</v>
      </c>
      <c r="O626">
        <f>_xlfn.NORM.S.INV(0.99)*N626*SQRT(10)</f>
        <v>6.6774222751976753E-2</v>
      </c>
      <c r="P626">
        <f>LN(B635)-LN(B626)</f>
        <v>-6.7370315780852508E-3</v>
      </c>
      <c r="Q626">
        <f>IF(P626&lt;-(O626),1,0)</f>
        <v>0</v>
      </c>
    </row>
    <row r="627" spans="1:17">
      <c r="A627" s="64">
        <v>42201</v>
      </c>
      <c r="B627">
        <v>2124.290039</v>
      </c>
      <c r="C627" s="68">
        <f>LN(B627)-LN(B626)</f>
        <v>7.9827335781690323E-3</v>
      </c>
      <c r="D627" s="68"/>
      <c r="E627" s="68"/>
      <c r="F627" s="68"/>
      <c r="G627" s="68"/>
      <c r="H627" s="68"/>
      <c r="I627">
        <f>_xlfn.STDEV.S(C607:C627)</f>
        <v>8.4132183221004523E-3</v>
      </c>
      <c r="J627">
        <f>_xlfn.NORM.S.INV(0.99)*I627*SQRT(10)</f>
        <v>6.1892327811649848E-2</v>
      </c>
      <c r="K627">
        <f>LN(B636)-LN(B627)</f>
        <v>-7.4276223993061663E-3</v>
      </c>
      <c r="L627">
        <f>IF(K627&lt;-(J627),1,0)</f>
        <v>0</v>
      </c>
      <c r="M627" s="72">
        <f t="shared" si="9"/>
        <v>5.6708202686243998E-2</v>
      </c>
      <c r="N627">
        <f>SQRT((N626^2)*0.72+(1-0.72)*(C626^2))</f>
        <v>7.7117657137188676E-3</v>
      </c>
      <c r="O627">
        <f>_xlfn.NORM.S.INV(0.99)*N627*SQRT(10)</f>
        <v>5.6732051075665778E-2</v>
      </c>
      <c r="P627">
        <f>LN(B636)-LN(B627)</f>
        <v>-7.4276223993061663E-3</v>
      </c>
      <c r="Q627">
        <f>IF(P627&lt;-(O627),1,0)</f>
        <v>0</v>
      </c>
    </row>
    <row r="628" spans="1:17">
      <c r="A628" s="64">
        <v>42202</v>
      </c>
      <c r="B628">
        <v>2126.639893</v>
      </c>
      <c r="C628" s="68">
        <f>LN(B628)-LN(B627)</f>
        <v>1.105571852249021E-3</v>
      </c>
      <c r="D628" s="68"/>
      <c r="E628" s="68"/>
      <c r="F628" s="68"/>
      <c r="G628" s="68"/>
      <c r="H628" s="68"/>
      <c r="I628">
        <f>_xlfn.STDEV.S(C608:C628)</f>
        <v>8.4083938633790472E-3</v>
      </c>
      <c r="J628">
        <f>_xlfn.NORM.S.INV(0.99)*I628*SQRT(10)</f>
        <v>6.1856836401672451E-2</v>
      </c>
      <c r="K628">
        <f>LN(B637)-LN(B628)</f>
        <v>-8.5048270881769028E-3</v>
      </c>
      <c r="L628">
        <f>IF(K628&lt;-(J628),1,0)</f>
        <v>0</v>
      </c>
      <c r="M628" s="72">
        <f t="shared" si="9"/>
        <v>5.7279465887573669E-2</v>
      </c>
      <c r="N628">
        <f>SQRT((N627^2)*0.72+(1-0.72)*(C627^2))</f>
        <v>7.7885870227645511E-3</v>
      </c>
      <c r="O628">
        <f>_xlfn.NORM.S.INV(0.99)*N628*SQRT(10)</f>
        <v>5.7297191484525202E-2</v>
      </c>
      <c r="P628">
        <f>LN(B637)-LN(B628)</f>
        <v>-8.5048270881769028E-3</v>
      </c>
      <c r="Q628">
        <f>IF(P628&lt;-(O628),1,0)</f>
        <v>0</v>
      </c>
    </row>
    <row r="629" spans="1:17">
      <c r="A629" s="64">
        <v>42205</v>
      </c>
      <c r="B629">
        <v>2128.280029</v>
      </c>
      <c r="C629" s="68">
        <f>LN(B629)-LN(B628)</f>
        <v>7.7093628613500442E-4</v>
      </c>
      <c r="D629" s="68"/>
      <c r="E629" s="68"/>
      <c r="F629" s="68"/>
      <c r="G629" s="68"/>
      <c r="H629" s="68"/>
      <c r="I629">
        <f>_xlfn.STDEV.S(C609:C629)</f>
        <v>8.1372896424752386E-3</v>
      </c>
      <c r="J629">
        <f>_xlfn.NORM.S.INV(0.99)*I629*SQRT(10)</f>
        <v>5.9862442500444014E-2</v>
      </c>
      <c r="K629">
        <f>LN(B638)-LN(B629)</f>
        <v>-1.1549867212296228E-2</v>
      </c>
      <c r="L629">
        <f>IF(K629&lt;-(J629),1,0)</f>
        <v>0</v>
      </c>
      <c r="M629" s="72">
        <f t="shared" si="9"/>
        <v>4.8772267395362903E-2</v>
      </c>
      <c r="N629">
        <f>SQRT((N628^2)*0.72+(1-0.72)*(C628^2))</f>
        <v>6.634677398169626E-3</v>
      </c>
      <c r="O629">
        <f>_xlfn.NORM.S.INV(0.99)*N629*SQRT(10)</f>
        <v>4.880838850614052E-2</v>
      </c>
      <c r="P629">
        <f>LN(B638)-LN(B629)</f>
        <v>-1.1549867212296228E-2</v>
      </c>
      <c r="Q629">
        <f>IF(P629&lt;-(O629),1,0)</f>
        <v>0</v>
      </c>
    </row>
    <row r="630" spans="1:17">
      <c r="A630" s="64">
        <v>42206</v>
      </c>
      <c r="B630">
        <v>2119.209961</v>
      </c>
      <c r="C630" s="68">
        <f>LN(B630)-LN(B629)</f>
        <v>-4.2707960737402573E-3</v>
      </c>
      <c r="D630" s="68"/>
      <c r="E630" s="68"/>
      <c r="F630" s="68"/>
      <c r="G630" s="68"/>
      <c r="H630" s="68"/>
      <c r="I630">
        <f>_xlfn.STDEV.S(C610:C630)</f>
        <v>8.105213783257811E-3</v>
      </c>
      <c r="J630">
        <f>_xlfn.NORM.S.INV(0.99)*I630*SQRT(10)</f>
        <v>5.9626474584538361E-2</v>
      </c>
      <c r="K630">
        <f>LN(B639)-LN(B630)</f>
        <v>-1.0039765165238634E-2</v>
      </c>
      <c r="L630">
        <f>IF(K630&lt;-(J630),1,0)</f>
        <v>0</v>
      </c>
      <c r="M630" s="72">
        <f t="shared" si="9"/>
        <v>4.1486072083314049E-2</v>
      </c>
      <c r="N630">
        <f>SQRT((N629^2)*0.72+(1-0.72)*(C629^2))</f>
        <v>5.6444712577921746E-3</v>
      </c>
      <c r="O630">
        <f>_xlfn.NORM.S.INV(0.99)*N630*SQRT(10)</f>
        <v>4.1523879689774869E-2</v>
      </c>
      <c r="P630">
        <f>LN(B639)-LN(B630)</f>
        <v>-1.0039765165238634E-2</v>
      </c>
      <c r="Q630">
        <f>IF(P630&lt;-(O630),1,0)</f>
        <v>0</v>
      </c>
    </row>
    <row r="631" spans="1:17">
      <c r="A631" s="64">
        <v>42207</v>
      </c>
      <c r="B631">
        <v>2114.1499020000001</v>
      </c>
      <c r="C631" s="68">
        <f>LN(B631)-LN(B630)</f>
        <v>-2.3905652122779841E-3</v>
      </c>
      <c r="D631" s="68"/>
      <c r="E631" s="68"/>
      <c r="F631" s="68"/>
      <c r="G631" s="68"/>
      <c r="H631" s="68"/>
      <c r="I631">
        <f>_xlfn.STDEV.S(C611:C631)</f>
        <v>8.0086968954431546E-3</v>
      </c>
      <c r="J631">
        <f>_xlfn.NORM.S.INV(0.99)*I631*SQRT(10)</f>
        <v>5.8916442509857392E-2</v>
      </c>
      <c r="K631">
        <f>LN(B640)-LN(B631)</f>
        <v>-9.9014392617808866E-3</v>
      </c>
      <c r="L631">
        <f>IF(K631&lt;-(J631),1,0)</f>
        <v>0</v>
      </c>
      <c r="M631" s="72">
        <f t="shared" si="9"/>
        <v>3.8920371100106065E-2</v>
      </c>
      <c r="N631">
        <f>SQRT((N630^2)*0.72+(1-0.72)*(C630^2))</f>
        <v>5.2958810325198277E-3</v>
      </c>
      <c r="O631">
        <f>_xlfn.NORM.S.INV(0.99)*N631*SQRT(10)</f>
        <v>3.8959455510050679E-2</v>
      </c>
      <c r="P631">
        <f>LN(B640)-LN(B631)</f>
        <v>-9.9014392617808866E-3</v>
      </c>
      <c r="Q631">
        <f>IF(P631&lt;-(O631),1,0)</f>
        <v>0</v>
      </c>
    </row>
    <row r="632" spans="1:17">
      <c r="A632" s="64">
        <v>42208</v>
      </c>
      <c r="B632">
        <v>2102.1499020000001</v>
      </c>
      <c r="C632" s="68">
        <f>LN(B632)-LN(B631)</f>
        <v>-5.6922102123069251E-3</v>
      </c>
      <c r="D632" s="68"/>
      <c r="E632" s="68"/>
      <c r="F632" s="68"/>
      <c r="G632" s="68"/>
      <c r="H632" s="68"/>
      <c r="I632">
        <f>_xlfn.STDEV.S(C612:C632)</f>
        <v>8.0944424528109783E-3</v>
      </c>
      <c r="J632">
        <f>_xlfn.NORM.S.INV(0.99)*I632*SQRT(10)</f>
        <v>5.9547234668318454E-2</v>
      </c>
      <c r="K632">
        <f>LN(B641)-LN(B632)</f>
        <v>-1.0993906402188003E-3</v>
      </c>
      <c r="L632">
        <f>IF(K632&lt;-(J632),1,0)</f>
        <v>0</v>
      </c>
      <c r="M632" s="72">
        <f t="shared" si="9"/>
        <v>3.4310962659857711E-2</v>
      </c>
      <c r="N632">
        <f>SQRT((N631^2)*0.72+(1-0.72)*(C631^2))</f>
        <v>4.6683531170207543E-3</v>
      </c>
      <c r="O632">
        <f>_xlfn.NORM.S.INV(0.99)*N632*SQRT(10)</f>
        <v>3.4343010058373237E-2</v>
      </c>
      <c r="P632">
        <f>LN(B641)-LN(B632)</f>
        <v>-1.0993906402188003E-3</v>
      </c>
      <c r="Q632">
        <f>IF(P632&lt;-(O632),1,0)</f>
        <v>0</v>
      </c>
    </row>
    <row r="633" spans="1:17">
      <c r="A633" s="64">
        <v>42209</v>
      </c>
      <c r="B633">
        <v>2079.6499020000001</v>
      </c>
      <c r="C633" s="68">
        <f>LN(B633)-LN(B632)</f>
        <v>-1.076102069843099E-2</v>
      </c>
      <c r="D633" s="68"/>
      <c r="E633" s="68"/>
      <c r="F633" s="68"/>
      <c r="G633" s="68"/>
      <c r="H633" s="68"/>
      <c r="I633">
        <f>_xlfn.STDEV.S(C613:C633)</f>
        <v>8.2698988837533668E-3</v>
      </c>
      <c r="J633">
        <f>_xlfn.NORM.S.INV(0.99)*I633*SQRT(10)</f>
        <v>6.0837990063554323E-2</v>
      </c>
      <c r="K633">
        <f>LN(B642)-LN(B633)</f>
        <v>1.8784342785416186E-3</v>
      </c>
      <c r="L633">
        <f>IF(K633&lt;-(J633),1,0)</f>
        <v>0</v>
      </c>
      <c r="M633" s="72">
        <f t="shared" si="9"/>
        <v>3.6571074485520202E-2</v>
      </c>
      <c r="N633">
        <f>SQRT((N632^2)*0.72+(1-0.72)*(C632^2))</f>
        <v>4.9763125889003071E-3</v>
      </c>
      <c r="O633">
        <f>_xlfn.NORM.S.INV(0.99)*N633*SQRT(10)</f>
        <v>3.6608531747760853E-2</v>
      </c>
      <c r="P633">
        <f>LN(B642)-LN(B633)</f>
        <v>1.8784342785416186E-3</v>
      </c>
      <c r="Q633">
        <f>IF(P633&lt;-(O633),1,0)</f>
        <v>0</v>
      </c>
    </row>
    <row r="634" spans="1:17">
      <c r="A634" s="64">
        <v>42212</v>
      </c>
      <c r="B634">
        <v>2067.639893</v>
      </c>
      <c r="C634" s="68">
        <f>LN(B634)-LN(B633)</f>
        <v>-5.7917546957346744E-3</v>
      </c>
      <c r="D634" s="68"/>
      <c r="E634" s="68"/>
      <c r="F634" s="68"/>
      <c r="G634" s="68"/>
      <c r="H634" s="68"/>
      <c r="I634">
        <f>_xlfn.STDEV.S(C614:C634)</f>
        <v>8.3319304750869381E-3</v>
      </c>
      <c r="J634">
        <f>_xlfn.NORM.S.INV(0.99)*I634*SQRT(10)</f>
        <v>6.1294329057564545E-2</v>
      </c>
      <c r="K634">
        <f>LN(B643)-LN(B634)</f>
        <v>4.7911657499817295E-3</v>
      </c>
      <c r="L634">
        <f>IF(K634&lt;-(J634),1,0)</f>
        <v>0</v>
      </c>
      <c r="M634" s="72">
        <f t="shared" si="9"/>
        <v>5.2129809368052921E-2</v>
      </c>
      <c r="N634">
        <f>SQRT((N633^2)*0.72+(1-0.72)*(C633^2))</f>
        <v>7.0889867569025105E-3</v>
      </c>
      <c r="O634">
        <f>_xlfn.NORM.S.INV(0.99)*N634*SQRT(10)</f>
        <v>5.2150541613558768E-2</v>
      </c>
      <c r="P634">
        <f>LN(B643)-LN(B634)</f>
        <v>4.7911657499817295E-3</v>
      </c>
      <c r="Q634">
        <f>IF(P634&lt;-(O634),1,0)</f>
        <v>0</v>
      </c>
    </row>
    <row r="635" spans="1:17">
      <c r="A635" s="64">
        <v>42213</v>
      </c>
      <c r="B635">
        <v>2093.25</v>
      </c>
      <c r="C635" s="68">
        <f>LN(B635)-LN(B634)</f>
        <v>1.2310073597852522E-2</v>
      </c>
      <c r="D635" s="68"/>
      <c r="E635" s="68"/>
      <c r="F635" s="68"/>
      <c r="G635" s="68"/>
      <c r="H635" s="68"/>
      <c r="I635">
        <f>_xlfn.STDEV.S(C615:C635)</f>
        <v>8.809766544969292E-3</v>
      </c>
      <c r="J635">
        <f>_xlfn.NORM.S.INV(0.99)*I635*SQRT(10)</f>
        <v>6.480955777802945E-2</v>
      </c>
      <c r="K635">
        <f>LN(B644)-LN(B635)</f>
        <v>5.2079281279233669E-3</v>
      </c>
      <c r="L635">
        <f>IF(K635&lt;-(J635),1,0)</f>
        <v>0</v>
      </c>
      <c r="M635" s="72">
        <f t="shared" si="9"/>
        <v>4.9647939224442154E-2</v>
      </c>
      <c r="N635">
        <f>SQRT((N634^2)*0.72+(1-0.72)*(C634^2))</f>
        <v>6.7509352107708977E-3</v>
      </c>
      <c r="O635">
        <f>_xlfn.NORM.S.INV(0.99)*N635*SQRT(10)</f>
        <v>4.9663645837247895E-2</v>
      </c>
      <c r="P635">
        <f>LN(B644)-LN(B635)</f>
        <v>5.2079281279233669E-3</v>
      </c>
      <c r="Q635">
        <f>IF(P635&lt;-(O635),1,0)</f>
        <v>0</v>
      </c>
    </row>
    <row r="636" spans="1:17">
      <c r="A636" s="64">
        <v>42214</v>
      </c>
      <c r="B636">
        <v>2108.570068</v>
      </c>
      <c r="C636" s="68">
        <f>LN(B636)-LN(B635)</f>
        <v>7.2921427569481168E-3</v>
      </c>
      <c r="D636" s="68"/>
      <c r="E636" s="68"/>
      <c r="F636" s="68"/>
      <c r="G636" s="68"/>
      <c r="H636" s="68"/>
      <c r="I636">
        <f>_xlfn.STDEV.S(C616:C636)</f>
        <v>7.5266929294796909E-3</v>
      </c>
      <c r="J636">
        <f>_xlfn.NORM.S.INV(0.99)*I636*SQRT(10)</f>
        <v>5.5370552420501179E-2</v>
      </c>
      <c r="K636">
        <f>LN(B645)-LN(B636)</f>
        <v>-1.1687279652436544E-2</v>
      </c>
      <c r="L636">
        <f>IF(K636&lt;-(J636),1,0)</f>
        <v>0</v>
      </c>
      <c r="M636" s="72">
        <f t="shared" si="9"/>
        <v>6.3730654563638911E-2</v>
      </c>
      <c r="N636">
        <f>SQRT((N635^2)*0.72+(1-0.72)*(C635^2))</f>
        <v>8.6743706534878791E-3</v>
      </c>
      <c r="O636">
        <f>_xlfn.NORM.S.INV(0.99)*N636*SQRT(10)</f>
        <v>6.3813510061318579E-2</v>
      </c>
      <c r="P636">
        <f>LN(B645)-LN(B636)</f>
        <v>-1.1687279652436544E-2</v>
      </c>
      <c r="Q636">
        <f>IF(P636&lt;-(O636),1,0)</f>
        <v>0</v>
      </c>
    </row>
    <row r="637" spans="1:17">
      <c r="A637" s="64">
        <v>42215</v>
      </c>
      <c r="B637">
        <v>2108.6298830000001</v>
      </c>
      <c r="C637" s="68">
        <f>LN(B637)-LN(B636)</f>
        <v>2.8367163378284488E-5</v>
      </c>
      <c r="D637" s="68"/>
      <c r="E637" s="68"/>
      <c r="F637" s="68"/>
      <c r="G637" s="68"/>
      <c r="H637" s="68"/>
      <c r="I637">
        <f>_xlfn.STDEV.S(C617:C637)</f>
        <v>7.5225058861299E-3</v>
      </c>
      <c r="J637">
        <f>_xlfn.NORM.S.INV(0.99)*I637*SQRT(10)</f>
        <v>5.5339750193618982E-2</v>
      </c>
      <c r="K637">
        <f>LN(B646)-LN(B637)</f>
        <v>-1.0766042922768726E-2</v>
      </c>
      <c r="L637">
        <f>IF(K637&lt;-(J637),1,0)</f>
        <v>0</v>
      </c>
      <c r="M637" s="72">
        <f t="shared" si="9"/>
        <v>6.1073577307574747E-2</v>
      </c>
      <c r="N637">
        <f>SQRT((N636^2)*0.72+(1-0.72)*(C636^2))</f>
        <v>8.3105526510037289E-3</v>
      </c>
      <c r="O637">
        <f>_xlfn.NORM.S.INV(0.99)*N637*SQRT(10)</f>
        <v>6.1137061856666876E-2</v>
      </c>
      <c r="P637">
        <f>LN(B646)-LN(B637)</f>
        <v>-1.0766042922768726E-2</v>
      </c>
      <c r="Q637">
        <f>IF(P637&lt;-(O637),1,0)</f>
        <v>0</v>
      </c>
    </row>
    <row r="638" spans="1:17">
      <c r="A638" s="64">
        <v>42216</v>
      </c>
      <c r="B638">
        <v>2103.8400879999999</v>
      </c>
      <c r="C638" s="68">
        <f>LN(B638)-LN(B637)</f>
        <v>-2.2741038379843204E-3</v>
      </c>
      <c r="D638" s="68"/>
      <c r="E638" s="68"/>
      <c r="F638" s="68"/>
      <c r="G638" s="68"/>
      <c r="H638" s="68"/>
      <c r="I638">
        <f>_xlfn.STDEV.S(C618:C638)</f>
        <v>7.4304477729984419E-3</v>
      </c>
      <c r="J638">
        <f>_xlfn.NORM.S.INV(0.99)*I638*SQRT(10)</f>
        <v>5.4662519353110894E-2</v>
      </c>
      <c r="K638">
        <f>LN(B647)-LN(B638)</f>
        <v>-9.7679648330641911E-3</v>
      </c>
      <c r="L638">
        <f>IF(K638&lt;-(J638),1,0)</f>
        <v>0</v>
      </c>
      <c r="M638" s="72">
        <f t="shared" si="9"/>
        <v>5.1812974539711704E-2</v>
      </c>
      <c r="N638">
        <f>SQRT((N637^2)*0.72+(1-0.72)*(C637^2))</f>
        <v>7.0517537377409855E-3</v>
      </c>
      <c r="O638">
        <f>_xlfn.NORM.S.INV(0.99)*N638*SQRT(10)</f>
        <v>5.1876634751863632E-2</v>
      </c>
      <c r="P638">
        <f>LN(B647)-LN(B638)</f>
        <v>-9.7679648330641911E-3</v>
      </c>
      <c r="Q638">
        <f>IF(P638&lt;-(O638),1,0)</f>
        <v>0</v>
      </c>
    </row>
    <row r="639" spans="1:17">
      <c r="A639" s="64">
        <v>42219</v>
      </c>
      <c r="B639">
        <v>2098.040039</v>
      </c>
      <c r="C639" s="68">
        <f>LN(B639)-LN(B638)</f>
        <v>-2.7606940266826641E-3</v>
      </c>
      <c r="D639" s="68"/>
      <c r="E639" s="68"/>
      <c r="F639" s="68"/>
      <c r="G639" s="68"/>
      <c r="H639" s="68"/>
      <c r="I639">
        <f>_xlfn.STDEV.S(C619:C639)</f>
        <v>7.4646603686698253E-3</v>
      </c>
      <c r="J639">
        <f>_xlfn.NORM.S.INV(0.99)*I639*SQRT(10)</f>
        <v>5.4914206294482459E-2</v>
      </c>
      <c r="K639">
        <f>LN(B648)-LN(B639)</f>
        <v>-3.1029387643988215E-3</v>
      </c>
      <c r="L639">
        <f>IF(K639&lt;-(J639),1,0)</f>
        <v>0</v>
      </c>
      <c r="M639" s="72">
        <f t="shared" si="9"/>
        <v>4.4847126411328153E-2</v>
      </c>
      <c r="N639">
        <f>SQRT((N638^2)*0.72+(1-0.72)*(C638^2))</f>
        <v>6.1034121337525176E-3</v>
      </c>
      <c r="O639">
        <f>_xlfn.NORM.S.INV(0.99)*N639*SQRT(10)</f>
        <v>4.4900104821896686E-2</v>
      </c>
      <c r="P639">
        <f>LN(B648)-LN(B639)</f>
        <v>-3.1029387643988215E-3</v>
      </c>
      <c r="Q639">
        <f>IF(P639&lt;-(O639),1,0)</f>
        <v>0</v>
      </c>
    </row>
    <row r="640" spans="1:17">
      <c r="A640" s="64">
        <v>42220</v>
      </c>
      <c r="B640">
        <v>2093.320068</v>
      </c>
      <c r="C640" s="68">
        <f>LN(B640)-LN(B639)</f>
        <v>-2.2522393088202364E-3</v>
      </c>
      <c r="D640" s="68"/>
      <c r="E640" s="68"/>
      <c r="F640" s="68"/>
      <c r="G640" s="68"/>
      <c r="H640" s="68"/>
      <c r="I640">
        <f>_xlfn.STDEV.S(C620:C640)</f>
        <v>7.4257380947270486E-3</v>
      </c>
      <c r="J640">
        <f>_xlfn.NORM.S.INV(0.99)*I640*SQRT(10)</f>
        <v>5.4627872332161154E-2</v>
      </c>
      <c r="K640">
        <f>LN(B649)-LN(B640)</f>
        <v>4.3471920904787353E-3</v>
      </c>
      <c r="L640">
        <f>IF(K640&lt;-(J640),1,0)</f>
        <v>0</v>
      </c>
      <c r="M640" s="72">
        <f t="shared" si="9"/>
        <v>3.9538367499924183E-2</v>
      </c>
      <c r="N640">
        <f>SQRT((N639^2)*0.72+(1-0.72)*(C639^2))</f>
        <v>5.3810018944527556E-3</v>
      </c>
      <c r="O640">
        <f>_xlfn.NORM.S.INV(0.99)*N640*SQRT(10)</f>
        <v>3.9585652060367668E-2</v>
      </c>
      <c r="P640">
        <f>LN(B649)-LN(B640)</f>
        <v>4.3471920904787353E-3</v>
      </c>
      <c r="Q640">
        <f>IF(P640&lt;-(O640),1,0)</f>
        <v>0</v>
      </c>
    </row>
    <row r="641" spans="1:17">
      <c r="A641" s="64">
        <v>42221</v>
      </c>
      <c r="B641">
        <v>2099.8400879999999</v>
      </c>
      <c r="C641" s="68">
        <f>LN(B641)-LN(B640)</f>
        <v>3.1098384092551612E-3</v>
      </c>
      <c r="D641" s="68"/>
      <c r="E641" s="68"/>
      <c r="F641" s="68"/>
      <c r="G641" s="68"/>
      <c r="H641" s="68"/>
      <c r="I641">
        <f>_xlfn.STDEV.S(C621:C641)</f>
        <v>7.3438813210340761E-3</v>
      </c>
      <c r="J641">
        <f>_xlfn.NORM.S.INV(0.99)*I641*SQRT(10)</f>
        <v>5.4025688236010824E-2</v>
      </c>
      <c r="K641">
        <f>LN(B650)-LN(B641)</f>
        <v>-1.3916290015698607E-3</v>
      </c>
      <c r="L641">
        <f>IF(K641&lt;-(J641),1,0)</f>
        <v>0</v>
      </c>
      <c r="M641" s="72">
        <f t="shared" si="9"/>
        <v>3.4664810795380932E-2</v>
      </c>
      <c r="N641">
        <f>SQRT((N640^2)*0.72+(1-0.72)*(C640^2))</f>
        <v>4.7189038486294254E-3</v>
      </c>
      <c r="O641">
        <f>_xlfn.NORM.S.INV(0.99)*N641*SQRT(10)</f>
        <v>3.4714889442939302E-2</v>
      </c>
      <c r="P641">
        <f>LN(B650)-LN(B641)</f>
        <v>-1.3916290015698607E-3</v>
      </c>
      <c r="Q641">
        <f>IF(P641&lt;-(O641),1,0)</f>
        <v>0</v>
      </c>
    </row>
    <row r="642" spans="1:17">
      <c r="A642" s="64">
        <v>42222</v>
      </c>
      <c r="B642">
        <v>2083.5600589999999</v>
      </c>
      <c r="C642" s="68">
        <f>LN(B642)-LN(B641)</f>
        <v>-7.7831957796705709E-3</v>
      </c>
      <c r="D642" s="68"/>
      <c r="E642" s="68"/>
      <c r="F642" s="68"/>
      <c r="G642" s="68"/>
      <c r="H642" s="68"/>
      <c r="I642">
        <f>_xlfn.STDEV.S(C622:C642)</f>
        <v>6.5029513085205042E-3</v>
      </c>
      <c r="J642">
        <f>_xlfn.NORM.S.INV(0.99)*I642*SQRT(10)</f>
        <v>4.783933789913395E-2</v>
      </c>
      <c r="K642">
        <f>LN(B651)-LN(B642)</f>
        <v>-1.8975698939707186E-3</v>
      </c>
      <c r="L642">
        <f>IF(K642&lt;-(J642),1,0)</f>
        <v>0</v>
      </c>
      <c r="M642" s="72">
        <f t="shared" si="9"/>
        <v>3.1713508270380893E-2</v>
      </c>
      <c r="N642">
        <f>SQRT((N641^2)*0.72+(1-0.72)*(C641^2))</f>
        <v>4.3290767057594321E-3</v>
      </c>
      <c r="O642">
        <f>_xlfn.NORM.S.INV(0.99)*N642*SQRT(10)</f>
        <v>3.1847103490801443E-2</v>
      </c>
      <c r="P642">
        <f>LN(B651)-LN(B642)</f>
        <v>-1.8975698939707186E-3</v>
      </c>
      <c r="Q642">
        <f>IF(P642&lt;-(O642),1,0)</f>
        <v>0</v>
      </c>
    </row>
    <row r="643" spans="1:17">
      <c r="A643" s="64">
        <v>42223</v>
      </c>
      <c r="B643">
        <v>2077.570068</v>
      </c>
      <c r="C643" s="68">
        <f>LN(B643)-LN(B642)</f>
        <v>-2.8790232242945635E-3</v>
      </c>
      <c r="D643" s="68"/>
      <c r="E643" s="68"/>
      <c r="F643" s="68"/>
      <c r="G643" s="68"/>
      <c r="H643" s="68"/>
      <c r="I643">
        <f>_xlfn.STDEV.S(C623:C643)</f>
        <v>6.5438253428338582E-3</v>
      </c>
      <c r="J643">
        <f>_xlfn.NORM.S.INV(0.99)*I643*SQRT(10)</f>
        <v>4.8140030099651475E-2</v>
      </c>
      <c r="K643">
        <f>LN(B652)-LN(B643)</f>
        <v>-2.0344507151221158E-2</v>
      </c>
      <c r="L643">
        <f>IF(K643&lt;-(J643),1,0)</f>
        <v>0</v>
      </c>
      <c r="M643" s="72">
        <f t="shared" si="9"/>
        <v>4.0521451702526239E-2</v>
      </c>
      <c r="N643">
        <f>SQRT((N642^2)*0.72+(1-0.72)*(C642^2))</f>
        <v>5.5186347878838776E-3</v>
      </c>
      <c r="O643">
        <f>_xlfn.NORM.S.INV(0.99)*N643*SQRT(10)</f>
        <v>4.0598156411470507E-2</v>
      </c>
      <c r="P643">
        <f>LN(B652)-LN(B643)</f>
        <v>-2.0344507151221158E-2</v>
      </c>
      <c r="Q643">
        <f>IF(P643&lt;-(O643),1,0)</f>
        <v>0</v>
      </c>
    </row>
    <row r="644" spans="1:17">
      <c r="A644" s="64">
        <v>42226</v>
      </c>
      <c r="B644">
        <v>2104.179932</v>
      </c>
      <c r="C644" s="68">
        <f>LN(B644)-LN(B643)</f>
        <v>1.272683597579416E-2</v>
      </c>
      <c r="D644" s="68"/>
      <c r="E644" s="68"/>
      <c r="F644" s="68"/>
      <c r="G644" s="68"/>
      <c r="H644" s="68"/>
      <c r="I644">
        <f>_xlfn.STDEV.S(C624:C644)</f>
        <v>6.5857890456478977E-3</v>
      </c>
      <c r="J644">
        <f>_xlfn.NORM.S.INV(0.99)*I644*SQRT(10)</f>
        <v>4.8448738509599021E-2</v>
      </c>
      <c r="K644">
        <f>LN(B653)-LN(B644)</f>
        <v>-6.5440585240254201E-2</v>
      </c>
      <c r="L644" s="86">
        <f>IF(K644&lt;-(J644),1,0)</f>
        <v>1</v>
      </c>
      <c r="M644" s="72">
        <f t="shared" si="9"/>
        <v>3.611979529410083E-2</v>
      </c>
      <c r="N644">
        <f>SQRT((N643^2)*0.72+(1-0.72)*(C643^2))</f>
        <v>4.9242963423374534E-3</v>
      </c>
      <c r="O644">
        <f>_xlfn.NORM.S.INV(0.99)*N644*SQRT(10)</f>
        <v>3.6225871217563654E-2</v>
      </c>
      <c r="P644">
        <f>LN(B653)-LN(B644)</f>
        <v>-6.5440585240254201E-2</v>
      </c>
      <c r="Q644" s="86">
        <f>IF(P644&lt;-(O644),1,0)</f>
        <v>1</v>
      </c>
    </row>
    <row r="645" spans="1:17">
      <c r="A645" s="64">
        <v>42227</v>
      </c>
      <c r="B645">
        <v>2084.070068</v>
      </c>
      <c r="C645" s="68">
        <f>LN(B645)-LN(B644)</f>
        <v>-9.6030650234117942E-3</v>
      </c>
      <c r="D645" s="68"/>
      <c r="E645" s="68"/>
      <c r="F645" s="68"/>
      <c r="G645" s="68"/>
      <c r="H645" s="68"/>
      <c r="I645">
        <f>_xlfn.STDEV.S(C625:C645)</f>
        <v>6.4969526143291911E-3</v>
      </c>
      <c r="J645">
        <f>_xlfn.NORM.S.INV(0.99)*I645*SQRT(10)</f>
        <v>4.779520815792003E-2</v>
      </c>
      <c r="K645">
        <f>LN(B654)-LN(B645)</f>
        <v>-9.6048964708726814E-2</v>
      </c>
      <c r="L645" s="86">
        <f>IF(K645&lt;-(J645),1,0)</f>
        <v>1</v>
      </c>
      <c r="M645" s="72">
        <f t="shared" si="9"/>
        <v>5.8233876624716054E-2</v>
      </c>
      <c r="N645">
        <f>SQRT((N644^2)*0.72+(1-0.72)*(C644^2))</f>
        <v>7.9253592425636427E-3</v>
      </c>
      <c r="O645">
        <f>_xlfn.NORM.S.INV(0.99)*N645*SQRT(10)</f>
        <v>5.8303364240210806E-2</v>
      </c>
      <c r="P645">
        <f>LN(B654)-LN(B645)</f>
        <v>-9.6048964708726814E-2</v>
      </c>
      <c r="Q645" s="86">
        <f>IF(P645&lt;-(O645),1,0)</f>
        <v>1</v>
      </c>
    </row>
    <row r="646" spans="1:17">
      <c r="A646" s="64">
        <v>42228</v>
      </c>
      <c r="B646">
        <v>2086.0500489999999</v>
      </c>
      <c r="C646" s="68">
        <f>LN(B646)-LN(B645)</f>
        <v>9.496038930461026E-4</v>
      </c>
      <c r="D646" s="68"/>
      <c r="E646" s="68"/>
      <c r="F646" s="68"/>
      <c r="G646" s="68"/>
      <c r="H646" s="68"/>
      <c r="I646">
        <f>_xlfn.STDEV.S(C626:C646)</f>
        <v>6.4121582647594334E-3</v>
      </c>
      <c r="J646">
        <f>_xlfn.NORM.S.INV(0.99)*I646*SQRT(10)</f>
        <v>4.7171413614711638E-2</v>
      </c>
      <c r="K646">
        <f>LN(B655)-LN(B646)</f>
        <v>-0.11061281856568339</v>
      </c>
      <c r="L646" s="86">
        <f>IF(K646&lt;-(J646),1,0)</f>
        <v>1</v>
      </c>
      <c r="M646" s="72">
        <f t="shared" si="9"/>
        <v>6.1956870856600996E-2</v>
      </c>
      <c r="N646">
        <f>SQRT((N645^2)*0.72+(1-0.72)*(C645^2))</f>
        <v>8.4288451145658767E-3</v>
      </c>
      <c r="O646">
        <f>_xlfn.NORM.S.INV(0.99)*N646*SQRT(10)</f>
        <v>6.2007287215398346E-2</v>
      </c>
      <c r="P646">
        <f>LN(B655)-LN(B646)</f>
        <v>-0.11061281856568339</v>
      </c>
      <c r="Q646" s="86">
        <f>IF(P646&lt;-(O646),1,0)</f>
        <v>1</v>
      </c>
    </row>
    <row r="647" spans="1:17">
      <c r="A647" s="64">
        <v>42229</v>
      </c>
      <c r="B647">
        <v>2083.389893</v>
      </c>
      <c r="C647" s="68">
        <f>LN(B647)-LN(B646)</f>
        <v>-1.2760257482797854E-3</v>
      </c>
      <c r="D647" s="68"/>
      <c r="E647" s="68"/>
      <c r="F647" s="68"/>
      <c r="G647" s="68"/>
      <c r="H647" s="68"/>
      <c r="I647">
        <f>_xlfn.STDEV.S(C627:C647)</f>
        <v>6.4141519267278783E-3</v>
      </c>
      <c r="J647">
        <f>_xlfn.NORM.S.INV(0.99)*I647*SQRT(10)</f>
        <v>4.7186080104439178E-2</v>
      </c>
      <c r="K647">
        <f>LN(B656)-LN(B647)</f>
        <v>-7.1045493073849997E-2</v>
      </c>
      <c r="L647" s="86">
        <f>IF(K647&lt;-(J647),1,0)</f>
        <v>1</v>
      </c>
      <c r="M647" s="72">
        <f t="shared" si="9"/>
        <v>5.2701838128159532E-2</v>
      </c>
      <c r="N647">
        <f>SQRT((N646^2)*0.72+(1-0.72)*(C646^2))</f>
        <v>7.1697418984283025E-3</v>
      </c>
      <c r="O647">
        <f>_xlfn.NORM.S.INV(0.99)*N647*SQRT(10)</f>
        <v>5.2744621488873662E-2</v>
      </c>
      <c r="P647">
        <f>LN(B656)-LN(B647)</f>
        <v>-7.1045493073849997E-2</v>
      </c>
      <c r="Q647" s="86">
        <f>IF(P647&lt;-(O647),1,0)</f>
        <v>1</v>
      </c>
    </row>
    <row r="648" spans="1:17">
      <c r="A648" s="64">
        <v>42230</v>
      </c>
      <c r="B648">
        <v>2091.540039</v>
      </c>
      <c r="C648" s="68">
        <f>LN(B648)-LN(B647)</f>
        <v>3.9043320419827054E-3</v>
      </c>
      <c r="D648" s="68"/>
      <c r="E648" s="68"/>
      <c r="F648" s="68"/>
      <c r="G648" s="68"/>
      <c r="H648" s="68"/>
      <c r="I648">
        <f>_xlfn.STDEV.S(C628:C648)</f>
        <v>6.2012251650757381E-3</v>
      </c>
      <c r="J648">
        <f>_xlfn.NORM.S.INV(0.99)*I648*SQRT(10)</f>
        <v>4.5619672051360492E-2</v>
      </c>
      <c r="K648">
        <f>LN(B657)-LN(B648)</f>
        <v>-5.0942570837324119E-2</v>
      </c>
      <c r="L648" s="86">
        <f>IF(K648&lt;-(J648),1,0)</f>
        <v>1</v>
      </c>
      <c r="M648" s="72">
        <f t="shared" si="9"/>
        <v>4.4978973192605326E-2</v>
      </c>
      <c r="N648">
        <f>SQRT((N647^2)*0.72+(1-0.72)*(C647^2))</f>
        <v>6.1210824924789898E-3</v>
      </c>
      <c r="O648">
        <f>_xlfn.NORM.S.INV(0.99)*N648*SQRT(10)</f>
        <v>4.5030097839191312E-2</v>
      </c>
      <c r="P648">
        <f>LN(B657)-LN(B648)</f>
        <v>-5.0942570837324119E-2</v>
      </c>
      <c r="Q648" s="86">
        <f>IF(P648&lt;-(O648),1,0)</f>
        <v>1</v>
      </c>
    </row>
    <row r="649" spans="1:17">
      <c r="A649" s="64">
        <v>42233</v>
      </c>
      <c r="B649">
        <v>2102.4399410000001</v>
      </c>
      <c r="C649" s="68">
        <f>LN(B649)-LN(B648)</f>
        <v>5.1978915460573205E-3</v>
      </c>
      <c r="D649" s="68"/>
      <c r="E649" s="68"/>
      <c r="F649" s="68"/>
      <c r="G649" s="68"/>
      <c r="H649" s="68"/>
      <c r="I649">
        <f>_xlfn.STDEV.S(C629:C649)</f>
        <v>6.3251784128309004E-3</v>
      </c>
      <c r="J649">
        <f>_xlfn.NORM.S.INV(0.99)*I649*SQRT(10)</f>
        <v>4.6531541296834414E-2</v>
      </c>
      <c r="K649">
        <f>LN(B658)-LN(B649)</f>
        <v>-5.553191119502543E-2</v>
      </c>
      <c r="L649" s="86">
        <f>IF(K649&lt;-(J649),1,0)</f>
        <v>1</v>
      </c>
      <c r="M649" s="72">
        <f t="shared" si="9"/>
        <v>4.1080480682291733E-2</v>
      </c>
      <c r="N649">
        <f>SQRT((N648^2)*0.72+(1-0.72)*(C648^2))</f>
        <v>5.5897204820762204E-3</v>
      </c>
      <c r="O649">
        <f>_xlfn.NORM.S.INV(0.99)*N649*SQRT(10)</f>
        <v>4.1121102437501215E-2</v>
      </c>
      <c r="P649">
        <f>LN(B658)-LN(B649)</f>
        <v>-5.553191119502543E-2</v>
      </c>
      <c r="Q649" s="86">
        <f>IF(P649&lt;-(O649),1,0)</f>
        <v>1</v>
      </c>
    </row>
    <row r="650" spans="1:17">
      <c r="A650" s="64">
        <v>42234</v>
      </c>
      <c r="B650">
        <v>2096.919922</v>
      </c>
      <c r="C650" s="68">
        <f>LN(B650)-LN(B649)</f>
        <v>-2.6289826827934348E-3</v>
      </c>
      <c r="D650" s="68"/>
      <c r="E650" s="68"/>
      <c r="F650" s="68"/>
      <c r="G650" s="68"/>
      <c r="H650" s="68"/>
      <c r="I650">
        <f>_xlfn.STDEV.S(C630:C650)</f>
        <v>6.333318998737009E-3</v>
      </c>
      <c r="J650">
        <f>_xlfn.NORM.S.INV(0.99)*I650*SQRT(10)</f>
        <v>4.659142798848917E-2</v>
      </c>
      <c r="K650">
        <f>LN(B659)-LN(B650)</f>
        <v>-6.1330006970724327E-2</v>
      </c>
      <c r="L650" s="86">
        <f>IF(K650&lt;-(J650),1,0)</f>
        <v>1</v>
      </c>
      <c r="M650" s="72">
        <f t="shared" si="9"/>
        <v>4.0304798190416033E-2</v>
      </c>
      <c r="N650">
        <f>SQRT((N649^2)*0.72+(1-0.72)*(C649^2))</f>
        <v>5.4828317022917366E-3</v>
      </c>
      <c r="O650">
        <f>_xlfn.NORM.S.INV(0.99)*N650*SQRT(10)</f>
        <v>4.0334768938888661E-2</v>
      </c>
      <c r="P650">
        <f>LN(B659)-LN(B650)</f>
        <v>-6.1330006970724327E-2</v>
      </c>
      <c r="Q650" s="86">
        <f>IF(P650&lt;-(O650),1,0)</f>
        <v>1</v>
      </c>
    </row>
    <row r="651" spans="1:17">
      <c r="A651" s="64">
        <v>42235</v>
      </c>
      <c r="B651">
        <v>2079.610107</v>
      </c>
      <c r="C651" s="68">
        <f>LN(B651)-LN(B650)</f>
        <v>-8.2891366720714288E-3</v>
      </c>
      <c r="D651" s="68"/>
      <c r="E651" s="68"/>
      <c r="F651" s="68"/>
      <c r="G651" s="68"/>
      <c r="H651" s="68"/>
      <c r="I651">
        <f>_xlfn.STDEV.S(C631:C651)</f>
        <v>6.5047627129975437E-3</v>
      </c>
      <c r="J651">
        <f>_xlfn.NORM.S.INV(0.99)*I651*SQRT(10)</f>
        <v>4.7852663601071099E-2</v>
      </c>
      <c r="K651">
        <f>LN(B660)-LN(B651)</f>
        <v>-8.30635200713008E-2</v>
      </c>
      <c r="L651" s="86">
        <f>IF(K651&lt;-(J651),1,0)</f>
        <v>1</v>
      </c>
      <c r="M651" s="72">
        <f t="shared" si="9"/>
        <v>3.5692697737074751E-2</v>
      </c>
      <c r="N651">
        <f>SQRT((N650^2)*0.72+(1-0.72)*(C650^2))</f>
        <v>4.8558699825542685E-3</v>
      </c>
      <c r="O651">
        <f>_xlfn.NORM.S.INV(0.99)*N651*SQRT(10)</f>
        <v>3.5722488739120921E-2</v>
      </c>
      <c r="P651">
        <f>LN(B660)-LN(B651)</f>
        <v>-8.30635200713008E-2</v>
      </c>
      <c r="Q651" s="86">
        <f>IF(P651&lt;-(O651),1,0)</f>
        <v>1</v>
      </c>
    </row>
    <row r="652" spans="1:17">
      <c r="A652" s="64">
        <v>42236</v>
      </c>
      <c r="B652">
        <v>2035.7299800000001</v>
      </c>
      <c r="C652" s="68">
        <f>LN(B652)-LN(B651)</f>
        <v>-2.1325960481545003E-2</v>
      </c>
      <c r="D652" s="68"/>
      <c r="E652" s="68"/>
      <c r="F652" s="68"/>
      <c r="G652" s="68"/>
      <c r="H652" s="68"/>
      <c r="I652">
        <f>_xlfn.STDEV.S(C632:C652)</f>
        <v>7.8874264265149374E-3</v>
      </c>
      <c r="J652">
        <f>_xlfn.NORM.S.INV(0.99)*I652*SQRT(10)</f>
        <v>5.8024309282188595E-2</v>
      </c>
      <c r="K652">
        <f>LN(B661)-LN(B652)</f>
        <v>-4.3609888563285182E-2</v>
      </c>
      <c r="L652">
        <f>IF(K652&lt;-(J652),1,0)</f>
        <v>0</v>
      </c>
      <c r="M652" s="72">
        <f t="shared" si="9"/>
        <v>4.4252868552544976E-2</v>
      </c>
      <c r="N652">
        <f>SQRT((N651^2)*0.72+(1-0.72)*(C651^2))</f>
        <v>6.0179698455623534E-3</v>
      </c>
      <c r="O652">
        <f>_xlfn.NORM.S.INV(0.99)*N652*SQRT(10)</f>
        <v>4.4271543680703948E-2</v>
      </c>
      <c r="P652">
        <f>LN(B661)-LN(B652)</f>
        <v>-4.3609888563285182E-2</v>
      </c>
      <c r="Q652">
        <f>IF(P652&lt;-(O652),1,0)</f>
        <v>0</v>
      </c>
    </row>
    <row r="653" spans="1:17">
      <c r="A653" s="64">
        <v>42237</v>
      </c>
      <c r="B653">
        <v>1970.8900149999999</v>
      </c>
      <c r="C653" s="68">
        <f>LN(B653)-LN(B652)</f>
        <v>-3.2369242113238883E-2</v>
      </c>
      <c r="D653" s="68"/>
      <c r="E653" s="68"/>
      <c r="F653" s="68"/>
      <c r="G653" s="68"/>
      <c r="H653" s="68"/>
      <c r="I653">
        <f>_xlfn.STDEV.S(C633:C653)</f>
        <v>1.0319095558363052E-2</v>
      </c>
      <c r="J653">
        <f>_xlfn.NORM.S.INV(0.99)*I653*SQRT(10)</f>
        <v>7.5913024073110499E-2</v>
      </c>
      <c r="K653">
        <f>LN(B662)-LN(B653)</f>
        <v>-1.0076530510172432E-2</v>
      </c>
      <c r="L653">
        <f>IF(K653&lt;-(J653),1,0)</f>
        <v>0</v>
      </c>
      <c r="M653" s="72">
        <f t="shared" si="9"/>
        <v>9.1109663381569436E-2</v>
      </c>
      <c r="N653">
        <f>SQRT((N652^2)*0.72+(1-0.72)*(C652^2))</f>
        <v>1.2386223689794553E-2</v>
      </c>
      <c r="O653">
        <f>_xlfn.NORM.S.INV(0.99)*N653*SQRT(10)</f>
        <v>9.1119971883220366E-2</v>
      </c>
      <c r="P653">
        <f>LN(B662)-LN(B653)</f>
        <v>-1.0076530510172432E-2</v>
      </c>
      <c r="Q653">
        <f>IF(P653&lt;-(O653),1,0)</f>
        <v>0</v>
      </c>
    </row>
    <row r="654" spans="1:17">
      <c r="A654" s="64">
        <v>42240</v>
      </c>
      <c r="B654">
        <v>1893.209961</v>
      </c>
      <c r="C654" s="68">
        <f>LN(B654)-LN(B653)</f>
        <v>-4.0211444491884407E-2</v>
      </c>
      <c r="D654" s="68"/>
      <c r="E654" s="68"/>
      <c r="F654" s="68"/>
      <c r="G654" s="68"/>
      <c r="H654" s="68"/>
      <c r="I654">
        <f>_xlfn.STDEV.S(C634:C654)</f>
        <v>1.3055063048560097E-2</v>
      </c>
      <c r="J654">
        <f>_xlfn.NORM.S.INV(0.99)*I654*SQRT(10)</f>
        <v>9.604032735971009E-2</v>
      </c>
      <c r="K654">
        <f>LN(B663)-LN(B654)</f>
        <v>1.4686605321898583E-2</v>
      </c>
      <c r="L654">
        <f>IF(K654&lt;-(J654),1,0)</f>
        <v>0</v>
      </c>
      <c r="M654" s="72">
        <f t="shared" si="9"/>
        <v>0.14782213738539279</v>
      </c>
      <c r="N654">
        <f>SQRT((N653^2)*0.72+(1-0.72)*(C653^2))</f>
        <v>2.0095679651291862E-2</v>
      </c>
      <c r="O654">
        <f>_xlfn.NORM.S.INV(0.99)*N654*SQRT(10)</f>
        <v>0.14783503113290619</v>
      </c>
      <c r="P654">
        <f>LN(B663)-LN(B654)</f>
        <v>1.4686605321898583E-2</v>
      </c>
      <c r="Q654">
        <f>IF(P654&lt;-(O654),1,0)</f>
        <v>0</v>
      </c>
    </row>
    <row r="655" spans="1:17">
      <c r="A655" s="64">
        <v>42241</v>
      </c>
      <c r="B655">
        <v>1867.6099850000001</v>
      </c>
      <c r="C655" s="68">
        <f>LN(B655)-LN(B654)</f>
        <v>-1.3614249963910474E-2</v>
      </c>
      <c r="D655" s="68"/>
      <c r="E655" s="68"/>
      <c r="F655" s="68"/>
      <c r="G655" s="68"/>
      <c r="H655" s="68"/>
      <c r="I655">
        <f>_xlfn.STDEV.S(C635:C655)</f>
        <v>1.3205317603434704E-2</v>
      </c>
      <c r="J655">
        <f>_xlfn.NORM.S.INV(0.99)*I655*SQRT(10)</f>
        <v>9.7145683694165819E-2</v>
      </c>
      <c r="K655">
        <f>LN(B664)-LN(B655)</f>
        <v>5.3074492237084492E-2</v>
      </c>
      <c r="L655">
        <f>IF(K655&lt;-(J655),1,0)</f>
        <v>0</v>
      </c>
      <c r="M655" s="72">
        <f t="shared" si="9"/>
        <v>0.20058558115082614</v>
      </c>
      <c r="N655">
        <f>SQRT((N654^2)*0.72+(1-0.72)*(C654^2))</f>
        <v>2.726739885542406E-2</v>
      </c>
      <c r="O655">
        <f>_xlfn.NORM.S.INV(0.99)*N655*SQRT(10)</f>
        <v>0.20059419878570001</v>
      </c>
      <c r="P655">
        <f>LN(B664)-LN(B655)</f>
        <v>5.3074492237084492E-2</v>
      </c>
      <c r="Q655">
        <f>IF(P655&lt;-(O655),1,0)</f>
        <v>0</v>
      </c>
    </row>
    <row r="656" spans="1:17">
      <c r="A656" s="64">
        <v>42242</v>
      </c>
      <c r="B656">
        <v>1940.51001</v>
      </c>
      <c r="C656" s="68">
        <f>LN(B656)-LN(B655)</f>
        <v>3.8291299743553608E-2</v>
      </c>
      <c r="D656" s="68"/>
      <c r="E656" s="68"/>
      <c r="F656" s="68"/>
      <c r="G656" s="68"/>
      <c r="H656" s="68"/>
      <c r="I656">
        <f>_xlfn.STDEV.S(C636:C656)</f>
        <v>1.5846002920693388E-2</v>
      </c>
      <c r="J656">
        <f>_xlfn.NORM.S.INV(0.99)*I656*SQRT(10)</f>
        <v>0.11657203815757654</v>
      </c>
      <c r="K656">
        <f>LN(B665)-LN(B656)</f>
        <v>7.8815678350263596E-4</v>
      </c>
      <c r="L656">
        <f>IF(K656&lt;-(J656),1,0)</f>
        <v>0</v>
      </c>
      <c r="M656" s="72">
        <f t="shared" si="9"/>
        <v>0.17825349153265871</v>
      </c>
      <c r="N656">
        <f>SQRT((N655^2)*0.72+(1-0.72)*(C655^2))</f>
        <v>2.4232732690056165E-2</v>
      </c>
      <c r="O656">
        <f>_xlfn.NORM.S.INV(0.99)*N656*SQRT(10)</f>
        <v>0.17826950139701034</v>
      </c>
      <c r="P656">
        <f>LN(B665)-LN(B656)</f>
        <v>7.8815678350263596E-4</v>
      </c>
      <c r="Q656">
        <f>IF(P656&lt;-(O656),1,0)</f>
        <v>0</v>
      </c>
    </row>
    <row r="657" spans="1:17">
      <c r="A657" s="64">
        <v>42243</v>
      </c>
      <c r="B657">
        <v>1987.660034</v>
      </c>
      <c r="C657" s="68">
        <f>LN(B657)-LN(B656)</f>
        <v>2.4007254278508583E-2</v>
      </c>
      <c r="D657" s="68"/>
      <c r="E657" s="68"/>
      <c r="F657" s="68"/>
      <c r="G657" s="68"/>
      <c r="H657" s="68"/>
      <c r="I657">
        <f>_xlfn.STDEV.S(C637:C657)</f>
        <v>1.6811304674239802E-2</v>
      </c>
      <c r="J657">
        <f>_xlfn.NORM.S.INV(0.99)*I657*SQRT(10)</f>
        <v>0.12367333640996032</v>
      </c>
      <c r="K657">
        <f>LN(B666)-LN(B657)</f>
        <v>-1.7955022049901181E-2</v>
      </c>
      <c r="L657">
        <f>IF(K657&lt;-(J657),1,0)</f>
        <v>0</v>
      </c>
      <c r="M657" s="72">
        <f t="shared" si="9"/>
        <v>0.21235466759548247</v>
      </c>
      <c r="N657">
        <f>SQRT((N656^2)*0.72+(1-0.72)*(C656^2))</f>
        <v>2.8867713077175741E-2</v>
      </c>
      <c r="O657">
        <f>_xlfn.NORM.S.INV(0.99)*N657*SQRT(10)</f>
        <v>0.21236700303518871</v>
      </c>
      <c r="P657">
        <f>LN(B666)-LN(B657)</f>
        <v>-1.7955022049901181E-2</v>
      </c>
      <c r="Q657">
        <f>IF(P657&lt;-(O657),1,0)</f>
        <v>0</v>
      </c>
    </row>
    <row r="658" spans="1:17">
      <c r="A658" s="64">
        <v>42244</v>
      </c>
      <c r="B658">
        <v>1988.869995</v>
      </c>
      <c r="C658" s="68">
        <f>LN(B658)-LN(B657)</f>
        <v>6.0855118835601019E-4</v>
      </c>
      <c r="D658" s="68"/>
      <c r="E658" s="68"/>
      <c r="F658" s="68"/>
      <c r="G658" s="68"/>
      <c r="H658" s="68"/>
      <c r="I658">
        <f>_xlfn.STDEV.S(C638:C658)</f>
        <v>1.6816681820886505E-2</v>
      </c>
      <c r="J658">
        <f>_xlfn.NORM.S.INV(0.99)*I658*SQRT(10)</f>
        <v>0.12371289370066735</v>
      </c>
      <c r="K658">
        <f>LN(B667)-LN(B658)</f>
        <v>-1.4086566673613632E-2</v>
      </c>
      <c r="L658">
        <f>IF(K658&lt;-(J658),1,0)</f>
        <v>0</v>
      </c>
      <c r="M658" s="72">
        <f t="shared" si="9"/>
        <v>0.20298183187762209</v>
      </c>
      <c r="N658">
        <f>SQRT((N657^2)*0.72+(1-0.72)*(C657^2))</f>
        <v>2.7593220366938946E-2</v>
      </c>
      <c r="O658">
        <f>_xlfn.NORM.S.INV(0.99)*N658*SQRT(10)</f>
        <v>0.20299112360408891</v>
      </c>
      <c r="P658">
        <f>LN(B667)-LN(B658)</f>
        <v>-1.4086566673613632E-2</v>
      </c>
      <c r="Q658">
        <f>IF(P658&lt;-(O658),1,0)</f>
        <v>0</v>
      </c>
    </row>
    <row r="659" spans="1:17">
      <c r="A659" s="64">
        <v>42247</v>
      </c>
      <c r="B659">
        <v>1972.1800539999999</v>
      </c>
      <c r="C659" s="68">
        <f>LN(B659)-LN(B658)</f>
        <v>-8.4270784584923319E-3</v>
      </c>
      <c r="D659" s="68"/>
      <c r="E659" s="68"/>
      <c r="F659" s="68"/>
      <c r="G659" s="68"/>
      <c r="H659" s="68"/>
      <c r="I659">
        <f>_xlfn.STDEV.S(C639:C659)</f>
        <v>1.6860890739227755E-2</v>
      </c>
      <c r="J659">
        <f>_xlfn.NORM.S.INV(0.99)*I659*SQRT(10)</f>
        <v>0.12403811916866543</v>
      </c>
      <c r="K659">
        <f>LN(B668)-LN(B659)</f>
        <v>-9.7575296778167342E-3</v>
      </c>
      <c r="L659">
        <f>IF(K659&lt;-(J659),1,0)</f>
        <v>0</v>
      </c>
      <c r="M659" s="72">
        <f t="shared" si="9"/>
        <v>0.17225176713140417</v>
      </c>
      <c r="N659">
        <f>SQRT((N658^2)*0.72+(1-0.72)*(C658^2))</f>
        <v>2.3415838166313093E-2</v>
      </c>
      <c r="O659">
        <f>_xlfn.NORM.S.INV(0.99)*N659*SQRT(10)</f>
        <v>0.1722599695252135</v>
      </c>
      <c r="P659">
        <f>LN(B668)-LN(B659)</f>
        <v>-9.7575296778167342E-3</v>
      </c>
      <c r="Q659">
        <f>IF(P659&lt;-(O659),1,0)</f>
        <v>0</v>
      </c>
    </row>
    <row r="660" spans="1:17">
      <c r="A660" s="64">
        <v>42248</v>
      </c>
      <c r="B660">
        <v>1913.849976</v>
      </c>
      <c r="C660" s="68">
        <f>LN(B660)-LN(B659)</f>
        <v>-3.0022649772647902E-2</v>
      </c>
      <c r="D660" s="68"/>
      <c r="E660" s="68"/>
      <c r="F660" s="68"/>
      <c r="G660" s="68"/>
      <c r="H660" s="68"/>
      <c r="I660">
        <f>_xlfn.STDEV.S(C640:C660)</f>
        <v>1.7855460644321346E-2</v>
      </c>
      <c r="J660">
        <f>_xlfn.NORM.S.INV(0.99)*I660*SQRT(10)</f>
        <v>0.13135473027287911</v>
      </c>
      <c r="K660">
        <f>LN(B669)-LN(B660)</f>
        <v>3.3014807969109938E-2</v>
      </c>
      <c r="L660">
        <f>IF(K660&lt;-(J660),1,0)</f>
        <v>0</v>
      </c>
      <c r="M660" s="72">
        <f t="shared" si="9"/>
        <v>0.14979600536657872</v>
      </c>
      <c r="N660">
        <f>SQRT((N659^2)*0.72+(1-0.72)*(C659^2))</f>
        <v>2.0363237606998028E-2</v>
      </c>
      <c r="O660">
        <f>_xlfn.NORM.S.INV(0.99)*N660*SQRT(10)</f>
        <v>0.14980333672883733</v>
      </c>
      <c r="P660">
        <f>LN(B669)-LN(B660)</f>
        <v>3.3014807969109938E-2</v>
      </c>
      <c r="Q660">
        <f>IF(P660&lt;-(O660),1,0)</f>
        <v>0</v>
      </c>
    </row>
    <row r="661" spans="1:17">
      <c r="A661" s="64">
        <v>42249</v>
      </c>
      <c r="B661">
        <v>1948.8599850000001</v>
      </c>
      <c r="C661" s="68">
        <f>LN(B661)-LN(B660)</f>
        <v>1.8127671026470615E-2</v>
      </c>
      <c r="D661" s="68"/>
      <c r="E661" s="68"/>
      <c r="F661" s="68"/>
      <c r="G661" s="68"/>
      <c r="H661" s="68"/>
      <c r="I661">
        <f>_xlfn.STDEV.S(C641:C661)</f>
        <v>1.8518177744023621E-2</v>
      </c>
      <c r="J661">
        <f>_xlfn.NORM.S.INV(0.99)*I661*SQRT(10)</f>
        <v>0.13623004699601848</v>
      </c>
      <c r="K661">
        <f>LN(B670)-LN(B661)</f>
        <v>2.3554877770778582E-2</v>
      </c>
      <c r="L661">
        <f>IF(K661&lt;-(J661),1,0)</f>
        <v>0</v>
      </c>
      <c r="M661" s="72">
        <f t="shared" si="9"/>
        <v>0.1726685676458419</v>
      </c>
      <c r="N661">
        <f>SQRT((N660^2)*0.72+(1-0.72)*(C660^2))</f>
        <v>2.3472045092578178E-2</v>
      </c>
      <c r="O661">
        <f>_xlfn.NORM.S.INV(0.99)*N661*SQRT(10)</f>
        <v>0.1726734590333302</v>
      </c>
      <c r="P661">
        <f>LN(B670)-LN(B661)</f>
        <v>2.3554877770778582E-2</v>
      </c>
      <c r="Q661">
        <f>IF(P661&lt;-(O661),1,0)</f>
        <v>0</v>
      </c>
    </row>
    <row r="662" spans="1:17">
      <c r="A662" s="64">
        <v>42250</v>
      </c>
      <c r="B662">
        <v>1951.130005</v>
      </c>
      <c r="C662" s="68">
        <f>LN(B662)-LN(B661)</f>
        <v>1.1641159398738665E-3</v>
      </c>
      <c r="D662" s="68"/>
      <c r="E662" s="68"/>
      <c r="F662" s="68"/>
      <c r="G662" s="68"/>
      <c r="H662" s="68"/>
      <c r="I662">
        <f>_xlfn.STDEV.S(C642:C662)</f>
        <v>1.8488795570689096E-2</v>
      </c>
      <c r="J662">
        <f>_xlfn.NORM.S.INV(0.99)*I662*SQRT(10)</f>
        <v>0.13601389533630676</v>
      </c>
      <c r="K662">
        <f>LN(B671)-LN(B662)</f>
        <v>1.9826417098381732E-2</v>
      </c>
      <c r="L662">
        <f>IF(K662&lt;-(J662),1,0)</f>
        <v>0</v>
      </c>
      <c r="M662" s="72">
        <f t="shared" si="9"/>
        <v>0.16262149869304734</v>
      </c>
      <c r="N662">
        <f>SQRT((N661^2)*0.72+(1-0.72)*(C661^2))</f>
        <v>2.2106244740174225E-2</v>
      </c>
      <c r="O662">
        <f>_xlfn.NORM.S.INV(0.99)*N662*SQRT(10)</f>
        <v>0.16262586964483233</v>
      </c>
      <c r="P662">
        <f>LN(B671)-LN(B662)</f>
        <v>1.9826417098381732E-2</v>
      </c>
      <c r="Q662">
        <f>IF(P662&lt;-(O662),1,0)</f>
        <v>0</v>
      </c>
    </row>
    <row r="663" spans="1:17">
      <c r="A663" s="64">
        <v>42251</v>
      </c>
      <c r="B663">
        <v>1921.219971</v>
      </c>
      <c r="C663" s="68">
        <f>LN(B663)-LN(B662)</f>
        <v>-1.5448308659813392E-2</v>
      </c>
      <c r="D663" s="68"/>
      <c r="E663" s="68"/>
      <c r="F663" s="68"/>
      <c r="G663" s="68"/>
      <c r="H663" s="68"/>
      <c r="I663">
        <f>_xlfn.STDEV.S(C643:C663)</f>
        <v>1.8652566064535213E-2</v>
      </c>
      <c r="J663">
        <f>_xlfn.NORM.S.INV(0.99)*I663*SQRT(10)</f>
        <v>0.13721868245853955</v>
      </c>
      <c r="K663">
        <f>LN(B672)-LN(B663)</f>
        <v>1.8978494738552953E-2</v>
      </c>
      <c r="L663">
        <f>IF(K663&lt;-(J663),1,0)</f>
        <v>0</v>
      </c>
      <c r="M663" s="72">
        <f t="shared" si="9"/>
        <v>0.13805864651185631</v>
      </c>
      <c r="N663">
        <f>SQRT((N662^2)*0.72+(1-0.72)*(C662^2))</f>
        <v>1.8767882329847371E-2</v>
      </c>
      <c r="O663">
        <f>_xlfn.NORM.S.INV(0.99)*N663*SQRT(10)</f>
        <v>0.1380670132424878</v>
      </c>
      <c r="P663">
        <f>LN(B672)-LN(B663)</f>
        <v>1.8978494738552953E-2</v>
      </c>
      <c r="Q663">
        <f>IF(P663&lt;-(O663),1,0)</f>
        <v>0</v>
      </c>
    </row>
    <row r="664" spans="1:17">
      <c r="A664" s="64">
        <v>42255</v>
      </c>
      <c r="B664">
        <v>1969.410034</v>
      </c>
      <c r="C664" s="68">
        <f>LN(B664)-LN(B663)</f>
        <v>2.4773636951275435E-2</v>
      </c>
      <c r="D664" s="68"/>
      <c r="E664" s="68"/>
      <c r="F664" s="68"/>
      <c r="G664" s="68"/>
      <c r="H664" s="68"/>
      <c r="I664">
        <f>_xlfn.STDEV.S(C644:C664)</f>
        <v>1.9673619585574408E-2</v>
      </c>
      <c r="J664">
        <f>_xlfn.NORM.S.INV(0.99)*I664*SQRT(10)</f>
        <v>0.14473012181717251</v>
      </c>
      <c r="K664">
        <f>LN(B673)-LN(B664)</f>
        <v>-1.23974987650044E-3</v>
      </c>
      <c r="L664">
        <f>IF(K664&lt;-(J664),1,0)</f>
        <v>0</v>
      </c>
      <c r="M664" s="72">
        <f t="shared" si="9"/>
        <v>0.13167953674292796</v>
      </c>
      <c r="N664">
        <f>SQRT((N663^2)*0.72+(1-0.72)*(C663^2))</f>
        <v>1.7900562015521197E-2</v>
      </c>
      <c r="O664">
        <f>_xlfn.NORM.S.INV(0.99)*N664*SQRT(10)</f>
        <v>0.13168652112201507</v>
      </c>
      <c r="P664">
        <f>LN(B673)-LN(B664)</f>
        <v>-1.23974987650044E-3</v>
      </c>
      <c r="Q664">
        <f>IF(P664&lt;-(O664),1,0)</f>
        <v>0</v>
      </c>
    </row>
    <row r="665" spans="1:17">
      <c r="A665" s="64">
        <v>42256</v>
      </c>
      <c r="B665">
        <v>1942.040039</v>
      </c>
      <c r="C665" s="68">
        <f>LN(B665)-LN(B664)</f>
        <v>-1.3995035710028247E-2</v>
      </c>
      <c r="D665" s="68"/>
      <c r="E665" s="68"/>
      <c r="F665" s="68"/>
      <c r="G665" s="68"/>
      <c r="H665" s="68"/>
      <c r="I665">
        <f>_xlfn.STDEV.S(C645:C665)</f>
        <v>1.949980376581685E-2</v>
      </c>
      <c r="J665">
        <f>_xlfn.NORM.S.INV(0.99)*I665*SQRT(10)</f>
        <v>0.14345143567312868</v>
      </c>
      <c r="K665">
        <f>LN(B674)-LN(B665)</f>
        <v>3.6035554257818347E-4</v>
      </c>
      <c r="L665">
        <f>IF(K665&lt;-(J665),1,0)</f>
        <v>0</v>
      </c>
      <c r="M665" s="72">
        <f t="shared" ref="M665:M728" si="10">EWMAV(B644:B664,0.72,0.99)*SQRT(10)</f>
        <v>0.14758415997315483</v>
      </c>
      <c r="N665">
        <f>SQRT((N664^2)*0.72+(1-0.72)*(C664^2))</f>
        <v>2.0063772110989062E-2</v>
      </c>
      <c r="O665">
        <f>_xlfn.NORM.S.INV(0.99)*N665*SQRT(10)</f>
        <v>0.14760030146484365</v>
      </c>
      <c r="P665">
        <f>LN(B674)-LN(B665)</f>
        <v>3.6035554257818347E-4</v>
      </c>
      <c r="Q665">
        <f>IF(P665&lt;-(O665),1,0)</f>
        <v>0</v>
      </c>
    </row>
    <row r="666" spans="1:17">
      <c r="A666" s="64">
        <v>42257</v>
      </c>
      <c r="B666">
        <v>1952.290039</v>
      </c>
      <c r="C666" s="68">
        <f>LN(B666)-LN(B665)</f>
        <v>5.2640754451047655E-3</v>
      </c>
      <c r="D666" s="68"/>
      <c r="E666" s="68"/>
      <c r="F666" s="68"/>
      <c r="G666" s="68"/>
      <c r="H666" s="68"/>
      <c r="I666">
        <f>_xlfn.STDEV.S(C646:C666)</f>
        <v>1.9549106400446034E-2</v>
      </c>
      <c r="J666">
        <f>_xlfn.NORM.S.INV(0.99)*I666*SQRT(10)</f>
        <v>0.14381413335998552</v>
      </c>
      <c r="K666">
        <f>LN(B675)-LN(B666)</f>
        <v>-6.9544638905894018E-3</v>
      </c>
      <c r="L666">
        <f>IF(K666&lt;-(J666),1,0)</f>
        <v>0</v>
      </c>
      <c r="M666" s="72">
        <f t="shared" si="10"/>
        <v>0.1365590116508798</v>
      </c>
      <c r="N666">
        <f>SQRT((N665^2)*0.72+(1-0.72)*(C665^2))</f>
        <v>1.8565577066674124E-2</v>
      </c>
      <c r="O666">
        <f>_xlfn.NORM.S.INV(0.99)*N666*SQRT(10)</f>
        <v>0.1365787428580798</v>
      </c>
      <c r="P666">
        <f>LN(B675)-LN(B666)</f>
        <v>-6.9544638905894018E-3</v>
      </c>
      <c r="Q666">
        <f>IF(P666&lt;-(O666),1,0)</f>
        <v>0</v>
      </c>
    </row>
    <row r="667" spans="1:17">
      <c r="A667" s="64">
        <v>42258</v>
      </c>
      <c r="B667">
        <v>1961.0500489999999</v>
      </c>
      <c r="C667" s="68">
        <f>LN(B667)-LN(B666)</f>
        <v>4.4770065646435597E-3</v>
      </c>
      <c r="D667" s="68"/>
      <c r="E667" s="68"/>
      <c r="F667" s="68"/>
      <c r="G667" s="68"/>
      <c r="H667" s="68"/>
      <c r="I667">
        <f>_xlfn.STDEV.S(C647:C667)</f>
        <v>1.9600821737218815E-2</v>
      </c>
      <c r="J667">
        <f>_xlfn.NORM.S.INV(0.99)*I667*SQRT(10)</f>
        <v>0.14419458022988579</v>
      </c>
      <c r="K667">
        <f>LN(B676)-LN(B667)</f>
        <v>-1.4800122568725982E-2</v>
      </c>
      <c r="L667">
        <f>IF(K667&lt;-(J667),1,0)</f>
        <v>0</v>
      </c>
      <c r="M667" s="72">
        <f t="shared" si="10"/>
        <v>0.11767203652025313</v>
      </c>
      <c r="N667">
        <f>SQRT((N666^2)*0.72+(1-0.72)*(C666^2))</f>
        <v>1.599778130213984E-2</v>
      </c>
      <c r="O667">
        <f>_xlfn.NORM.S.INV(0.99)*N667*SQRT(10)</f>
        <v>0.11768860461045569</v>
      </c>
      <c r="P667">
        <f>LN(B676)-LN(B667)</f>
        <v>-1.4800122568725982E-2</v>
      </c>
      <c r="Q667">
        <f>IF(P667&lt;-(O667),1,0)</f>
        <v>0</v>
      </c>
    </row>
    <row r="668" spans="1:17">
      <c r="A668" s="64">
        <v>42261</v>
      </c>
      <c r="B668">
        <v>1953.030029</v>
      </c>
      <c r="C668" s="68">
        <f>LN(B668)-LN(B667)</f>
        <v>-4.0980414626954342E-3</v>
      </c>
      <c r="D668" s="68"/>
      <c r="E668" s="68"/>
      <c r="F668" s="68"/>
      <c r="G668" s="68"/>
      <c r="H668" s="68"/>
      <c r="I668">
        <f>_xlfn.STDEV.S(C648:C668)</f>
        <v>1.9598498956519696E-2</v>
      </c>
      <c r="J668">
        <f>_xlfn.NORM.S.INV(0.99)*I668*SQRT(10)</f>
        <v>0.14417749255915618</v>
      </c>
      <c r="K668">
        <f>LN(B677)-LN(B668)</f>
        <v>-1.1167982692916745E-2</v>
      </c>
      <c r="L668">
        <f>IF(K668&lt;-(J668),1,0)</f>
        <v>0</v>
      </c>
      <c r="M668" s="72">
        <f t="shared" si="10"/>
        <v>0.10135739682783355</v>
      </c>
      <c r="N668">
        <f>SQRT((N667^2)*0.72+(1-0.72)*(C667^2))</f>
        <v>1.3779734733439162E-2</v>
      </c>
      <c r="O668">
        <f>_xlfn.NORM.S.INV(0.99)*N668*SQRT(10)</f>
        <v>0.10137141657660777</v>
      </c>
      <c r="P668">
        <f>LN(B677)-LN(B668)</f>
        <v>-1.1167982692916745E-2</v>
      </c>
      <c r="Q668">
        <f>IF(P668&lt;-(O668),1,0)</f>
        <v>0</v>
      </c>
    </row>
    <row r="669" spans="1:17">
      <c r="A669" s="64">
        <v>42262</v>
      </c>
      <c r="B669">
        <v>1978.089966</v>
      </c>
      <c r="C669" s="68">
        <f>LN(B669)-LN(B668)</f>
        <v>1.274968787427877E-2</v>
      </c>
      <c r="D669" s="68"/>
      <c r="E669" s="68"/>
      <c r="F669" s="68"/>
      <c r="G669" s="68"/>
      <c r="H669" s="68"/>
      <c r="I669">
        <f>_xlfn.STDEV.S(C649:C669)</f>
        <v>1.9849483962238457E-2</v>
      </c>
      <c r="J669">
        <f>_xlfn.NORM.S.INV(0.99)*I669*SQRT(10)</f>
        <v>0.14602387828873464</v>
      </c>
      <c r="K669">
        <f>LN(B678)-LN(B669)</f>
        <v>-4.9918881573941754E-2</v>
      </c>
      <c r="L669">
        <f>IF(K669&lt;-(J669),1,0)</f>
        <v>0</v>
      </c>
      <c r="M669" s="72">
        <f t="shared" si="10"/>
        <v>8.7469718900464996E-2</v>
      </c>
      <c r="N669">
        <f>SQRT((N668^2)*0.72+(1-0.72)*(C668^2))</f>
        <v>1.1891874897829845E-2</v>
      </c>
      <c r="O669">
        <f>_xlfn.NORM.S.INV(0.99)*N669*SQRT(10)</f>
        <v>8.7483266366474174E-2</v>
      </c>
      <c r="P669">
        <f>LN(B678)-LN(B669)</f>
        <v>-4.9918881573941754E-2</v>
      </c>
      <c r="Q669">
        <f>IF(P669&lt;-(O669),1,0)</f>
        <v>0</v>
      </c>
    </row>
    <row r="670" spans="1:17">
      <c r="A670" s="64">
        <v>42263</v>
      </c>
      <c r="B670">
        <v>1995.3100589999999</v>
      </c>
      <c r="C670" s="68">
        <f>LN(B670)-LN(B669)</f>
        <v>8.6677408281392587E-3</v>
      </c>
      <c r="D670" s="68"/>
      <c r="E670" s="68"/>
      <c r="F670" s="68"/>
      <c r="G670" s="68"/>
      <c r="H670" s="68"/>
      <c r="I670">
        <f>_xlfn.STDEV.S(C650:C670)</f>
        <v>1.9932395874299735E-2</v>
      </c>
      <c r="J670">
        <f>_xlfn.NORM.S.INV(0.99)*I670*SQRT(10)</f>
        <v>0.14663382457139645</v>
      </c>
      <c r="K670">
        <f>LN(B679)-LN(B670)</f>
        <v>-5.7354528642828306E-2</v>
      </c>
      <c r="L670">
        <f>IF(K670&lt;-(J670),1,0)</f>
        <v>0</v>
      </c>
      <c r="M670" s="72">
        <f t="shared" si="10"/>
        <v>8.9282416045508101E-2</v>
      </c>
      <c r="N670">
        <f>SQRT((N669^2)*0.72+(1-0.72)*(C669^2))</f>
        <v>1.2138174789946237E-2</v>
      </c>
      <c r="O670">
        <f>_xlfn.NORM.S.INV(0.99)*N670*SQRT(10)</f>
        <v>8.9295185786513173E-2</v>
      </c>
      <c r="P670">
        <f>LN(B679)-LN(B670)</f>
        <v>-5.7354528642828306E-2</v>
      </c>
      <c r="Q670">
        <f>IF(P670&lt;-(O670),1,0)</f>
        <v>0</v>
      </c>
    </row>
    <row r="671" spans="1:17">
      <c r="A671" s="64">
        <v>42264</v>
      </c>
      <c r="B671">
        <v>1990.1999510000001</v>
      </c>
      <c r="C671" s="68">
        <f>LN(B671)-LN(B670)</f>
        <v>-2.5643447325229829E-3</v>
      </c>
      <c r="D671" s="68"/>
      <c r="E671" s="68"/>
      <c r="F671" s="68"/>
      <c r="G671" s="68"/>
      <c r="H671" s="68"/>
      <c r="I671">
        <f>_xlfn.STDEV.S(C651:C671)</f>
        <v>1.9932378400175393E-2</v>
      </c>
      <c r="J671">
        <f>_xlfn.NORM.S.INV(0.99)*I671*SQRT(10)</f>
        <v>0.14663369602198875</v>
      </c>
      <c r="K671">
        <f>LN(B680)-LN(B671)</f>
        <v>-3.589428555673102E-2</v>
      </c>
      <c r="L671">
        <f>IF(K671&lt;-(J671),1,0)</f>
        <v>0</v>
      </c>
      <c r="M671" s="72">
        <f t="shared" si="10"/>
        <v>8.2931831942334958E-2</v>
      </c>
      <c r="N671">
        <f>SQRT((N670^2)*0.72+(1-0.72)*(C670^2))</f>
        <v>1.1274649950414781E-2</v>
      </c>
      <c r="O671">
        <f>_xlfn.NORM.S.INV(0.99)*N671*SQRT(10)</f>
        <v>8.294261529617078E-2</v>
      </c>
      <c r="P671">
        <f>LN(B680)-LN(B671)</f>
        <v>-3.589428555673102E-2</v>
      </c>
      <c r="Q671">
        <f>IF(P671&lt;-(O671),1,0)</f>
        <v>0</v>
      </c>
    </row>
    <row r="672" spans="1:17">
      <c r="A672" s="64">
        <v>42265</v>
      </c>
      <c r="B672">
        <v>1958.030029</v>
      </c>
      <c r="C672" s="68">
        <f>LN(B672)-LN(B671)</f>
        <v>-1.6296231019642171E-2</v>
      </c>
      <c r="D672" s="68"/>
      <c r="E672" s="68"/>
      <c r="F672" s="68"/>
      <c r="G672" s="68"/>
      <c r="H672" s="68"/>
      <c r="I672">
        <f>_xlfn.STDEV.S(C652:C672)</f>
        <v>2.0124568983235121E-2</v>
      </c>
      <c r="J672">
        <f>_xlfn.NORM.S.INV(0.99)*I672*SQRT(10)</f>
        <v>0.14804755717638171</v>
      </c>
      <c r="K672">
        <f>LN(B681)-LN(B672)</f>
        <v>-1.7626115854386448E-2</v>
      </c>
      <c r="L672">
        <f>IF(K672&lt;-(J672),1,0)</f>
        <v>0</v>
      </c>
      <c r="M672" s="72">
        <f t="shared" si="10"/>
        <v>7.1064214354839672E-2</v>
      </c>
      <c r="N672">
        <f>SQRT((N671^2)*0.72+(1-0.72)*(C671^2))</f>
        <v>9.6626087873400174E-3</v>
      </c>
      <c r="O672">
        <f>_xlfn.NORM.S.INV(0.99)*N672*SQRT(10)</f>
        <v>7.1083541123709848E-2</v>
      </c>
      <c r="P672">
        <f>LN(B681)-LN(B672)</f>
        <v>-1.7626115854386448E-2</v>
      </c>
      <c r="Q672">
        <f>IF(P672&lt;-(O672),1,0)</f>
        <v>0</v>
      </c>
    </row>
    <row r="673" spans="1:17">
      <c r="A673" s="64">
        <v>42268</v>
      </c>
      <c r="B673">
        <v>1966.969971</v>
      </c>
      <c r="C673" s="68">
        <f>LN(B673)-LN(B672)</f>
        <v>4.5553923362220416E-3</v>
      </c>
      <c r="D673" s="68"/>
      <c r="E673" s="68"/>
      <c r="F673" s="68"/>
      <c r="G673" s="68"/>
      <c r="H673" s="68"/>
      <c r="I673">
        <f>_xlfn.STDEV.S(C653:C673)</f>
        <v>1.9726266780982736E-2</v>
      </c>
      <c r="J673">
        <f>_xlfn.NORM.S.INV(0.99)*I673*SQRT(10)</f>
        <v>0.14511742395909083</v>
      </c>
      <c r="K673">
        <f>LN(B682)-LN(B673)</f>
        <v>-7.9677152041108812E-3</v>
      </c>
      <c r="L673">
        <f>IF(K673&lt;-(J673),1,0)</f>
        <v>0</v>
      </c>
      <c r="M673" s="72">
        <f t="shared" si="10"/>
        <v>8.7467983279091291E-2</v>
      </c>
      <c r="N673">
        <f>SQRT((N672^2)*0.72+(1-0.72)*(C672^2))</f>
        <v>1.1898837207909156E-2</v>
      </c>
      <c r="O673">
        <f>_xlfn.NORM.S.INV(0.99)*N673*SQRT(10)</f>
        <v>8.7534485003772949E-2</v>
      </c>
      <c r="P673">
        <f>LN(B682)-LN(B673)</f>
        <v>-7.9677152041108812E-3</v>
      </c>
      <c r="Q673">
        <f>IF(P673&lt;-(O673),1,0)</f>
        <v>0</v>
      </c>
    </row>
    <row r="674" spans="1:17">
      <c r="A674" s="64">
        <v>42269</v>
      </c>
      <c r="B674">
        <v>1942.73999</v>
      </c>
      <c r="C674" s="68">
        <f>LN(B674)-LN(B673)</f>
        <v>-1.2394930290949624E-2</v>
      </c>
      <c r="D674" s="68"/>
      <c r="E674" s="68"/>
      <c r="F674" s="68"/>
      <c r="G674" s="68"/>
      <c r="H674" s="68"/>
      <c r="I674">
        <f>_xlfn.STDEV.S(C654:C674)</f>
        <v>1.8620880337142626E-2</v>
      </c>
      <c r="J674">
        <f>_xlfn.NORM.S.INV(0.99)*I674*SQRT(10)</f>
        <v>0.1369855845699966</v>
      </c>
      <c r="K674">
        <f>LN(B683)-LN(B674)</f>
        <v>2.2551808872001367E-2</v>
      </c>
      <c r="L674">
        <f>IF(K674&lt;-(J674),1,0)</f>
        <v>0</v>
      </c>
      <c r="M674" s="72">
        <f t="shared" si="10"/>
        <v>7.6162111331393237E-2</v>
      </c>
      <c r="N674">
        <f>SQRT((N673^2)*0.72+(1-0.72)*(C673^2))</f>
        <v>1.0380256412178254E-2</v>
      </c>
      <c r="O674">
        <f>_xlfn.NORM.S.INV(0.99)*N674*SQRT(10)</f>
        <v>7.6362957436140799E-2</v>
      </c>
      <c r="P674">
        <f>LN(B683)-LN(B674)</f>
        <v>2.2551808872001367E-2</v>
      </c>
      <c r="Q674">
        <f>IF(P674&lt;-(O674),1,0)</f>
        <v>0</v>
      </c>
    </row>
    <row r="675" spans="1:17">
      <c r="A675" s="64">
        <v>42270</v>
      </c>
      <c r="B675">
        <v>1938.76001</v>
      </c>
      <c r="C675" s="68">
        <f>LN(B675)-LN(B674)</f>
        <v>-2.0507439880628198E-3</v>
      </c>
      <c r="D675" s="68"/>
      <c r="E675" s="68"/>
      <c r="F675" s="68"/>
      <c r="G675" s="68"/>
      <c r="H675" s="68"/>
      <c r="I675">
        <f>_xlfn.STDEV.S(C655:C675)</f>
        <v>1.6286386374352542E-2</v>
      </c>
      <c r="J675">
        <f>_xlfn.NORM.S.INV(0.99)*I675*SQRT(10)</f>
        <v>0.11981174453784482</v>
      </c>
      <c r="K675">
        <f>LN(B684)-LN(B675)</f>
        <v>2.1007863457043641E-2</v>
      </c>
      <c r="L675">
        <f>IF(K675&lt;-(J675),1,0)</f>
        <v>0</v>
      </c>
      <c r="M675" s="72">
        <f t="shared" si="10"/>
        <v>8.0437573307779023E-2</v>
      </c>
      <c r="N675">
        <f>SQRT((N674^2)*0.72+(1-0.72)*(C674^2))</f>
        <v>1.0981684926656243E-2</v>
      </c>
      <c r="O675">
        <f>_xlfn.NORM.S.INV(0.99)*N675*SQRT(10)</f>
        <v>8.0787401132741785E-2</v>
      </c>
      <c r="P675">
        <f>LN(B684)-LN(B675)</f>
        <v>2.1007863457043641E-2</v>
      </c>
      <c r="Q675">
        <f>IF(P675&lt;-(O675),1,0)</f>
        <v>0</v>
      </c>
    </row>
    <row r="676" spans="1:17">
      <c r="A676" s="64">
        <v>42271</v>
      </c>
      <c r="B676">
        <v>1932.23999</v>
      </c>
      <c r="C676" s="68">
        <f>LN(B676)-LN(B675)</f>
        <v>-3.3686521134930203E-3</v>
      </c>
      <c r="D676" s="68"/>
      <c r="E676" s="68"/>
      <c r="F676" s="68"/>
      <c r="G676" s="68"/>
      <c r="H676" s="68"/>
      <c r="I676">
        <f>_xlfn.STDEV.S(C656:C676)</f>
        <v>1.597299310481223E-2</v>
      </c>
      <c r="J676">
        <f>_xlfn.NORM.S.INV(0.99)*I676*SQRT(10)</f>
        <v>0.1175062488012845</v>
      </c>
      <c r="K676">
        <f>LN(B685)-LN(B676)</f>
        <v>3.2380035373067884E-2</v>
      </c>
      <c r="L676">
        <f>IF(K676&lt;-(J676),1,0)</f>
        <v>0</v>
      </c>
      <c r="M676" s="72">
        <f t="shared" si="10"/>
        <v>6.8690155658798074E-2</v>
      </c>
      <c r="N676">
        <f>SQRT((N675^2)*0.72+(1-0.72)*(C675^2))</f>
        <v>9.3812411230973312E-3</v>
      </c>
      <c r="O676">
        <f>_xlfn.NORM.S.INV(0.99)*N676*SQRT(10)</f>
        <v>6.9013643607183872E-2</v>
      </c>
      <c r="P676">
        <f>LN(B685)-LN(B676)</f>
        <v>3.2380035373067884E-2</v>
      </c>
      <c r="Q676">
        <f>IF(P676&lt;-(O676),1,0)</f>
        <v>0</v>
      </c>
    </row>
    <row r="677" spans="1:17">
      <c r="A677" s="64">
        <v>42272</v>
      </c>
      <c r="B677">
        <v>1931.339966</v>
      </c>
      <c r="C677" s="68">
        <f>LN(B677)-LN(B676)</f>
        <v>-4.6590158688619709E-4</v>
      </c>
      <c r="D677" s="68"/>
      <c r="E677" s="68"/>
      <c r="F677" s="68"/>
      <c r="G677" s="68"/>
      <c r="H677" s="68"/>
      <c r="I677">
        <f>_xlfn.STDEV.S(C657:C677)</f>
        <v>1.3584492841993199E-2</v>
      </c>
      <c r="J677">
        <f>_xlfn.NORM.S.INV(0.99)*I677*SQRT(10)</f>
        <v>9.9935108295364547E-2</v>
      </c>
      <c r="K677">
        <f>LN(B686)-LN(B677)</f>
        <v>4.1625717275480589E-2</v>
      </c>
      <c r="L677">
        <f>IF(K677&lt;-(J677),1,0)</f>
        <v>0</v>
      </c>
      <c r="M677" s="72">
        <f t="shared" si="10"/>
        <v>5.9481233400614314E-2</v>
      </c>
      <c r="N677">
        <f>SQRT((N676^2)*0.72+(1-0.72)*(C676^2))</f>
        <v>8.1573845063393977E-3</v>
      </c>
      <c r="O677">
        <f>_xlfn.NORM.S.INV(0.99)*N677*SQRT(10)</f>
        <v>6.0010271530191638E-2</v>
      </c>
      <c r="P677">
        <f>LN(B686)-LN(B677)</f>
        <v>4.1625717275480589E-2</v>
      </c>
      <c r="Q677">
        <f>IF(P677&lt;-(O677),1,0)</f>
        <v>0</v>
      </c>
    </row>
    <row r="678" spans="1:17">
      <c r="A678" s="64">
        <v>42275</v>
      </c>
      <c r="B678">
        <v>1881.7700199999999</v>
      </c>
      <c r="C678" s="68">
        <f>LN(B678)-LN(B677)</f>
        <v>-2.6001211006746239E-2</v>
      </c>
      <c r="D678" s="68"/>
      <c r="E678" s="68"/>
      <c r="F678" s="68"/>
      <c r="G678" s="68"/>
      <c r="H678" s="68"/>
      <c r="I678">
        <f>_xlfn.STDEV.S(C658:C678)</f>
        <v>1.3507101388366725E-2</v>
      </c>
      <c r="J678">
        <f>_xlfn.NORM.S.INV(0.99)*I678*SQRT(10)</f>
        <v>9.9365773584878386E-2</v>
      </c>
      <c r="K678">
        <f>LN(B687)-LN(B678)</f>
        <v>6.8351776873657677E-2</v>
      </c>
      <c r="L678">
        <f>IF(K678&lt;-(J678),1,0)</f>
        <v>0</v>
      </c>
      <c r="M678" s="72">
        <f t="shared" si="10"/>
        <v>5.0382733725692984E-2</v>
      </c>
      <c r="N678">
        <f>SQRT((N677^2)*0.72+(1-0.72)*(C677^2))</f>
        <v>6.9261592408417245E-3</v>
      </c>
      <c r="O678">
        <f>_xlfn.NORM.S.INV(0.99)*N678*SQRT(10)</f>
        <v>5.0952691562013354E-2</v>
      </c>
      <c r="P678">
        <f>LN(B687)-LN(B678)</f>
        <v>6.8351776873657677E-2</v>
      </c>
      <c r="Q678">
        <f>IF(P678&lt;-(O678),1,0)</f>
        <v>0</v>
      </c>
    </row>
    <row r="679" spans="1:17">
      <c r="A679" s="64">
        <v>42276</v>
      </c>
      <c r="B679">
        <v>1884.089966</v>
      </c>
      <c r="C679" s="68">
        <f>LN(B679)-LN(B678)</f>
        <v>1.2320937592527059E-3</v>
      </c>
      <c r="D679" s="68"/>
      <c r="E679" s="68"/>
      <c r="F679" s="68"/>
      <c r="G679" s="68"/>
      <c r="H679" s="68"/>
      <c r="I679">
        <f>_xlfn.STDEV.S(C659:C679)</f>
        <v>1.3515206271704784E-2</v>
      </c>
      <c r="J679">
        <f>_xlfn.NORM.S.INV(0.99)*I679*SQRT(10)</f>
        <v>9.942539762852369E-2</v>
      </c>
      <c r="K679">
        <f>LN(B688)-LN(B679)</f>
        <v>6.8394347448235138E-2</v>
      </c>
      <c r="L679">
        <f>IF(K679&lt;-(J679),1,0)</f>
        <v>0</v>
      </c>
      <c r="M679" s="72">
        <f t="shared" si="10"/>
        <v>0.10987375697632691</v>
      </c>
      <c r="N679">
        <f>SQRT((N678^2)*0.72+(1-0.72)*(C678^2))</f>
        <v>1.4961191248897719E-2</v>
      </c>
      <c r="O679">
        <f>_xlfn.NORM.S.INV(0.99)*N679*SQRT(10)</f>
        <v>0.11006286985292242</v>
      </c>
      <c r="P679">
        <f>LN(B688)-LN(B679)</f>
        <v>6.8394347448235138E-2</v>
      </c>
      <c r="Q679">
        <f>IF(P679&lt;-(O679),1,0)</f>
        <v>0</v>
      </c>
    </row>
    <row r="680" spans="1:17">
      <c r="A680" s="64">
        <v>42277</v>
      </c>
      <c r="B680">
        <v>1920.030029</v>
      </c>
      <c r="C680" s="68">
        <f>LN(B680)-LN(B679)</f>
        <v>1.8895898353574303E-2</v>
      </c>
      <c r="D680" s="68"/>
      <c r="E680" s="68"/>
      <c r="F680" s="68"/>
      <c r="G680" s="68"/>
      <c r="H680" s="68"/>
      <c r="I680">
        <f>_xlfn.STDEV.S(C660:C680)</f>
        <v>1.4220654773107154E-2</v>
      </c>
      <c r="J680">
        <f>_xlfn.NORM.S.INV(0.99)*I680*SQRT(10)</f>
        <v>0.10461507038292477</v>
      </c>
      <c r="K680">
        <f>LN(B689)-LN(B680)</f>
        <v>4.2649625170803063E-2</v>
      </c>
      <c r="L680">
        <f>IF(K680&lt;-(J680),1,0)</f>
        <v>0</v>
      </c>
      <c r="M680" s="72">
        <f t="shared" si="10"/>
        <v>9.3346182288689086E-2</v>
      </c>
      <c r="N680">
        <f>SQRT((N679^2)*0.72+(1-0.72)*(C679^2))</f>
        <v>1.2711721787029187E-2</v>
      </c>
      <c r="O680">
        <f>_xlfn.NORM.S.INV(0.99)*N680*SQRT(10)</f>
        <v>9.3514517485727033E-2</v>
      </c>
      <c r="P680">
        <f>LN(B689)-LN(B680)</f>
        <v>4.2649625170803063E-2</v>
      </c>
      <c r="Q680">
        <f>IF(P680&lt;-(O680),1,0)</f>
        <v>0</v>
      </c>
    </row>
    <row r="681" spans="1:17">
      <c r="A681" s="64">
        <v>42278</v>
      </c>
      <c r="B681">
        <v>1923.8199460000001</v>
      </c>
      <c r="C681" s="68">
        <f>LN(B681)-LN(B680)</f>
        <v>1.971938682702401E-3</v>
      </c>
      <c r="D681" s="68"/>
      <c r="E681" s="68"/>
      <c r="F681" s="68"/>
      <c r="G681" s="68"/>
      <c r="H681" s="68"/>
      <c r="I681">
        <f>_xlfn.STDEV.S(C661:C681)</f>
        <v>1.26094856847333E-2</v>
      </c>
      <c r="J681">
        <f>_xlfn.NORM.S.INV(0.99)*I681*SQRT(10)</f>
        <v>9.2762411678504547E-2</v>
      </c>
      <c r="K681">
        <f>LN(B690)-LN(B681)</f>
        <v>3.5950255661385988E-2</v>
      </c>
      <c r="L681">
        <f>IF(K681&lt;-(J681),1,0)</f>
        <v>0</v>
      </c>
      <c r="M681" s="72">
        <f t="shared" si="10"/>
        <v>0.10800529959599793</v>
      </c>
      <c r="N681">
        <f>SQRT((N680^2)*0.72+(1-0.72)*(C680^2))</f>
        <v>1.4707775489658889E-2</v>
      </c>
      <c r="O681">
        <f>_xlfn.NORM.S.INV(0.99)*N681*SQRT(10)</f>
        <v>0.10819860214430413</v>
      </c>
      <c r="P681">
        <f>LN(B690)-LN(B681)</f>
        <v>3.5950255661385988E-2</v>
      </c>
      <c r="Q681">
        <f>IF(P681&lt;-(O681),1,0)</f>
        <v>0</v>
      </c>
    </row>
    <row r="682" spans="1:17">
      <c r="A682" s="64">
        <v>42279</v>
      </c>
      <c r="B682">
        <v>1951.3599850000001</v>
      </c>
      <c r="C682" s="68">
        <f>LN(B682)-LN(B681)</f>
        <v>1.4213792986497609E-2</v>
      </c>
      <c r="D682" s="68"/>
      <c r="E682" s="68"/>
      <c r="F682" s="68"/>
      <c r="G682" s="68"/>
      <c r="H682" s="68"/>
      <c r="I682">
        <f>_xlfn.STDEV.S(C662:C682)</f>
        <v>1.2358416861748139E-2</v>
      </c>
      <c r="J682">
        <f>_xlfn.NORM.S.INV(0.99)*I682*SQRT(10)</f>
        <v>9.0915409342351788E-2</v>
      </c>
      <c r="K682">
        <f>LN(B691)-LN(B682)</f>
        <v>3.6480013970060732E-2</v>
      </c>
      <c r="L682">
        <f>IF(K682&lt;-(J682),1,0)</f>
        <v>0</v>
      </c>
      <c r="M682" s="72">
        <f t="shared" si="10"/>
        <v>9.1928497777157572E-2</v>
      </c>
      <c r="N682">
        <f>SQRT((N681^2)*0.72+(1-0.72)*(C681^2))</f>
        <v>1.2523506972975518E-2</v>
      </c>
      <c r="O682">
        <f>_xlfn.NORM.S.INV(0.99)*N682*SQRT(10)</f>
        <v>9.212990430627134E-2</v>
      </c>
      <c r="P682">
        <f>LN(B691)-LN(B682)</f>
        <v>3.6480013970060732E-2</v>
      </c>
      <c r="Q682">
        <f>IF(P682&lt;-(O682),1,0)</f>
        <v>0</v>
      </c>
    </row>
    <row r="683" spans="1:17">
      <c r="A683" s="64">
        <v>42282</v>
      </c>
      <c r="B683">
        <v>1987.0500489999999</v>
      </c>
      <c r="C683" s="68">
        <f>LN(B683)-LN(B682)</f>
        <v>1.8124593785162624E-2</v>
      </c>
      <c r="D683" s="68"/>
      <c r="E683" s="68"/>
      <c r="F683" s="68"/>
      <c r="G683" s="68"/>
      <c r="H683" s="68"/>
      <c r="I683">
        <f>_xlfn.STDEV.S(C663:C683)</f>
        <v>1.2973022642651284E-2</v>
      </c>
      <c r="J683">
        <f>_xlfn.NORM.S.INV(0.99)*I683*SQRT(10)</f>
        <v>9.543679236252943E-2</v>
      </c>
      <c r="K683">
        <f>LN(B692)-LN(B683)</f>
        <v>2.2915481559385498E-2</v>
      </c>
      <c r="L683">
        <f>IF(K683&lt;-(J683),1,0)</f>
        <v>0</v>
      </c>
      <c r="M683" s="72">
        <f t="shared" si="10"/>
        <v>9.563489598946219E-2</v>
      </c>
      <c r="N683">
        <f>SQRT((N682^2)*0.72+(1-0.72)*(C682^2))</f>
        <v>1.3018926932247613E-2</v>
      </c>
      <c r="O683">
        <f>_xlfn.NORM.S.INV(0.99)*N683*SQRT(10)</f>
        <v>9.5774489927347606E-2</v>
      </c>
      <c r="P683">
        <f>LN(B692)-LN(B683)</f>
        <v>2.2915481559385498E-2</v>
      </c>
      <c r="Q683">
        <f>IF(P683&lt;-(O683),1,0)</f>
        <v>0</v>
      </c>
    </row>
    <row r="684" spans="1:17">
      <c r="A684" s="64">
        <v>42283</v>
      </c>
      <c r="B684">
        <v>1979.920044</v>
      </c>
      <c r="C684" s="68">
        <f>LN(B684)-LN(B683)</f>
        <v>-3.5946894030205456E-3</v>
      </c>
      <c r="D684" s="68"/>
      <c r="E684" s="68"/>
      <c r="F684" s="68"/>
      <c r="G684" s="68"/>
      <c r="H684" s="68"/>
      <c r="I684">
        <f>_xlfn.STDEV.S(C664:C684)</f>
        <v>1.2475922423806364E-2</v>
      </c>
      <c r="J684">
        <f>_xlfn.NORM.S.INV(0.99)*I684*SQRT(10)</f>
        <v>9.1779845814598721E-2</v>
      </c>
      <c r="K684">
        <f>LN(B693)-LN(B684)</f>
        <v>2.6780679990840994E-2</v>
      </c>
      <c r="L684">
        <f>IF(K684&lt;-(J684),1,0)</f>
        <v>0</v>
      </c>
      <c r="M684" s="72">
        <f t="shared" si="10"/>
        <v>0.10750790281969641</v>
      </c>
      <c r="N684">
        <f>SQRT((N683^2)*0.72+(1-0.72)*(C683^2))</f>
        <v>1.46292454372052E-2</v>
      </c>
      <c r="O684">
        <f>_xlfn.NORM.S.INV(0.99)*N684*SQRT(10)</f>
        <v>0.1076208912656072</v>
      </c>
      <c r="P684">
        <f>LN(B693)-LN(B684)</f>
        <v>2.6780679990840994E-2</v>
      </c>
      <c r="Q684">
        <f>IF(P684&lt;-(O684),1,0)</f>
        <v>0</v>
      </c>
    </row>
    <row r="685" spans="1:17">
      <c r="A685" s="64">
        <v>42284</v>
      </c>
      <c r="B685">
        <v>1995.829956</v>
      </c>
      <c r="C685" s="68">
        <f>LN(B685)-LN(B684)</f>
        <v>8.0035198025312226E-3</v>
      </c>
      <c r="D685" s="68"/>
      <c r="E685" s="68"/>
      <c r="F685" s="68"/>
      <c r="G685" s="68"/>
      <c r="H685" s="68"/>
      <c r="I685">
        <f>_xlfn.STDEV.S(C665:C685)</f>
        <v>1.1397306451458918E-2</v>
      </c>
      <c r="J685">
        <f>_xlfn.NORM.S.INV(0.99)*I685*SQRT(10)</f>
        <v>8.3844944949368033E-2</v>
      </c>
      <c r="K685">
        <f>LN(B694)-LN(B685)</f>
        <v>1.7355059451596766E-2</v>
      </c>
      <c r="L685">
        <f>IF(K685&lt;-(J685),1,0)</f>
        <v>0</v>
      </c>
      <c r="M685" s="72">
        <f t="shared" si="10"/>
        <v>9.2219821480630654E-2</v>
      </c>
      <c r="N685">
        <f>SQRT((N684^2)*0.72+(1-0.72)*(C684^2))</f>
        <v>1.255821538347726E-2</v>
      </c>
      <c r="O685">
        <f>_xlfn.NORM.S.INV(0.99)*N685*SQRT(10)</f>
        <v>9.2385238738155989E-2</v>
      </c>
      <c r="P685">
        <f>LN(B694)-LN(B685)</f>
        <v>1.7355059451596766E-2</v>
      </c>
      <c r="Q685">
        <f>IF(P685&lt;-(O685),1,0)</f>
        <v>0</v>
      </c>
    </row>
    <row r="686" spans="1:17">
      <c r="A686" s="64">
        <v>42285</v>
      </c>
      <c r="B686">
        <v>2013.4300539999999</v>
      </c>
      <c r="C686" s="68">
        <f>LN(B686)-LN(B685)</f>
        <v>8.7797803155265086E-3</v>
      </c>
      <c r="D686" s="68"/>
      <c r="E686" s="68"/>
      <c r="F686" s="68"/>
      <c r="G686" s="68"/>
      <c r="H686" s="68"/>
      <c r="I686">
        <f>_xlfn.STDEV.S(C666:C686)</f>
        <v>1.1012700322223526E-2</v>
      </c>
      <c r="J686">
        <f>_xlfn.NORM.S.INV(0.99)*I686*SQRT(10)</f>
        <v>8.1015567686391746E-2</v>
      </c>
      <c r="K686">
        <f>LN(B695)-LN(B686)</f>
        <v>2.7328297928930212E-3</v>
      </c>
      <c r="L686">
        <f>IF(K686&lt;-(J686),1,0)</f>
        <v>0</v>
      </c>
      <c r="M686" s="72">
        <f t="shared" si="10"/>
        <v>8.4200603813706254E-2</v>
      </c>
      <c r="N686">
        <f>SQRT((N685^2)*0.72+(1-0.72)*(C685^2))</f>
        <v>1.1466738384958566E-2</v>
      </c>
      <c r="O686">
        <f>_xlfn.NORM.S.INV(0.99)*N686*SQRT(10)</f>
        <v>8.435572498909058E-2</v>
      </c>
      <c r="P686">
        <f>LN(B695)-LN(B686)</f>
        <v>2.7328297928930212E-3</v>
      </c>
      <c r="Q686">
        <f>IF(P686&lt;-(O686),1,0)</f>
        <v>0</v>
      </c>
    </row>
    <row r="687" spans="1:17">
      <c r="A687" s="64">
        <v>42286</v>
      </c>
      <c r="B687">
        <v>2014.8900149999999</v>
      </c>
      <c r="C687" s="68">
        <f>LN(B687)-LN(B686)</f>
        <v>7.248485914308489E-4</v>
      </c>
      <c r="D687" s="68"/>
      <c r="E687" s="68"/>
      <c r="F687" s="68"/>
      <c r="G687" s="68"/>
      <c r="H687" s="68"/>
      <c r="I687">
        <f>_xlfn.STDEV.S(C667:C687)</f>
        <v>1.098415163259917E-2</v>
      </c>
      <c r="J687">
        <f>_xlfn.NORM.S.INV(0.99)*I687*SQRT(10)</f>
        <v>8.0805547597862459E-2</v>
      </c>
      <c r="K687">
        <f>LN(B696)-LN(B687)</f>
        <v>1.8498828529464717E-2</v>
      </c>
      <c r="L687">
        <f>IF(K687&lt;-(J687),1,0)</f>
        <v>0</v>
      </c>
      <c r="M687" s="72">
        <f t="shared" si="10"/>
        <v>7.9196660111377326E-2</v>
      </c>
      <c r="N687">
        <f>SQRT((N686^2)*0.72+(1-0.72)*(C686^2))</f>
        <v>1.0782098871974465E-2</v>
      </c>
      <c r="O687">
        <f>_xlfn.NORM.S.INV(0.99)*N687*SQRT(10)</f>
        <v>7.9319134763075727E-2</v>
      </c>
      <c r="P687">
        <f>LN(B696)-LN(B687)</f>
        <v>1.8498828529464717E-2</v>
      </c>
      <c r="Q687">
        <f>IF(P687&lt;-(O687),1,0)</f>
        <v>0</v>
      </c>
    </row>
    <row r="688" spans="1:17">
      <c r="A688" s="64">
        <v>42289</v>
      </c>
      <c r="B688">
        <v>2017.459961</v>
      </c>
      <c r="C688" s="68">
        <f>LN(B688)-LN(B687)</f>
        <v>1.2746643338301666E-3</v>
      </c>
      <c r="D688" s="68"/>
      <c r="E688" s="68"/>
      <c r="F688" s="68"/>
      <c r="G688" s="68"/>
      <c r="H688" s="68"/>
      <c r="I688">
        <f>_xlfn.STDEV.S(C668:C688)</f>
        <v>1.0963006859440787E-2</v>
      </c>
      <c r="J688">
        <f>_xlfn.NORM.S.INV(0.99)*I688*SQRT(10)</f>
        <v>8.0649994849589679E-2</v>
      </c>
      <c r="K688">
        <f>LN(B697)-LN(B688)</f>
        <v>2.8194117884837055E-2</v>
      </c>
      <c r="L688">
        <f>IF(K688&lt;-(J688),1,0)</f>
        <v>0</v>
      </c>
      <c r="M688" s="72">
        <f t="shared" si="10"/>
        <v>6.7256641315807303E-2</v>
      </c>
      <c r="N688">
        <f>SQRT((N687^2)*0.72+(1-0.72)*(C687^2))</f>
        <v>9.1569506887262189E-3</v>
      </c>
      <c r="O688">
        <f>_xlfn.NORM.S.INV(0.99)*N688*SQRT(10)</f>
        <v>6.7363638037656659E-2</v>
      </c>
      <c r="P688">
        <f>LN(B697)-LN(B688)</f>
        <v>2.8194117884837055E-2</v>
      </c>
      <c r="Q688">
        <f>IF(P688&lt;-(O688),1,0)</f>
        <v>0</v>
      </c>
    </row>
    <row r="689" spans="1:17">
      <c r="A689" s="64">
        <v>42290</v>
      </c>
      <c r="B689">
        <v>2003.6899410000001</v>
      </c>
      <c r="C689" s="68">
        <f>LN(B689)-LN(B688)</f>
        <v>-6.8488239238577719E-3</v>
      </c>
      <c r="D689" s="68"/>
      <c r="E689" s="68"/>
      <c r="F689" s="68"/>
      <c r="G689" s="68"/>
      <c r="H689" s="68"/>
      <c r="I689">
        <f>_xlfn.STDEV.S(C669:C689)</f>
        <v>1.1047470375031797E-2</v>
      </c>
      <c r="J689">
        <f>_xlfn.NORM.S.INV(0.99)*I689*SQRT(10)</f>
        <v>8.1271355593474204E-2</v>
      </c>
      <c r="K689">
        <f>LN(B698)-LN(B689)</f>
        <v>3.312800914675762E-2</v>
      </c>
      <c r="L689">
        <f>IF(K689&lt;-(J689),1,0)</f>
        <v>0</v>
      </c>
      <c r="M689" s="72">
        <f t="shared" si="10"/>
        <v>5.7281341577123043E-2</v>
      </c>
      <c r="N689">
        <f>SQRT((N688^2)*0.72+(1-0.72)*(C688^2))</f>
        <v>7.7991507502581719E-3</v>
      </c>
      <c r="O689">
        <f>_xlfn.NORM.S.INV(0.99)*N689*SQRT(10)</f>
        <v>5.7374904157597134E-2</v>
      </c>
      <c r="P689">
        <f>LN(B698)-LN(B689)</f>
        <v>3.312800914675762E-2</v>
      </c>
      <c r="Q689">
        <f>IF(P689&lt;-(O689),1,0)</f>
        <v>0</v>
      </c>
    </row>
    <row r="690" spans="1:17">
      <c r="A690" s="64">
        <v>42291</v>
      </c>
      <c r="B690">
        <v>1994.23999</v>
      </c>
      <c r="C690" s="68">
        <f>LN(B690)-LN(B689)</f>
        <v>-4.7274308267146736E-3</v>
      </c>
      <c r="D690" s="68"/>
      <c r="E690" s="68"/>
      <c r="F690" s="68"/>
      <c r="G690" s="68"/>
      <c r="H690" s="68"/>
      <c r="I690">
        <f>_xlfn.STDEV.S(C670:C690)</f>
        <v>1.079075014338326E-2</v>
      </c>
      <c r="J690">
        <f>_xlfn.NORM.S.INV(0.99)*I690*SQRT(10)</f>
        <v>7.9382778342205737E-2</v>
      </c>
      <c r="K690">
        <f>LN(B699)-LN(B690)</f>
        <v>3.5298054139082602E-2</v>
      </c>
      <c r="L690">
        <f>IF(K690&lt;-(J690),1,0)</f>
        <v>0</v>
      </c>
      <c r="M690" s="72">
        <f t="shared" si="10"/>
        <v>5.5405447563557406E-2</v>
      </c>
      <c r="N690">
        <f>SQRT((N689^2)*0.72+(1-0.72)*(C689^2))</f>
        <v>7.5451342403819238E-3</v>
      </c>
      <c r="O690">
        <f>_xlfn.NORM.S.INV(0.99)*N690*SQRT(10)</f>
        <v>5.5506216992124068E-2</v>
      </c>
      <c r="P690">
        <f>LN(B699)-LN(B690)</f>
        <v>3.5298054139082602E-2</v>
      </c>
      <c r="Q690">
        <f>IF(P690&lt;-(O690),1,0)</f>
        <v>0</v>
      </c>
    </row>
    <row r="691" spans="1:17">
      <c r="A691" s="64">
        <v>42292</v>
      </c>
      <c r="B691">
        <v>2023.8599850000001</v>
      </c>
      <c r="C691" s="68">
        <f>LN(B691)-LN(B690)</f>
        <v>1.4743551295172352E-2</v>
      </c>
      <c r="D691" s="68"/>
      <c r="E691" s="68"/>
      <c r="F691" s="68"/>
      <c r="G691" s="68"/>
      <c r="H691" s="68"/>
      <c r="I691">
        <f>_xlfn.STDEV.S(C671:C691)</f>
        <v>1.1100867756381505E-2</v>
      </c>
      <c r="J691">
        <f>_xlfn.NORM.S.INV(0.99)*I691*SQRT(10)</f>
        <v>8.1664176521714982E-2</v>
      </c>
      <c r="K691">
        <f>LN(B700)-LN(B691)</f>
        <v>3.2324991292290051E-2</v>
      </c>
      <c r="L691">
        <f>IF(K691&lt;-(J691),1,0)</f>
        <v>0</v>
      </c>
      <c r="M691" s="72">
        <f t="shared" si="10"/>
        <v>5.047067676467288E-2</v>
      </c>
      <c r="N691">
        <f>SQRT((N690^2)*0.72+(1-0.72)*(C690^2))</f>
        <v>6.8736107781762323E-3</v>
      </c>
      <c r="O691">
        <f>_xlfn.NORM.S.INV(0.99)*N691*SQRT(10)</f>
        <v>5.0566115753235469E-2</v>
      </c>
      <c r="P691">
        <f>LN(B700)-LN(B691)</f>
        <v>3.2324991292290051E-2</v>
      </c>
      <c r="Q691">
        <f>IF(P691&lt;-(O691),1,0)</f>
        <v>0</v>
      </c>
    </row>
    <row r="692" spans="1:17">
      <c r="A692" s="64">
        <v>42293</v>
      </c>
      <c r="B692">
        <v>2033.1099850000001</v>
      </c>
      <c r="C692" s="68">
        <f>LN(B692)-LN(B691)</f>
        <v>4.5600613744873897E-3</v>
      </c>
      <c r="D692" s="68"/>
      <c r="E692" s="68"/>
      <c r="F692" s="68"/>
      <c r="G692" s="68"/>
      <c r="H692" s="68"/>
      <c r="I692">
        <f>_xlfn.STDEV.S(C672:C692)</f>
        <v>1.1105734662790447E-2</v>
      </c>
      <c r="J692">
        <f>_xlfn.NORM.S.INV(0.99)*I692*SQRT(10)</f>
        <v>8.1699980200563946E-2</v>
      </c>
      <c r="K692">
        <f>LN(B701)-LN(B692)</f>
        <v>2.7315054320347976E-2</v>
      </c>
      <c r="L692">
        <f>IF(K692&lt;-(J692),1,0)</f>
        <v>0</v>
      </c>
      <c r="M692" s="72">
        <f t="shared" si="10"/>
        <v>7.1608779247778684E-2</v>
      </c>
      <c r="N692">
        <f>SQRT((N691^2)*0.72+(1-0.72)*(C691^2))</f>
        <v>9.7407260219988471E-3</v>
      </c>
      <c r="O692">
        <f>_xlfn.NORM.S.INV(0.99)*N692*SQRT(10)</f>
        <v>7.1658215084391852E-2</v>
      </c>
      <c r="P692">
        <f>LN(B701)-LN(B692)</f>
        <v>2.7315054320347976E-2</v>
      </c>
      <c r="Q692">
        <f>IF(P692&lt;-(O692),1,0)</f>
        <v>0</v>
      </c>
    </row>
    <row r="693" spans="1:17">
      <c r="A693" s="64">
        <v>42296</v>
      </c>
      <c r="B693">
        <v>2033.660034</v>
      </c>
      <c r="C693" s="68">
        <f>LN(B693)-LN(B692)</f>
        <v>2.7050902843495095E-4</v>
      </c>
      <c r="D693" s="68"/>
      <c r="E693" s="68"/>
      <c r="F693" s="68"/>
      <c r="G693" s="68"/>
      <c r="H693" s="68"/>
      <c r="I693">
        <f>_xlfn.STDEV.S(C673:C693)</f>
        <v>1.0379130390006548E-2</v>
      </c>
      <c r="J693">
        <f>_xlfn.NORM.S.INV(0.99)*I693*SQRT(10)</f>
        <v>7.6354673788824615E-2</v>
      </c>
      <c r="K693">
        <f>LN(B702)-LN(B693)</f>
        <v>2.2223063452948111E-2</v>
      </c>
      <c r="L693">
        <f>IF(K693&lt;-(J693),1,0)</f>
        <v>0</v>
      </c>
      <c r="M693" s="72">
        <f t="shared" si="10"/>
        <v>6.3257315635456959E-2</v>
      </c>
      <c r="N693">
        <f>SQRT((N692^2)*0.72+(1-0.72)*(C692^2))</f>
        <v>8.6102973235893804E-3</v>
      </c>
      <c r="O693">
        <f>_xlfn.NORM.S.INV(0.99)*N693*SQRT(10)</f>
        <v>6.3342150899314595E-2</v>
      </c>
      <c r="P693">
        <f>LN(B702)-LN(B693)</f>
        <v>2.2223063452948111E-2</v>
      </c>
      <c r="Q693">
        <f>IF(P693&lt;-(O693),1,0)</f>
        <v>0</v>
      </c>
    </row>
    <row r="694" spans="1:17">
      <c r="A694" s="64">
        <v>42297</v>
      </c>
      <c r="B694">
        <v>2030.7700199999999</v>
      </c>
      <c r="C694" s="68">
        <f>LN(B694)-LN(B693)</f>
        <v>-1.4221007367130056E-3</v>
      </c>
      <c r="D694" s="68"/>
      <c r="E694" s="68"/>
      <c r="F694" s="68"/>
      <c r="G694" s="68"/>
      <c r="H694" s="68"/>
      <c r="I694">
        <f>_xlfn.STDEV.S(C674:C694)</f>
        <v>1.0381886122852051E-2</v>
      </c>
      <c r="J694">
        <f>_xlfn.NORM.S.INV(0.99)*I694*SQRT(10)</f>
        <v>7.6374946497092172E-2</v>
      </c>
      <c r="K694">
        <f>LN(B703)-LN(B694)</f>
        <v>3.5449040813050559E-2</v>
      </c>
      <c r="L694">
        <f>IF(K694&lt;-(J694),1,0)</f>
        <v>0</v>
      </c>
      <c r="M694" s="72">
        <f t="shared" si="10"/>
        <v>5.3681835148617726E-2</v>
      </c>
      <c r="N694">
        <f>SQRT((N693^2)*0.72+(1-0.72)*(C693^2))</f>
        <v>7.3074816070989651E-3</v>
      </c>
      <c r="O694">
        <f>_xlfn.NORM.S.INV(0.99)*N694*SQRT(10)</f>
        <v>5.3757911632472059E-2</v>
      </c>
      <c r="P694">
        <f>LN(B703)-LN(B694)</f>
        <v>3.5449040813050559E-2</v>
      </c>
      <c r="Q694">
        <f>IF(P694&lt;-(O694),1,0)</f>
        <v>0</v>
      </c>
    </row>
    <row r="695" spans="1:17">
      <c r="A695" s="64">
        <v>42298</v>
      </c>
      <c r="B695">
        <v>2018.9399410000001</v>
      </c>
      <c r="C695" s="68">
        <f>LN(B695)-LN(B694)</f>
        <v>-5.8424493431772362E-3</v>
      </c>
      <c r="D695" s="68"/>
      <c r="E695" s="68"/>
      <c r="F695" s="68"/>
      <c r="G695" s="68"/>
      <c r="H695" s="68"/>
      <c r="I695">
        <f>_xlfn.STDEV.S(C675:C695)</f>
        <v>1.0035453554839795E-2</v>
      </c>
      <c r="J695">
        <f>_xlfn.NORM.S.INV(0.99)*I695*SQRT(10)</f>
        <v>7.3826395247955784E-2</v>
      </c>
      <c r="K695">
        <f>LN(B704)-LN(B695)</f>
        <v>4.401584296998351E-2</v>
      </c>
      <c r="L695">
        <f>IF(K695&lt;-(J695),1,0)</f>
        <v>0</v>
      </c>
      <c r="M695" s="72">
        <f t="shared" si="10"/>
        <v>4.5850133790454897E-2</v>
      </c>
      <c r="N695">
        <f>SQRT((N694^2)*0.72+(1-0.72)*(C694^2))</f>
        <v>6.2460988382289683E-3</v>
      </c>
      <c r="O695">
        <f>_xlfn.NORM.S.INV(0.99)*N695*SQRT(10)</f>
        <v>4.594978782663009E-2</v>
      </c>
      <c r="P695">
        <f>LN(B704)-LN(B695)</f>
        <v>4.401584296998351E-2</v>
      </c>
      <c r="Q695">
        <f>IF(P695&lt;-(O695),1,0)</f>
        <v>0</v>
      </c>
    </row>
    <row r="696" spans="1:17">
      <c r="A696" s="64">
        <v>42299</v>
      </c>
      <c r="B696">
        <v>2052.51001</v>
      </c>
      <c r="C696" s="68">
        <f>LN(B696)-LN(B695)</f>
        <v>1.6490847328002545E-2</v>
      </c>
      <c r="D696" s="68"/>
      <c r="E696" s="68"/>
      <c r="F696" s="68"/>
      <c r="G696" s="68"/>
      <c r="H696" s="68"/>
      <c r="I696">
        <f>_xlfn.STDEV.S(C676:C696)</f>
        <v>1.0482460296943115E-2</v>
      </c>
      <c r="J696">
        <f>_xlfn.NORM.S.INV(0.99)*I696*SQRT(10)</f>
        <v>7.711482623323053E-2</v>
      </c>
      <c r="K696">
        <f>LN(B705)-LN(B696)</f>
        <v>2.397332892519799E-2</v>
      </c>
      <c r="L696">
        <f>IF(K696&lt;-(J696),1,0)</f>
        <v>0</v>
      </c>
      <c r="M696" s="72">
        <f t="shared" si="10"/>
        <v>4.5064019431497383E-2</v>
      </c>
      <c r="N696">
        <f>SQRT((N695^2)*0.72+(1-0.72)*(C695^2))</f>
        <v>6.1357542742120951E-3</v>
      </c>
      <c r="O696">
        <f>_xlfn.NORM.S.INV(0.99)*N696*SQRT(10)</f>
        <v>4.5138031651181063E-2</v>
      </c>
      <c r="P696">
        <f>LN(B705)-LN(B696)</f>
        <v>2.397332892519799E-2</v>
      </c>
      <c r="Q696">
        <f>IF(P696&lt;-(O696),1,0)</f>
        <v>0</v>
      </c>
    </row>
    <row r="697" spans="1:17">
      <c r="A697" s="64">
        <v>42300</v>
      </c>
      <c r="B697">
        <v>2075.1499020000001</v>
      </c>
      <c r="C697" s="68">
        <f>LN(B697)-LN(B696)</f>
        <v>1.0969953689202505E-2</v>
      </c>
      <c r="D697" s="68"/>
      <c r="E697" s="68"/>
      <c r="F697" s="68"/>
      <c r="G697" s="68"/>
      <c r="H697" s="68"/>
      <c r="I697">
        <f>_xlfn.STDEV.S(C677:C697)</f>
        <v>1.0533239921812489E-2</v>
      </c>
      <c r="J697">
        <f>_xlfn.NORM.S.INV(0.99)*I697*SQRT(10)</f>
        <v>7.7488389484324585E-2</v>
      </c>
      <c r="K697">
        <f>LN(B706)-LN(B697)</f>
        <v>1.1870585457393723E-2</v>
      </c>
      <c r="L697">
        <f>IF(K697&lt;-(J697),1,0)</f>
        <v>0</v>
      </c>
      <c r="M697" s="72">
        <f t="shared" si="10"/>
        <v>7.4718283563583981E-2</v>
      </c>
      <c r="N697">
        <f>SQRT((N696^2)*0.72+(1-0.72)*(C696^2))</f>
        <v>1.0161281353080698E-2</v>
      </c>
      <c r="O697">
        <f>_xlfn.NORM.S.INV(0.99)*N697*SQRT(10)</f>
        <v>7.4752054732636769E-2</v>
      </c>
      <c r="P697">
        <f>LN(B706)-LN(B697)</f>
        <v>1.1870585457393723E-2</v>
      </c>
      <c r="Q697">
        <f>IF(P697&lt;-(O697),1,0)</f>
        <v>0</v>
      </c>
    </row>
    <row r="698" spans="1:17">
      <c r="A698" s="64">
        <v>42303</v>
      </c>
      <c r="B698">
        <v>2071.179932</v>
      </c>
      <c r="C698" s="68">
        <f>LN(B698)-LN(B697)</f>
        <v>-1.9149326619372076E-3</v>
      </c>
      <c r="D698" s="68"/>
      <c r="E698" s="68"/>
      <c r="F698" s="68"/>
      <c r="G698" s="68"/>
      <c r="H698" s="68"/>
      <c r="I698">
        <f>_xlfn.STDEV.S(C678:C698)</f>
        <v>1.0564515533902551E-2</v>
      </c>
      <c r="J698">
        <f>_xlfn.NORM.S.INV(0.99)*I698*SQRT(10)</f>
        <v>7.7718470335893963E-2</v>
      </c>
      <c r="K698">
        <f>LN(B707)-LN(B698)</f>
        <v>1.3437836086294119E-2</v>
      </c>
      <c r="L698">
        <f>IF(K698&lt;-(J698),1,0)</f>
        <v>0</v>
      </c>
      <c r="M698" s="72">
        <f t="shared" si="10"/>
        <v>7.6440657050224459E-2</v>
      </c>
      <c r="N698">
        <f>SQRT((N697^2)*0.72+(1-0.72)*(C697^2))</f>
        <v>1.0394053463128064E-2</v>
      </c>
      <c r="O698">
        <f>_xlfn.NORM.S.INV(0.99)*N698*SQRT(10)</f>
        <v>7.6464456240465953E-2</v>
      </c>
      <c r="P698">
        <f>LN(B707)-LN(B698)</f>
        <v>1.3437836086294119E-2</v>
      </c>
      <c r="Q698">
        <f>IF(P698&lt;-(O698),1,0)</f>
        <v>0</v>
      </c>
    </row>
    <row r="699" spans="1:17">
      <c r="A699" s="64">
        <v>42304</v>
      </c>
      <c r="B699">
        <v>2065.889893</v>
      </c>
      <c r="C699" s="68">
        <f>LN(B699)-LN(B698)</f>
        <v>-2.5573858343896916E-3</v>
      </c>
      <c r="D699" s="68"/>
      <c r="E699" s="68"/>
      <c r="F699" s="68"/>
      <c r="G699" s="68"/>
      <c r="H699" s="68"/>
      <c r="I699">
        <f>_xlfn.STDEV.S(C679:C699)</f>
        <v>8.3078463554128977E-3</v>
      </c>
      <c r="J699">
        <f>_xlfn.NORM.S.INV(0.99)*I699*SQRT(10)</f>
        <v>6.1117152836426311E-2</v>
      </c>
      <c r="K699">
        <f>LN(B708)-LN(B699)</f>
        <v>6.1239312859209249E-3</v>
      </c>
      <c r="L699">
        <f>IF(K699&lt;-(J699),1,0)</f>
        <v>0</v>
      </c>
      <c r="M699" s="72">
        <f t="shared" si="10"/>
        <v>6.5178925397390591E-2</v>
      </c>
      <c r="N699">
        <f>SQRT((N698^2)*0.72+(1-0.72)*(C698^2))</f>
        <v>8.8776641585426933E-3</v>
      </c>
      <c r="O699">
        <f>_xlfn.NORM.S.INV(0.99)*N699*SQRT(10)</f>
        <v>6.5309050504359242E-2</v>
      </c>
      <c r="P699">
        <f>LN(B708)-LN(B699)</f>
        <v>6.1239312859209249E-3</v>
      </c>
      <c r="Q699">
        <f>IF(P699&lt;-(O699),1,0)</f>
        <v>0</v>
      </c>
    </row>
    <row r="700" spans="1:17">
      <c r="A700" s="64">
        <v>42305</v>
      </c>
      <c r="B700">
        <v>2090.3500979999999</v>
      </c>
      <c r="C700" s="68">
        <f>LN(B700)-LN(B699)</f>
        <v>1.1770488448379801E-2</v>
      </c>
      <c r="D700" s="68"/>
      <c r="E700" s="68"/>
      <c r="F700" s="68"/>
      <c r="G700" s="68"/>
      <c r="H700" s="68"/>
      <c r="I700">
        <f>_xlfn.STDEV.S(C680:C700)</f>
        <v>8.4215631520102325E-3</v>
      </c>
      <c r="J700">
        <f>_xlfn.NORM.S.INV(0.99)*I700*SQRT(10)</f>
        <v>6.1953717036145751E-2</v>
      </c>
      <c r="K700">
        <f>LN(B709)-LN(B700)</f>
        <v>-4.1371018062621445E-3</v>
      </c>
      <c r="L700">
        <f>IF(K700&lt;-(J700),1,0)</f>
        <v>0</v>
      </c>
      <c r="M700" s="72">
        <f t="shared" si="10"/>
        <v>5.6194699067502497E-2</v>
      </c>
      <c r="N700">
        <f>SQRT((N699^2)*0.72+(1-0.72)*(C699^2))</f>
        <v>7.6535328641230338E-3</v>
      </c>
      <c r="O700">
        <f>_xlfn.NORM.S.INV(0.99)*N700*SQRT(10)</f>
        <v>5.6303657745241417E-2</v>
      </c>
      <c r="P700">
        <f>LN(B709)-LN(B700)</f>
        <v>-4.1371018062621445E-3</v>
      </c>
      <c r="Q700">
        <f>IF(P700&lt;-(O700),1,0)</f>
        <v>0</v>
      </c>
    </row>
    <row r="701" spans="1:17">
      <c r="A701" s="64">
        <v>42306</v>
      </c>
      <c r="B701">
        <v>2089.4099120000001</v>
      </c>
      <c r="C701" s="68">
        <f>LN(B701)-LN(B700)</f>
        <v>-4.4987559745468531E-4</v>
      </c>
      <c r="D701" s="68"/>
      <c r="E701" s="68"/>
      <c r="F701" s="68"/>
      <c r="G701" s="68"/>
      <c r="H701" s="68"/>
      <c r="I701">
        <f>_xlfn.STDEV.S(C681:C701)</f>
        <v>7.8587101095800062E-3</v>
      </c>
      <c r="J701">
        <f>_xlfn.NORM.S.INV(0.99)*I701*SQRT(10)</f>
        <v>5.7813056033641459E-2</v>
      </c>
      <c r="K701">
        <f>LN(B710)-LN(B701)</f>
        <v>-6.9205336729867284E-3</v>
      </c>
      <c r="L701">
        <f>IF(K701&lt;-(J701),1,0)</f>
        <v>0</v>
      </c>
      <c r="M701" s="72">
        <f t="shared" si="10"/>
        <v>6.6071698721648447E-2</v>
      </c>
      <c r="N701">
        <f>SQRT((N700^2)*0.72+(1-0.72)*(C700^2))</f>
        <v>8.9981975164671723E-3</v>
      </c>
      <c r="O701">
        <f>_xlfn.NORM.S.INV(0.99)*N701*SQRT(10)</f>
        <v>6.6195761132241557E-2</v>
      </c>
      <c r="P701">
        <f>LN(B710)-LN(B701)</f>
        <v>-6.9205336729867284E-3</v>
      </c>
      <c r="Q701">
        <f>IF(P701&lt;-(O701),1,0)</f>
        <v>0</v>
      </c>
    </row>
    <row r="702" spans="1:17">
      <c r="A702" s="64">
        <v>42307</v>
      </c>
      <c r="B702">
        <v>2079.360107</v>
      </c>
      <c r="C702" s="68">
        <f>LN(B702)-LN(B701)</f>
        <v>-4.8214818389649139E-3</v>
      </c>
      <c r="D702" s="68"/>
      <c r="E702" s="68"/>
      <c r="F702" s="68"/>
      <c r="G702" s="68"/>
      <c r="H702" s="68"/>
      <c r="I702">
        <f>_xlfn.STDEV.S(C682:C702)</f>
        <v>8.0840716480562336E-3</v>
      </c>
      <c r="J702">
        <f>_xlfn.NORM.S.INV(0.99)*I702*SQRT(10)</f>
        <v>5.9470941242547593E-2</v>
      </c>
      <c r="K702">
        <f>LN(B711)-LN(B702)</f>
        <v>-1.6188215025551678E-2</v>
      </c>
      <c r="L702">
        <f>IF(K702&lt;-(J702),1,0)</f>
        <v>0</v>
      </c>
      <c r="M702" s="72">
        <f t="shared" si="10"/>
        <v>5.6090303996602142E-2</v>
      </c>
      <c r="N702">
        <f>SQRT((N701^2)*0.72+(1-0.72)*(C701^2))</f>
        <v>7.6389338789878379E-3</v>
      </c>
      <c r="O702">
        <f>_xlfn.NORM.S.INV(0.99)*N702*SQRT(10)</f>
        <v>5.6196259465639969E-2</v>
      </c>
      <c r="P702">
        <f>LN(B711)-LN(B702)</f>
        <v>-1.6188215025551678E-2</v>
      </c>
      <c r="Q702">
        <f>IF(P702&lt;-(O702),1,0)</f>
        <v>0</v>
      </c>
    </row>
    <row r="703" spans="1:17">
      <c r="A703" s="64">
        <v>42310</v>
      </c>
      <c r="B703">
        <v>2104.0500489999999</v>
      </c>
      <c r="C703" s="68">
        <f>LN(B703)-LN(B702)</f>
        <v>1.1803876623389442E-2</v>
      </c>
      <c r="D703" s="68"/>
      <c r="E703" s="68"/>
      <c r="F703" s="68"/>
      <c r="G703" s="68"/>
      <c r="H703" s="68"/>
      <c r="I703">
        <f>_xlfn.STDEV.S(C683:C703)</f>
        <v>7.9432726032986015E-3</v>
      </c>
      <c r="J703">
        <f>_xlfn.NORM.S.INV(0.99)*I703*SQRT(10)</f>
        <v>5.8435144915853561E-2</v>
      </c>
      <c r="K703">
        <f>LN(B712)-LN(B703)</f>
        <v>-3.9262732257093091E-2</v>
      </c>
      <c r="L703">
        <f>IF(K703&lt;-(J703),1,0)</f>
        <v>0</v>
      </c>
      <c r="M703" s="72">
        <f t="shared" si="10"/>
        <v>5.1119281363156702E-2</v>
      </c>
      <c r="N703">
        <f>SQRT((N702^2)*0.72+(1-0.72)*(C702^2))</f>
        <v>6.9658779903186549E-3</v>
      </c>
      <c r="O703">
        <f>_xlfn.NORM.S.INV(0.99)*N703*SQRT(10)</f>
        <v>5.1244884842727031E-2</v>
      </c>
      <c r="P703">
        <f>LN(B712)-LN(B703)</f>
        <v>-3.9262732257093091E-2</v>
      </c>
      <c r="Q703">
        <f>IF(P703&lt;-(O703),1,0)</f>
        <v>0</v>
      </c>
    </row>
    <row r="704" spans="1:17">
      <c r="A704" s="64">
        <v>42311</v>
      </c>
      <c r="B704">
        <v>2109.790039</v>
      </c>
      <c r="C704" s="68">
        <f>LN(B704)-LN(B703)</f>
        <v>2.7243528137557149E-3</v>
      </c>
      <c r="D704" s="68"/>
      <c r="E704" s="68"/>
      <c r="F704" s="68"/>
      <c r="G704" s="68"/>
      <c r="H704" s="68"/>
      <c r="I704">
        <f>_xlfn.STDEV.S(C684:C704)</f>
        <v>7.2112269048045024E-3</v>
      </c>
      <c r="J704">
        <f>_xlfn.NORM.S.INV(0.99)*I704*SQRT(10)</f>
        <v>5.304980834075404E-2</v>
      </c>
      <c r="K704">
        <f>LN(B713)-LN(B704)</f>
        <v>-2.7193782443583281E-2</v>
      </c>
      <c r="L704">
        <f>IF(K704&lt;-(J704),1,0)</f>
        <v>0</v>
      </c>
      <c r="M704" s="72">
        <f t="shared" si="10"/>
        <v>6.3133553262717301E-2</v>
      </c>
      <c r="N704">
        <f>SQRT((N703^2)*0.72+(1-0.72)*(C703^2))</f>
        <v>8.5994016874419901E-3</v>
      </c>
      <c r="O704">
        <f>_xlfn.NORM.S.INV(0.99)*N704*SQRT(10)</f>
        <v>6.3261996521009778E-2</v>
      </c>
      <c r="P704">
        <f>LN(B713)-LN(B704)</f>
        <v>-2.7193782443583281E-2</v>
      </c>
      <c r="Q704">
        <f>IF(P704&lt;-(O704),1,0)</f>
        <v>0</v>
      </c>
    </row>
    <row r="705" spans="1:17">
      <c r="A705" s="64">
        <v>42312</v>
      </c>
      <c r="B705">
        <v>2102.3100589999999</v>
      </c>
      <c r="C705" s="68">
        <f>LN(B705)-LN(B704)</f>
        <v>-3.5516667167829752E-3</v>
      </c>
      <c r="D705" s="68"/>
      <c r="E705" s="68"/>
      <c r="F705" s="68"/>
      <c r="G705" s="68"/>
      <c r="H705" s="68"/>
      <c r="I705">
        <f>_xlfn.STDEV.S(C685:C705)</f>
        <v>7.2093090477768082E-3</v>
      </c>
      <c r="J705">
        <f>_xlfn.NORM.S.INV(0.99)*I705*SQRT(10)</f>
        <v>5.3035699514463144E-2</v>
      </c>
      <c r="K705">
        <f>LN(B714)-LN(B705)</f>
        <v>-2.4982392745312332E-2</v>
      </c>
      <c r="L705">
        <f>IF(K705&lt;-(J705),1,0)</f>
        <v>0</v>
      </c>
      <c r="M705" s="72">
        <f t="shared" si="10"/>
        <v>5.4607725166195303E-2</v>
      </c>
      <c r="N705">
        <f>SQRT((N704^2)*0.72+(1-0.72)*(C704^2))</f>
        <v>7.4378745798846955E-3</v>
      </c>
      <c r="O705">
        <f>_xlfn.NORM.S.INV(0.99)*N705*SQRT(10)</f>
        <v>5.4717155088069819E-2</v>
      </c>
      <c r="P705">
        <f>LN(B714)-LN(B705)</f>
        <v>-2.4982392745312332E-2</v>
      </c>
      <c r="Q705">
        <f>IF(P705&lt;-(O705),1,0)</f>
        <v>0</v>
      </c>
    </row>
    <row r="706" spans="1:17">
      <c r="A706" s="64">
        <v>42313</v>
      </c>
      <c r="B706">
        <v>2099.929932</v>
      </c>
      <c r="C706" s="68">
        <f>LN(B706)-LN(B705)</f>
        <v>-1.1327897786017616E-3</v>
      </c>
      <c r="D706" s="68"/>
      <c r="E706" s="68"/>
      <c r="F706" s="68"/>
      <c r="G706" s="68"/>
      <c r="H706" s="68"/>
      <c r="I706">
        <f>_xlfn.STDEV.S(C686:C706)</f>
        <v>7.1586489828395364E-3</v>
      </c>
      <c r="J706">
        <f>_xlfn.NORM.S.INV(0.99)*I706*SQRT(10)</f>
        <v>5.266301581293354E-2</v>
      </c>
      <c r="K706">
        <f>LN(B715)-LN(B706)</f>
        <v>-7.8163729514031388E-3</v>
      </c>
      <c r="L706">
        <f>IF(K706&lt;-(J706),1,0)</f>
        <v>0</v>
      </c>
      <c r="M706" s="72">
        <f t="shared" si="10"/>
        <v>4.8340779283350302E-2</v>
      </c>
      <c r="N706">
        <f>SQRT((N705^2)*0.72+(1-0.72)*(C705^2))</f>
        <v>6.585122516884364E-3</v>
      </c>
      <c r="O706">
        <f>_xlfn.NORM.S.INV(0.99)*N706*SQRT(10)</f>
        <v>4.8443835152150165E-2</v>
      </c>
      <c r="P706">
        <f>LN(B715)-LN(B706)</f>
        <v>-7.8163729514031388E-3</v>
      </c>
      <c r="Q706">
        <f>IF(P706&lt;-(O706),1,0)</f>
        <v>0</v>
      </c>
    </row>
    <row r="707" spans="1:17">
      <c r="A707" s="64">
        <v>42314</v>
      </c>
      <c r="B707">
        <v>2099.1999510000001</v>
      </c>
      <c r="C707" s="68">
        <f>LN(B707)-LN(B706)</f>
        <v>-3.4768203303681133E-4</v>
      </c>
      <c r="D707" s="68"/>
      <c r="E707" s="68"/>
      <c r="F707" s="68"/>
      <c r="G707" s="68"/>
      <c r="H707" s="68"/>
      <c r="I707">
        <f>_xlfn.STDEV.S(C687:C707)</f>
        <v>7.0291964448875839E-3</v>
      </c>
      <c r="J707">
        <f>_xlfn.NORM.S.INV(0.99)*I707*SQRT(10)</f>
        <v>5.1710690720652805E-2</v>
      </c>
      <c r="K707">
        <f>LN(B716)-LN(B707)</f>
        <v>-8.5924312999656749E-3</v>
      </c>
      <c r="L707">
        <f>IF(K707&lt;-(J707),1,0)</f>
        <v>0</v>
      </c>
      <c r="M707" s="72">
        <f t="shared" si="10"/>
        <v>4.1235008237374846E-2</v>
      </c>
      <c r="N707">
        <f>SQRT((N706^2)*0.72+(1-0.72)*(C706^2))</f>
        <v>5.6197209286594531E-3</v>
      </c>
      <c r="O707">
        <f>_xlfn.NORM.S.INV(0.99)*N707*SQRT(10)</f>
        <v>4.1341802460172418E-2</v>
      </c>
      <c r="P707">
        <f>LN(B716)-LN(B707)</f>
        <v>-8.5924312999656749E-3</v>
      </c>
      <c r="Q707">
        <f>IF(P707&lt;-(O707),1,0)</f>
        <v>0</v>
      </c>
    </row>
    <row r="708" spans="1:17">
      <c r="A708" s="64">
        <v>42317</v>
      </c>
      <c r="B708">
        <v>2078.580078</v>
      </c>
      <c r="C708" s="68">
        <f>LN(B708)-LN(B707)</f>
        <v>-9.8712906347628859E-3</v>
      </c>
      <c r="D708" s="68"/>
      <c r="E708" s="68"/>
      <c r="F708" s="68"/>
      <c r="G708" s="68"/>
      <c r="H708" s="68"/>
      <c r="I708">
        <f>_xlfn.STDEV.S(C688:C708)</f>
        <v>7.4895291670046106E-3</v>
      </c>
      <c r="J708">
        <f>_xlfn.NORM.S.INV(0.99)*I708*SQRT(10)</f>
        <v>5.5097155049630663E-2</v>
      </c>
      <c r="K708">
        <f>LN(B717)-LN(B708)</f>
        <v>5.0818147873918917E-3</v>
      </c>
      <c r="L708">
        <f>IF(K708&lt;-(J708),1,0)</f>
        <v>0</v>
      </c>
      <c r="M708" s="72">
        <f t="shared" si="10"/>
        <v>3.5015071972588838E-2</v>
      </c>
      <c r="N708">
        <f>SQRT((N707^2)*0.72+(1-0.72)*(C707^2))</f>
        <v>4.77203905793283E-3</v>
      </c>
      <c r="O708">
        <f>_xlfn.NORM.S.INV(0.99)*N708*SQRT(10)</f>
        <v>3.5105781687338578E-2</v>
      </c>
      <c r="P708">
        <f>LN(B717)-LN(B708)</f>
        <v>5.0818147873918917E-3</v>
      </c>
      <c r="Q708">
        <f>IF(P708&lt;-(O708),1,0)</f>
        <v>0</v>
      </c>
    </row>
    <row r="709" spans="1:17">
      <c r="A709" s="64">
        <v>42318</v>
      </c>
      <c r="B709">
        <v>2081.719971</v>
      </c>
      <c r="C709" s="68">
        <f>LN(B709)-LN(B708)</f>
        <v>1.5094553561967317E-3</v>
      </c>
      <c r="D709" s="68"/>
      <c r="E709" s="68"/>
      <c r="F709" s="68"/>
      <c r="G709" s="68"/>
      <c r="H709" s="68"/>
      <c r="I709">
        <f>_xlfn.STDEV.S(C689:C709)</f>
        <v>7.4893795450251006E-3</v>
      </c>
      <c r="J709">
        <f>_xlfn.NORM.S.INV(0.99)*I709*SQRT(10)</f>
        <v>5.5096054346873508E-2</v>
      </c>
      <c r="K709">
        <f>LN(B718)-LN(B709)</f>
        <v>2.336735582097127E-3</v>
      </c>
      <c r="L709">
        <f>IF(K709&lt;-(J709),1,0)</f>
        <v>0</v>
      </c>
      <c r="M709" s="72">
        <f t="shared" si="10"/>
        <v>4.8572618919438121E-2</v>
      </c>
      <c r="N709">
        <f>SQRT((N708^2)*0.72+(1-0.72)*(C708^2))</f>
        <v>6.6090818528432779E-3</v>
      </c>
      <c r="O709">
        <f>_xlfn.NORM.S.INV(0.99)*N709*SQRT(10)</f>
        <v>4.8620093394661619E-2</v>
      </c>
      <c r="P709">
        <f>LN(B718)-LN(B709)</f>
        <v>2.336735582097127E-3</v>
      </c>
      <c r="Q709">
        <f>IF(P709&lt;-(O709),1,0)</f>
        <v>0</v>
      </c>
    </row>
    <row r="710" spans="1:17">
      <c r="A710" s="64">
        <v>42319</v>
      </c>
      <c r="B710">
        <v>2075</v>
      </c>
      <c r="C710" s="68">
        <f>LN(B710)-LN(B709)</f>
        <v>-3.2333074641792692E-3</v>
      </c>
      <c r="D710" s="68"/>
      <c r="E710" s="68"/>
      <c r="F710" s="68"/>
      <c r="G710" s="68"/>
      <c r="H710" s="68"/>
      <c r="I710">
        <f>_xlfn.STDEV.S(C690:C710)</f>
        <v>7.3278402284729042E-3</v>
      </c>
      <c r="J710">
        <f>_xlfn.NORM.S.INV(0.99)*I710*SQRT(10)</f>
        <v>5.3907681009615058E-2</v>
      </c>
      <c r="K710">
        <f>LN(B719)-LN(B710)</f>
        <v>6.791293140755883E-3</v>
      </c>
      <c r="L710">
        <f>IF(K710&lt;-(J710),1,0)</f>
        <v>0</v>
      </c>
      <c r="M710" s="72">
        <f t="shared" si="10"/>
        <v>4.1620011215320649E-2</v>
      </c>
      <c r="N710">
        <f>SQRT((N709^2)*0.72+(1-0.72)*(C709^2))</f>
        <v>5.6645865557265127E-3</v>
      </c>
      <c r="O710">
        <f>_xlfn.NORM.S.INV(0.99)*N710*SQRT(10)</f>
        <v>4.1671859043943139E-2</v>
      </c>
      <c r="P710">
        <f>LN(B719)-LN(B710)</f>
        <v>6.791293140755883E-3</v>
      </c>
      <c r="Q710">
        <f>IF(P710&lt;-(O710),1,0)</f>
        <v>0</v>
      </c>
    </row>
    <row r="711" spans="1:17">
      <c r="A711" s="64">
        <v>42320</v>
      </c>
      <c r="B711">
        <v>2045.969971</v>
      </c>
      <c r="C711" s="68">
        <f>LN(B711)-LN(B710)</f>
        <v>-1.4089163191529863E-2</v>
      </c>
      <c r="D711" s="68"/>
      <c r="E711" s="68"/>
      <c r="F711" s="68"/>
      <c r="G711" s="68"/>
      <c r="H711" s="68"/>
      <c r="I711">
        <f>_xlfn.STDEV.S(C691:C711)</f>
        <v>7.9909542247421136E-3</v>
      </c>
      <c r="J711">
        <f>_xlfn.NORM.S.INV(0.99)*I711*SQRT(10)</f>
        <v>5.8785917525334123E-2</v>
      </c>
      <c r="K711">
        <f>LN(B720)-LN(B711)</f>
        <v>2.0751315425620476E-2</v>
      </c>
      <c r="L711">
        <f>IF(K711&lt;-(J711),1,0)</f>
        <v>0</v>
      </c>
      <c r="M711" s="72">
        <f t="shared" si="10"/>
        <v>3.7485255727581095E-2</v>
      </c>
      <c r="N711">
        <f>SQRT((N710^2)*0.72+(1-0.72)*(C710^2))</f>
        <v>5.1019826552317384E-3</v>
      </c>
      <c r="O711">
        <f>_xlfn.NORM.S.INV(0.99)*N711*SQRT(10)</f>
        <v>3.7533030868515262E-2</v>
      </c>
      <c r="P711">
        <f>LN(B720)-LN(B711)</f>
        <v>2.0751315425620476E-2</v>
      </c>
      <c r="Q711">
        <f>IF(P711&lt;-(O711),1,0)</f>
        <v>0</v>
      </c>
    </row>
    <row r="712" spans="1:17">
      <c r="A712" s="64">
        <v>42321</v>
      </c>
      <c r="B712">
        <v>2023.040039</v>
      </c>
      <c r="C712" s="68">
        <f>LN(B712)-LN(B711)</f>
        <v>-1.1270640608151972E-2</v>
      </c>
      <c r="D712" s="68"/>
      <c r="E712" s="68"/>
      <c r="F712" s="68"/>
      <c r="G712" s="68"/>
      <c r="H712" s="68"/>
      <c r="I712">
        <f>_xlfn.STDEV.S(C692:C712)</f>
        <v>7.8037929783911809E-3</v>
      </c>
      <c r="J712">
        <f>_xlfn.NORM.S.INV(0.99)*I712*SQRT(10)</f>
        <v>5.7409054977697681E-2</v>
      </c>
      <c r="K712">
        <f>LN(B721)-LN(B712)</f>
        <v>3.2615397481171371E-2</v>
      </c>
      <c r="L712">
        <f>IF(K712&lt;-(J712),1,0)</f>
        <v>0</v>
      </c>
      <c r="M712" s="72">
        <f t="shared" si="10"/>
        <v>6.3364709088495161E-2</v>
      </c>
      <c r="N712">
        <f>SQRT((N711^2)*0.72+(1-0.72)*(C711^2))</f>
        <v>8.62108049450893E-3</v>
      </c>
      <c r="O712">
        <f>_xlfn.NORM.S.INV(0.99)*N712*SQRT(10)</f>
        <v>6.3421477920657748E-2</v>
      </c>
      <c r="P712">
        <f>LN(B721)-LN(B712)</f>
        <v>3.2615397481171371E-2</v>
      </c>
      <c r="Q712">
        <f>IF(P712&lt;-(O712),1,0)</f>
        <v>0</v>
      </c>
    </row>
    <row r="713" spans="1:17">
      <c r="A713" s="64">
        <v>42324</v>
      </c>
      <c r="B713">
        <v>2053.1899410000001</v>
      </c>
      <c r="C713" s="68">
        <f>LN(B713)-LN(B712)</f>
        <v>1.4793302627265525E-2</v>
      </c>
      <c r="D713" s="68"/>
      <c r="E713" s="68"/>
      <c r="F713" s="68"/>
      <c r="G713" s="68"/>
      <c r="H713" s="68"/>
      <c r="I713">
        <f>_xlfn.STDEV.S(C693:C713)</f>
        <v>8.4007131748348261E-3</v>
      </c>
      <c r="J713">
        <f>_xlfn.NORM.S.INV(0.99)*I713*SQRT(10)</f>
        <v>6.180033297159393E-2</v>
      </c>
      <c r="K713">
        <f>LN(B722)-LN(B713)</f>
        <v>1.3170294863556364E-2</v>
      </c>
      <c r="L713">
        <f>IF(K713&lt;-(J713),1,0)</f>
        <v>0</v>
      </c>
      <c r="M713" s="72">
        <f t="shared" si="10"/>
        <v>6.9392394782544567E-2</v>
      </c>
      <c r="N713">
        <f>SQRT((N712^2)*0.72+(1-0.72)*(C712^2))</f>
        <v>9.4382326695145874E-3</v>
      </c>
      <c r="O713">
        <f>_xlfn.NORM.S.INV(0.99)*N713*SQRT(10)</f>
        <v>6.9432905218888868E-2</v>
      </c>
      <c r="P713">
        <f>LN(B722)-LN(B713)</f>
        <v>1.3170294863556364E-2</v>
      </c>
      <c r="Q713">
        <f>IF(P713&lt;-(O713),1,0)</f>
        <v>0</v>
      </c>
    </row>
    <row r="714" spans="1:17">
      <c r="A714" s="64">
        <v>42325</v>
      </c>
      <c r="B714">
        <v>2050.4399410000001</v>
      </c>
      <c r="C714" s="68">
        <f>LN(B714)-LN(B713)</f>
        <v>-1.3402770185120261E-3</v>
      </c>
      <c r="D714" s="68"/>
      <c r="E714" s="68"/>
      <c r="F714" s="68"/>
      <c r="G714" s="68"/>
      <c r="H714" s="68"/>
      <c r="I714">
        <f>_xlfn.STDEV.S(C694:C714)</f>
        <v>8.4099552588178476E-3</v>
      </c>
      <c r="J714">
        <f>_xlfn.NORM.S.INV(0.99)*I714*SQRT(10)</f>
        <v>6.1868322897641298E-2</v>
      </c>
      <c r="K714">
        <f>LN(B723)-LN(B714)</f>
        <v>2.5134510970556079E-2</v>
      </c>
      <c r="L714">
        <f>IF(K714&lt;-(J714),1,0)</f>
        <v>0</v>
      </c>
      <c r="M714" s="72">
        <f t="shared" si="10"/>
        <v>8.2360148764303434E-2</v>
      </c>
      <c r="N714">
        <f>SQRT((N713^2)*0.72+(1-0.72)*(C713^2))</f>
        <v>1.1198815767719535E-2</v>
      </c>
      <c r="O714">
        <f>_xlfn.NORM.S.INV(0.99)*N714*SQRT(10)</f>
        <v>8.2384736739474662E-2</v>
      </c>
      <c r="P714">
        <f>LN(B723)-LN(B714)</f>
        <v>2.5134510970556079E-2</v>
      </c>
      <c r="Q714">
        <f>IF(P714&lt;-(O714),1,0)</f>
        <v>0</v>
      </c>
    </row>
    <row r="715" spans="1:17">
      <c r="A715" s="64">
        <v>42326</v>
      </c>
      <c r="B715">
        <v>2083.580078</v>
      </c>
      <c r="C715" s="68">
        <f>LN(B715)-LN(B714)</f>
        <v>1.6033230015307431E-2</v>
      </c>
      <c r="D715" s="68"/>
      <c r="E715" s="68"/>
      <c r="F715" s="68"/>
      <c r="G715" s="68"/>
      <c r="H715" s="68"/>
      <c r="I715">
        <f>_xlfn.STDEV.S(C695:C715)</f>
        <v>9.0593035950490581E-3</v>
      </c>
      <c r="J715">
        <f>_xlfn.NORM.S.INV(0.99)*I715*SQRT(10)</f>
        <v>6.6645291538095855E-2</v>
      </c>
      <c r="K715">
        <f>LN(B724)-LN(B715)</f>
        <v>-1.9553116606676468E-3</v>
      </c>
      <c r="L715">
        <f>IF(K715&lt;-(J715),1,0)</f>
        <v>0</v>
      </c>
      <c r="M715" s="72">
        <f t="shared" si="10"/>
        <v>7.0079079077255427E-2</v>
      </c>
      <c r="N715">
        <f>SQRT((N714^2)*0.72+(1-0.72)*(C714^2))</f>
        <v>9.5289389549776983E-3</v>
      </c>
      <c r="O715">
        <f>_xlfn.NORM.S.INV(0.99)*N715*SQRT(10)</f>
        <v>7.0100191260867903E-2</v>
      </c>
      <c r="P715">
        <f>LN(B724)-LN(B715)</f>
        <v>-1.9553116606676468E-3</v>
      </c>
      <c r="Q715">
        <f>IF(P715&lt;-(O715),1,0)</f>
        <v>0</v>
      </c>
    </row>
    <row r="716" spans="1:17">
      <c r="A716" s="64">
        <v>42327</v>
      </c>
      <c r="B716">
        <v>2081.23999</v>
      </c>
      <c r="C716" s="68">
        <f>LN(B716)-LN(B715)</f>
        <v>-1.1237403815993474E-3</v>
      </c>
      <c r="D716" s="68"/>
      <c r="E716" s="68"/>
      <c r="F716" s="68"/>
      <c r="G716" s="68"/>
      <c r="H716" s="68"/>
      <c r="I716">
        <f>_xlfn.STDEV.S(C696:C716)</f>
        <v>8.9329464413822352E-3</v>
      </c>
      <c r="J716">
        <f>_xlfn.NORM.S.INV(0.99)*I716*SQRT(10)</f>
        <v>6.5715737819568132E-2</v>
      </c>
      <c r="K716">
        <f>LN(B725)-LN(B716)</f>
        <v>-1.5309397927405932E-2</v>
      </c>
      <c r="L716">
        <f>IF(K716&lt;-(J716),1,0)</f>
        <v>0</v>
      </c>
      <c r="M716" s="72">
        <f t="shared" si="10"/>
        <v>8.6201083197084694E-2</v>
      </c>
      <c r="N716">
        <f>SQRT((N715^2)*0.72+(1-0.72)*(C715^2))</f>
        <v>1.1719835237757794E-2</v>
      </c>
      <c r="O716">
        <f>_xlfn.NORM.S.INV(0.99)*N716*SQRT(10)</f>
        <v>8.6217646644017487E-2</v>
      </c>
      <c r="P716">
        <f>LN(B725)-LN(B716)</f>
        <v>-1.5309397927405932E-2</v>
      </c>
      <c r="Q716">
        <f>IF(P716&lt;-(O716),1,0)</f>
        <v>0</v>
      </c>
    </row>
    <row r="717" spans="1:17">
      <c r="A717" s="64">
        <v>42328</v>
      </c>
      <c r="B717">
        <v>2089.169922</v>
      </c>
      <c r="C717" s="68">
        <f>LN(B717)-LN(B716)</f>
        <v>3.8029554525946807E-3</v>
      </c>
      <c r="D717" s="68"/>
      <c r="E717" s="68"/>
      <c r="F717" s="68"/>
      <c r="G717" s="68"/>
      <c r="H717" s="68"/>
      <c r="I717">
        <f>_xlfn.STDEV.S(C697:C717)</f>
        <v>8.2689876998051498E-3</v>
      </c>
      <c r="J717">
        <f>_xlfn.NORM.S.INV(0.99)*I717*SQRT(10)</f>
        <v>6.0831286886070909E-2</v>
      </c>
      <c r="K717">
        <f>LN(B726)-LN(B717)</f>
        <v>1.2055028811106538E-3</v>
      </c>
      <c r="L717">
        <f>IF(K717&lt;-(J717),1,0)</f>
        <v>0</v>
      </c>
      <c r="M717" s="72">
        <f t="shared" si="10"/>
        <v>7.3235309250455044E-2</v>
      </c>
      <c r="N717">
        <f>SQRT((N716^2)*0.72+(1-0.72)*(C716^2))</f>
        <v>9.9623716676704374E-3</v>
      </c>
      <c r="O717">
        <f>_xlfn.NORM.S.INV(0.99)*N717*SQRT(10)</f>
        <v>7.3288764112686422E-2</v>
      </c>
      <c r="P717">
        <f>LN(B726)-LN(B717)</f>
        <v>1.2055028811106538E-3</v>
      </c>
      <c r="Q717">
        <f>IF(P717&lt;-(O717),1,0)</f>
        <v>0</v>
      </c>
    </row>
    <row r="718" spans="1:17">
      <c r="A718" s="64">
        <v>42331</v>
      </c>
      <c r="B718">
        <v>2086.5900879999999</v>
      </c>
      <c r="C718" s="68">
        <f>LN(B718)-LN(B717)</f>
        <v>-1.2356238490980331E-3</v>
      </c>
      <c r="D718" s="68"/>
      <c r="E718" s="68"/>
      <c r="F718" s="68"/>
      <c r="G718" s="68"/>
      <c r="H718" s="68"/>
      <c r="I718">
        <f>_xlfn.STDEV.S(C698:C718)</f>
        <v>7.9441644613312927E-3</v>
      </c>
      <c r="J718">
        <f>_xlfn.NORM.S.INV(0.99)*I718*SQRT(10)</f>
        <v>5.8441705921120211E-2</v>
      </c>
      <c r="K718">
        <f>LN(B727)-LN(B718)</f>
        <v>-4.5729172089883363E-3</v>
      </c>
      <c r="L718">
        <f>IF(K718&lt;-(J718),1,0)</f>
        <v>0</v>
      </c>
      <c r="M718" s="72">
        <f t="shared" si="10"/>
        <v>6.3861206947214769E-2</v>
      </c>
      <c r="N718">
        <f>SQRT((N717^2)*0.72+(1-0.72)*(C717^2))</f>
        <v>8.689572089872746E-3</v>
      </c>
      <c r="O718">
        <f>_xlfn.NORM.S.INV(0.99)*N718*SQRT(10)</f>
        <v>6.3925340308427309E-2</v>
      </c>
      <c r="P718">
        <f>LN(B727)-LN(B718)</f>
        <v>-4.5729172089883363E-3</v>
      </c>
      <c r="Q718">
        <f>IF(P718&lt;-(O718),1,0)</f>
        <v>0</v>
      </c>
    </row>
    <row r="719" spans="1:17">
      <c r="A719" s="64">
        <v>42332</v>
      </c>
      <c r="B719">
        <v>2089.139893</v>
      </c>
      <c r="C719" s="68">
        <f>LN(B719)-LN(B718)</f>
        <v>1.2212500944794868E-3</v>
      </c>
      <c r="D719" s="68"/>
      <c r="E719" s="68"/>
      <c r="F719" s="68"/>
      <c r="G719" s="68"/>
      <c r="H719" s="68"/>
      <c r="I719">
        <f>_xlfn.STDEV.S(C699:C719)</f>
        <v>7.9306651491038264E-3</v>
      </c>
      <c r="J719">
        <f>_xlfn.NORM.S.INV(0.99)*I719*SQRT(10)</f>
        <v>5.8342397448948591E-2</v>
      </c>
      <c r="K719">
        <f>LN(B728)-LN(B719)</f>
        <v>-1.2305219703040216E-2</v>
      </c>
      <c r="L719">
        <f>IF(K719&lt;-(J719),1,0)</f>
        <v>0</v>
      </c>
      <c r="M719" s="72">
        <f t="shared" si="10"/>
        <v>5.4400371042441151E-2</v>
      </c>
      <c r="N719">
        <f>SQRT((N718^2)*0.72+(1-0.72)*(C718^2))</f>
        <v>7.4022788382144484E-3</v>
      </c>
      <c r="O719">
        <f>_xlfn.NORM.S.INV(0.99)*N719*SQRT(10)</f>
        <v>5.4455292953057045E-2</v>
      </c>
      <c r="P719">
        <f>LN(B728)-LN(B719)</f>
        <v>-1.2305219703040216E-2</v>
      </c>
      <c r="Q719">
        <f>IF(P719&lt;-(O719),1,0)</f>
        <v>0</v>
      </c>
    </row>
    <row r="720" spans="1:17">
      <c r="A720" s="64">
        <v>42333</v>
      </c>
      <c r="B720">
        <v>2088.8701169999999</v>
      </c>
      <c r="C720" s="68">
        <f>LN(B720)-LN(B719)</f>
        <v>-1.2914090666527045E-4</v>
      </c>
      <c r="D720" s="68"/>
      <c r="E720" s="68"/>
      <c r="F720" s="68"/>
      <c r="G720" s="68"/>
      <c r="H720" s="68"/>
      <c r="I720">
        <f>_xlfn.STDEV.S(C700:C720)</f>
        <v>7.9028727736682736E-3</v>
      </c>
      <c r="J720">
        <f>_xlfn.NORM.S.INV(0.99)*I720*SQRT(10)</f>
        <v>5.8137941229548795E-2</v>
      </c>
      <c r="K720">
        <f>LN(B729)-LN(B720)</f>
        <v>-1.9945165272300613E-2</v>
      </c>
      <c r="L720">
        <f>IF(K720&lt;-(J720),1,0)</f>
        <v>0</v>
      </c>
      <c r="M720" s="72">
        <f t="shared" si="10"/>
        <v>4.6402906955336672E-2</v>
      </c>
      <c r="N720">
        <f>SQRT((N719^2)*0.72+(1-0.72)*(C719^2))</f>
        <v>6.314197774948317E-3</v>
      </c>
      <c r="O720">
        <f>_xlfn.NORM.S.INV(0.99)*N720*SQRT(10)</f>
        <v>4.6450761598342029E-2</v>
      </c>
      <c r="P720">
        <f>LN(B729)-LN(B720)</f>
        <v>-1.9945165272300613E-2</v>
      </c>
      <c r="Q720">
        <f>IF(P720&lt;-(O720),1,0)</f>
        <v>0</v>
      </c>
    </row>
    <row r="721" spans="1:17">
      <c r="A721" s="64">
        <v>42335</v>
      </c>
      <c r="B721">
        <v>2090.110107</v>
      </c>
      <c r="C721" s="68">
        <f>LN(B721)-LN(B720)</f>
        <v>5.9344144739892357E-4</v>
      </c>
      <c r="D721" s="68"/>
      <c r="E721" s="68"/>
      <c r="F721" s="68"/>
      <c r="G721" s="68"/>
      <c r="H721" s="68"/>
      <c r="I721">
        <f>_xlfn.STDEV.S(C701:C721)</f>
        <v>7.472423944815761E-3</v>
      </c>
      <c r="J721">
        <f>_xlfn.NORM.S.INV(0.99)*I721*SQRT(10)</f>
        <v>5.4971319492003165E-2</v>
      </c>
      <c r="K721">
        <f>LN(B730)-LN(B721)</f>
        <v>-1.8289750312284525E-2</v>
      </c>
      <c r="L721">
        <f>IF(K721&lt;-(J721),1,0)</f>
        <v>0</v>
      </c>
      <c r="M721" s="72">
        <f t="shared" si="10"/>
        <v>3.9339998128953522E-2</v>
      </c>
      <c r="N721">
        <f>SQRT((N720^2)*0.72+(1-0.72)*(C720^2))</f>
        <v>5.3582102435695495E-3</v>
      </c>
      <c r="O721">
        <f>_xlfn.NORM.S.INV(0.99)*N721*SQRT(10)</f>
        <v>3.9417983960738479E-2</v>
      </c>
      <c r="P721">
        <f>LN(B730)-LN(B721)</f>
        <v>-1.8289750312284525E-2</v>
      </c>
      <c r="Q721">
        <f>IF(P721&lt;-(O721),1,0)</f>
        <v>0</v>
      </c>
    </row>
    <row r="722" spans="1:17">
      <c r="A722" s="64">
        <v>42338</v>
      </c>
      <c r="B722">
        <v>2080.4099120000001</v>
      </c>
      <c r="C722" s="68">
        <f>LN(B722)-LN(B721)</f>
        <v>-4.6517999903494811E-3</v>
      </c>
      <c r="D722" s="68"/>
      <c r="E722" s="68"/>
      <c r="F722" s="68"/>
      <c r="G722" s="68"/>
      <c r="H722" s="68"/>
      <c r="I722">
        <f>_xlfn.STDEV.S(C702:C722)</f>
        <v>7.540863777135141E-3</v>
      </c>
      <c r="J722">
        <f>_xlfn.NORM.S.INV(0.99)*I722*SQRT(10)</f>
        <v>5.5474801081938641E-2</v>
      </c>
      <c r="K722">
        <f>LN(B731)-LN(B722)</f>
        <v>-3.3251817907573589E-2</v>
      </c>
      <c r="L722">
        <f>IF(K722&lt;-(J722),1,0)</f>
        <v>0</v>
      </c>
      <c r="M722" s="72">
        <f t="shared" si="10"/>
        <v>3.3460869805842397E-2</v>
      </c>
      <c r="N722">
        <f>SQRT((N721^2)*0.72+(1-0.72)*(C721^2))</f>
        <v>4.5574234629567716E-3</v>
      </c>
      <c r="O722">
        <f>_xlfn.NORM.S.INV(0.99)*N722*SQRT(10)</f>
        <v>3.3526949634109009E-2</v>
      </c>
      <c r="P722">
        <f>LN(B731)-LN(B722)</f>
        <v>-3.3251817907573589E-2</v>
      </c>
      <c r="Q722">
        <f>IF(P722&lt;-(O722),1,0)</f>
        <v>0</v>
      </c>
    </row>
    <row r="723" spans="1:17">
      <c r="A723" s="64">
        <v>42339</v>
      </c>
      <c r="B723">
        <v>2102.6298830000001</v>
      </c>
      <c r="C723" s="68">
        <f>LN(B723)-LN(B722)</f>
        <v>1.0623939088487688E-2</v>
      </c>
      <c r="D723" s="68"/>
      <c r="E723" s="68"/>
      <c r="F723" s="68"/>
      <c r="G723" s="68"/>
      <c r="H723" s="68"/>
      <c r="I723">
        <f>_xlfn.STDEV.S(C703:C723)</f>
        <v>7.8163411127239266E-3</v>
      </c>
      <c r="J723">
        <f>_xlfn.NORM.S.INV(0.99)*I723*SQRT(10)</f>
        <v>5.7501366054602314E-2</v>
      </c>
      <c r="K723">
        <f>LN(B732)-LN(B723)</f>
        <v>-3.913146907468068E-2</v>
      </c>
      <c r="L723">
        <f>IF(K723&lt;-(J723),1,0)</f>
        <v>0</v>
      </c>
      <c r="M723" s="72">
        <f t="shared" si="10"/>
        <v>3.3668170988221328E-2</v>
      </c>
      <c r="N723">
        <f>SQRT((N722^2)*0.72+(1-0.72)*(C722^2))</f>
        <v>4.584044752068933E-3</v>
      </c>
      <c r="O723">
        <f>_xlfn.NORM.S.INV(0.99)*N723*SQRT(10)</f>
        <v>3.3722790689150975E-2</v>
      </c>
      <c r="P723">
        <f>LN(B732)-LN(B723)</f>
        <v>-3.913146907468068E-2</v>
      </c>
      <c r="Q723">
        <f>IF(P723&lt;-(O723),1,0)</f>
        <v>1</v>
      </c>
    </row>
    <row r="724" spans="1:17">
      <c r="A724" s="64">
        <v>42340</v>
      </c>
      <c r="B724">
        <v>2079.51001</v>
      </c>
      <c r="C724" s="68">
        <f>LN(B724)-LN(B723)</f>
        <v>-1.1056592615916294E-2</v>
      </c>
      <c r="D724" s="68"/>
      <c r="E724" s="68"/>
      <c r="F724" s="68"/>
      <c r="G724" s="68"/>
      <c r="H724" s="68"/>
      <c r="I724">
        <f>_xlfn.STDEV.S(C704:C724)</f>
        <v>7.7593941961970666E-3</v>
      </c>
      <c r="J724">
        <f>_xlfn.NORM.S.INV(0.99)*I724*SQRT(10)</f>
        <v>5.7082432765270634E-2</v>
      </c>
      <c r="K724">
        <f>LN(B733)-LN(B724)</f>
        <v>-1.7512296239863723E-2</v>
      </c>
      <c r="L724">
        <f>IF(K724&lt;-(J724),1,0)</f>
        <v>0</v>
      </c>
      <c r="M724" s="72">
        <f t="shared" si="10"/>
        <v>5.0234628612634662E-2</v>
      </c>
      <c r="N724">
        <f>SQRT((N723^2)*0.72+(1-0.72)*(C723^2))</f>
        <v>6.8361362347242596E-3</v>
      </c>
      <c r="O724">
        <f>_xlfn.NORM.S.INV(0.99)*N724*SQRT(10)</f>
        <v>5.0290432104110529E-2</v>
      </c>
      <c r="P724">
        <f>LN(B733)-LN(B724)</f>
        <v>-1.7512296239863723E-2</v>
      </c>
      <c r="Q724">
        <f>IF(P724&lt;-(O724),1,0)</f>
        <v>0</v>
      </c>
    </row>
    <row r="725" spans="1:17">
      <c r="A725" s="64">
        <v>42341</v>
      </c>
      <c r="B725">
        <v>2049.6201169999999</v>
      </c>
      <c r="C725" s="68">
        <f>LN(B725)-LN(B724)</f>
        <v>-1.4477826648337633E-2</v>
      </c>
      <c r="D725" s="68"/>
      <c r="E725" s="68"/>
      <c r="F725" s="68"/>
      <c r="G725" s="68"/>
      <c r="H725" s="68"/>
      <c r="I725">
        <f>_xlfn.STDEV.S(C705:C725)</f>
        <v>8.2856439729353231E-3</v>
      </c>
      <c r="J725">
        <f>_xlfn.NORM.S.INV(0.99)*I725*SQRT(10)</f>
        <v>6.0953819723948782E-2</v>
      </c>
      <c r="K725">
        <f>LN(B734)-LN(B725)</f>
        <v>1.1376165973826069E-2</v>
      </c>
      <c r="L725">
        <f>IF(K725&lt;-(J725),1,0)</f>
        <v>0</v>
      </c>
      <c r="M725" s="72">
        <f t="shared" si="10"/>
        <v>6.0574252354053115E-2</v>
      </c>
      <c r="N725">
        <f>SQRT((N724^2)*0.72+(1-0.72)*(C724^2))</f>
        <v>8.238755578544912E-3</v>
      </c>
      <c r="O725">
        <f>_xlfn.NORM.S.INV(0.99)*N725*SQRT(10)</f>
        <v>6.0608882535221613E-2</v>
      </c>
      <c r="P725">
        <f>LN(B734)-LN(B725)</f>
        <v>1.1376165973826069E-2</v>
      </c>
      <c r="Q725">
        <f>IF(P725&lt;-(O725),1,0)</f>
        <v>0</v>
      </c>
    </row>
    <row r="726" spans="1:17">
      <c r="A726" s="64">
        <v>42342</v>
      </c>
      <c r="B726">
        <v>2091.6899410000001</v>
      </c>
      <c r="C726" s="68">
        <f>LN(B726)-LN(B725)</f>
        <v>2.0317856261111267E-2</v>
      </c>
      <c r="D726" s="68"/>
      <c r="E726" s="68"/>
      <c r="F726" s="68"/>
      <c r="G726" s="68"/>
      <c r="H726" s="68"/>
      <c r="I726">
        <f>_xlfn.STDEV.S(C706:C726)</f>
        <v>9.5180958113113383E-3</v>
      </c>
      <c r="J726">
        <f>_xlfn.NORM.S.INV(0.99)*I726*SQRT(10)</f>
        <v>7.0020423046539715E-2</v>
      </c>
      <c r="K726">
        <f>LN(B735)-LN(B726)</f>
        <v>-2.4096466577632647E-2</v>
      </c>
      <c r="L726">
        <f>IF(K726&lt;-(J726),1,0)</f>
        <v>0</v>
      </c>
      <c r="M726" s="72">
        <f t="shared" si="10"/>
        <v>7.6274704977806473E-2</v>
      </c>
      <c r="N726">
        <f>SQRT((N725^2)*0.72+(1-0.72)*(C725^2))</f>
        <v>1.037119073956177E-2</v>
      </c>
      <c r="O726">
        <f>_xlfn.NORM.S.INV(0.99)*N726*SQRT(10)</f>
        <v>7.6296265290527673E-2</v>
      </c>
      <c r="P726">
        <f>LN(B735)-LN(B726)</f>
        <v>-2.4096466577632647E-2</v>
      </c>
      <c r="Q726">
        <f>IF(P726&lt;-(O726),1,0)</f>
        <v>0</v>
      </c>
    </row>
    <row r="727" spans="1:17">
      <c r="A727" s="64">
        <v>42345</v>
      </c>
      <c r="B727">
        <v>2077.070068</v>
      </c>
      <c r="C727" s="68">
        <f>LN(B727)-LN(B726)</f>
        <v>-7.0140439391970233E-3</v>
      </c>
      <c r="D727" s="68"/>
      <c r="E727" s="68"/>
      <c r="F727" s="68"/>
      <c r="G727" s="68"/>
      <c r="H727" s="68"/>
      <c r="I727">
        <f>_xlfn.STDEV.S(C707:C727)</f>
        <v>9.63149199440878E-3</v>
      </c>
      <c r="J727">
        <f>_xlfn.NORM.S.INV(0.99)*I727*SQRT(10)</f>
        <v>7.085462863447986E-2</v>
      </c>
      <c r="K727">
        <f>LN(B736)-LN(B727)</f>
        <v>-3.5039917732017756E-2</v>
      </c>
      <c r="L727">
        <f>IF(K727&lt;-(J727),1,0)</f>
        <v>0</v>
      </c>
      <c r="M727" s="72">
        <f t="shared" si="10"/>
        <v>0.10219748743609004</v>
      </c>
      <c r="N727">
        <f>SQRT((N726^2)*0.72+(1-0.72)*(C726^2))</f>
        <v>1.3893618295814723E-2</v>
      </c>
      <c r="O727">
        <f>_xlfn.NORM.S.INV(0.99)*N727*SQRT(10)</f>
        <v>0.10220920759843247</v>
      </c>
      <c r="P727">
        <f>LN(B736)-LN(B727)</f>
        <v>-3.5039917732017756E-2</v>
      </c>
      <c r="Q727">
        <f>IF(P727&lt;-(O727),1,0)</f>
        <v>0</v>
      </c>
    </row>
    <row r="728" spans="1:17">
      <c r="A728" s="64">
        <v>42346</v>
      </c>
      <c r="B728">
        <v>2063.5900879999999</v>
      </c>
      <c r="C728" s="68">
        <f>LN(B728)-LN(B727)</f>
        <v>-6.5110523995723923E-3</v>
      </c>
      <c r="D728" s="68"/>
      <c r="E728" s="68"/>
      <c r="F728" s="68"/>
      <c r="G728" s="68"/>
      <c r="H728" s="68"/>
      <c r="I728">
        <f>_xlfn.STDEV.S(C708:C728)</f>
        <v>9.7194438627534654E-3</v>
      </c>
      <c r="J728">
        <f>_xlfn.NORM.S.INV(0.99)*I728*SQRT(10)</f>
        <v>7.1501651647413789E-2</v>
      </c>
      <c r="K728">
        <f>LN(B737)-LN(B728)</f>
        <v>-2.0780558895853396E-2</v>
      </c>
      <c r="L728">
        <f>IF(K728&lt;-(J728),1,0)</f>
        <v>0</v>
      </c>
      <c r="M728" s="72">
        <f t="shared" si="10"/>
        <v>9.0914282386398024E-2</v>
      </c>
      <c r="N728">
        <f>SQRT((N727^2)*0.72+(1-0.72)*(C727^2))</f>
        <v>1.2359555032384074E-2</v>
      </c>
      <c r="O728">
        <f>_xlfn.NORM.S.INV(0.99)*N728*SQRT(10)</f>
        <v>9.0923782360548627E-2</v>
      </c>
      <c r="P728">
        <f>LN(B737)-LN(B728)</f>
        <v>-2.0780558895853396E-2</v>
      </c>
      <c r="Q728">
        <f>IF(P728&lt;-(O728),1,0)</f>
        <v>0</v>
      </c>
    </row>
    <row r="729" spans="1:17">
      <c r="A729" s="64">
        <v>42347</v>
      </c>
      <c r="B729">
        <v>2047.619995</v>
      </c>
      <c r="C729" s="68">
        <f>LN(B729)-LN(B728)</f>
        <v>-7.7690864759256684E-3</v>
      </c>
      <c r="D729" s="68"/>
      <c r="E729" s="68"/>
      <c r="F729" s="68"/>
      <c r="G729" s="68"/>
      <c r="H729" s="68"/>
      <c r="I729">
        <f>_xlfn.STDEV.S(C709:C729)</f>
        <v>9.6319340483378459E-3</v>
      </c>
      <c r="J729">
        <f>_xlfn.NORM.S.INV(0.99)*I729*SQRT(10)</f>
        <v>7.0857880629809203E-2</v>
      </c>
      <c r="K729">
        <f>LN(B738)-LN(B729)</f>
        <v>-4.2333764778934579E-3</v>
      </c>
      <c r="L729">
        <f>IF(K729&lt;-(J729),1,0)</f>
        <v>0</v>
      </c>
      <c r="M729" s="72">
        <f t="shared" ref="M729:M792" si="11">EWMAV(B708:B728,0.72,0.99)*SQRT(10)</f>
        <v>8.118761834143054E-2</v>
      </c>
      <c r="N729">
        <f>SQRT((N728^2)*0.72+(1-0.72)*(C728^2))</f>
        <v>1.1038861235151732E-2</v>
      </c>
      <c r="O729">
        <f>_xlfn.NORM.S.INV(0.99)*N729*SQRT(10)</f>
        <v>8.1208021957375198E-2</v>
      </c>
      <c r="P729">
        <f>LN(B738)-LN(B729)</f>
        <v>-4.2333764778934579E-3</v>
      </c>
      <c r="Q729">
        <f>IF(P729&lt;-(O729),1,0)</f>
        <v>0</v>
      </c>
    </row>
    <row r="730" spans="1:17">
      <c r="A730" s="64">
        <v>42348</v>
      </c>
      <c r="B730">
        <v>2052.2299800000001</v>
      </c>
      <c r="C730" s="68">
        <f>LN(B730)-LN(B729)</f>
        <v>2.2488564074150119E-3</v>
      </c>
      <c r="D730" s="68"/>
      <c r="E730" s="68"/>
      <c r="F730" s="68"/>
      <c r="G730" s="68"/>
      <c r="H730" s="68"/>
      <c r="I730">
        <f>_xlfn.STDEV.S(C710:C730)</f>
        <v>9.6418170138134699E-3</v>
      </c>
      <c r="J730">
        <f>_xlfn.NORM.S.INV(0.99)*I730*SQRT(10)</f>
        <v>7.093058523767154E-2</v>
      </c>
      <c r="K730">
        <f>LN(B739)-LN(B730)</f>
        <v>5.8593634663681726E-3</v>
      </c>
      <c r="L730">
        <f>IF(K730&lt;-(J730),1,0)</f>
        <v>0</v>
      </c>
      <c r="M730" s="72">
        <f t="shared" si="11"/>
        <v>7.5235726743247786E-2</v>
      </c>
      <c r="N730">
        <f>SQRT((N729^2)*0.72+(1-0.72)*(C729^2))</f>
        <v>1.022922707800295E-2</v>
      </c>
      <c r="O730">
        <f>_xlfn.NORM.S.INV(0.99)*N730*SQRT(10)</f>
        <v>7.5251901392890591E-2</v>
      </c>
      <c r="P730">
        <f>LN(B739)-LN(B730)</f>
        <v>5.8593634663681726E-3</v>
      </c>
      <c r="Q730">
        <f>IF(P730&lt;-(O730),1,0)</f>
        <v>0</v>
      </c>
    </row>
    <row r="731" spans="1:17">
      <c r="A731" s="64">
        <v>42349</v>
      </c>
      <c r="B731">
        <v>2012.369995</v>
      </c>
      <c r="C731" s="68">
        <f>LN(B731)-LN(B730)</f>
        <v>-1.9613867585638545E-2</v>
      </c>
      <c r="D731" s="68"/>
      <c r="E731" s="68"/>
      <c r="F731" s="68"/>
      <c r="G731" s="68"/>
      <c r="H731" s="68"/>
      <c r="I731">
        <f>_xlfn.STDEV.S(C711:C731)</f>
        <v>1.0484528964567908E-2</v>
      </c>
      <c r="J731">
        <f>_xlfn.NORM.S.INV(0.99)*I731*SQRT(10)</f>
        <v>7.7130044506412698E-2</v>
      </c>
      <c r="K731">
        <f>LN(B740)-LN(B731)</f>
        <v>2.3873315564700626E-2</v>
      </c>
      <c r="L731">
        <f>IF(K731&lt;-(J731),1,0)</f>
        <v>0</v>
      </c>
      <c r="M731" s="72">
        <f t="shared" si="11"/>
        <v>6.443533260773375E-2</v>
      </c>
      <c r="N731">
        <f>SQRT((N730^2)*0.72+(1-0.72)*(C730^2))</f>
        <v>8.7609795000980987E-3</v>
      </c>
      <c r="O731">
        <f>_xlfn.NORM.S.INV(0.99)*N731*SQRT(10)</f>
        <v>6.4450653057086027E-2</v>
      </c>
      <c r="P731">
        <f>LN(B740)-LN(B731)</f>
        <v>2.3873315564700626E-2</v>
      </c>
      <c r="Q731">
        <f>IF(P731&lt;-(O731),1,0)</f>
        <v>0</v>
      </c>
    </row>
    <row r="732" spans="1:17">
      <c r="A732" s="64">
        <v>42352</v>
      </c>
      <c r="B732">
        <v>2021.9399410000001</v>
      </c>
      <c r="C732" s="68">
        <f>LN(B732)-LN(B731)</f>
        <v>4.7442879213805966E-3</v>
      </c>
      <c r="D732" s="68"/>
      <c r="E732" s="68"/>
      <c r="F732" s="68"/>
      <c r="G732" s="68"/>
      <c r="H732" s="68"/>
      <c r="I732">
        <f>_xlfn.STDEV.S(C712:C732)</f>
        <v>1.0150350916264001E-2</v>
      </c>
      <c r="J732">
        <f>_xlfn.NORM.S.INV(0.99)*I732*SQRT(10)</f>
        <v>7.4671644341192805E-2</v>
      </c>
      <c r="K732">
        <f>LN(B741)-LN(B732)</f>
        <v>1.6948091300733381E-2</v>
      </c>
      <c r="L732">
        <f>IF(K732&lt;-(J732),1,0)</f>
        <v>0</v>
      </c>
      <c r="M732" s="72">
        <f t="shared" si="11"/>
        <v>9.3886603165202295E-2</v>
      </c>
      <c r="N732">
        <f>SQRT((N731^2)*0.72+(1-0.72)*(C731^2))</f>
        <v>1.2766381357439141E-2</v>
      </c>
      <c r="O732">
        <f>_xlfn.NORM.S.INV(0.99)*N732*SQRT(10)</f>
        <v>9.3916623780885222E-2</v>
      </c>
      <c r="P732">
        <f>LN(B741)-LN(B732)</f>
        <v>1.6948091300733381E-2</v>
      </c>
      <c r="Q732">
        <f>IF(P732&lt;-(O732),1,0)</f>
        <v>0</v>
      </c>
    </row>
    <row r="733" spans="1:17">
      <c r="A733" s="64">
        <v>42353</v>
      </c>
      <c r="B733">
        <v>2043.410034</v>
      </c>
      <c r="C733" s="68">
        <f>LN(B733)-LN(B732)</f>
        <v>1.0562580218900663E-2</v>
      </c>
      <c r="D733" s="68"/>
      <c r="E733" s="68"/>
      <c r="F733" s="68"/>
      <c r="G733" s="68"/>
      <c r="H733" s="68"/>
      <c r="I733">
        <f>_xlfn.STDEV.S(C713:C733)</f>
        <v>1.0116818715058606E-2</v>
      </c>
      <c r="J733">
        <f>_xlfn.NORM.S.INV(0.99)*I733*SQRT(10)</f>
        <v>7.4424962761113198E-2</v>
      </c>
      <c r="K733">
        <f>LN(B742)-LN(B733)</f>
        <v>1.6959175051870723E-2</v>
      </c>
      <c r="L733">
        <f>IF(K733&lt;-(J733),1,0)</f>
        <v>0</v>
      </c>
      <c r="M733" s="72">
        <f t="shared" si="11"/>
        <v>8.1761582786877243E-2</v>
      </c>
      <c r="N733">
        <f>SQRT((N732^2)*0.72+(1-0.72)*(C732^2))</f>
        <v>1.1119724364409323E-2</v>
      </c>
      <c r="O733">
        <f>_xlfn.NORM.S.INV(0.99)*N733*SQRT(10)</f>
        <v>8.1802896250692855E-2</v>
      </c>
      <c r="P733">
        <f>LN(B742)-LN(B733)</f>
        <v>1.6959175051870723E-2</v>
      </c>
      <c r="Q733">
        <f>IF(P733&lt;-(O733),1,0)</f>
        <v>0</v>
      </c>
    </row>
    <row r="734" spans="1:17">
      <c r="A734" s="64">
        <v>42354</v>
      </c>
      <c r="B734">
        <v>2073.070068</v>
      </c>
      <c r="C734" s="68">
        <f>LN(B734)-LN(B733)</f>
        <v>1.4410635565352159E-2</v>
      </c>
      <c r="D734" s="68"/>
      <c r="E734" s="68"/>
      <c r="F734" s="68"/>
      <c r="G734" s="68"/>
      <c r="H734" s="68"/>
      <c r="I734">
        <f>_xlfn.STDEV.S(C714:C734)</f>
        <v>1.0090052488512604E-2</v>
      </c>
      <c r="J734">
        <f>_xlfn.NORM.S.INV(0.99)*I734*SQRT(10)</f>
        <v>7.4228055465445586E-2</v>
      </c>
      <c r="K734">
        <f>LN(B743)-LN(B734)</f>
        <v>-4.6948592987350324E-3</v>
      </c>
      <c r="L734">
        <f>IF(K734&lt;-(J734),1,0)</f>
        <v>0</v>
      </c>
      <c r="M734" s="72">
        <f t="shared" si="11"/>
        <v>8.0617279708192338E-2</v>
      </c>
      <c r="N734">
        <f>SQRT((N733^2)*0.72+(1-0.72)*(C733^2))</f>
        <v>1.0966577524629772E-2</v>
      </c>
      <c r="O734">
        <f>_xlfn.NORM.S.INV(0.99)*N734*SQRT(10)</f>
        <v>8.0676262654836309E-2</v>
      </c>
      <c r="P734">
        <f>LN(B743)-LN(B734)</f>
        <v>-4.6948592987350324E-3</v>
      </c>
      <c r="Q734">
        <f>IF(P734&lt;-(O734),1,0)</f>
        <v>0</v>
      </c>
    </row>
    <row r="735" spans="1:17">
      <c r="A735" s="64">
        <v>42355</v>
      </c>
      <c r="B735">
        <v>2041.8900149999999</v>
      </c>
      <c r="C735" s="68">
        <f>LN(B735)-LN(B734)</f>
        <v>-1.5154776290347449E-2</v>
      </c>
      <c r="D735" s="68"/>
      <c r="E735" s="68"/>
      <c r="F735" s="68"/>
      <c r="G735" s="68"/>
      <c r="H735" s="68"/>
      <c r="I735">
        <f>_xlfn.STDEV.S(C715:C735)</f>
        <v>1.0648108251249349E-2</v>
      </c>
      <c r="J735">
        <f>_xlfn.NORM.S.INV(0.99)*I735*SQRT(10)</f>
        <v>7.8333425002065402E-2</v>
      </c>
      <c r="K735">
        <f>LN(B744)-LN(B735)</f>
        <v>1.003431955846068E-3</v>
      </c>
      <c r="L735">
        <f>IF(K735&lt;-(J735),1,0)</f>
        <v>0</v>
      </c>
      <c r="M735" s="72">
        <f t="shared" si="11"/>
        <v>8.8465695331026425E-2</v>
      </c>
      <c r="N735">
        <f>SQRT((N734^2)*0.72+(1-0.72)*(C734^2))</f>
        <v>1.2030710251100913E-2</v>
      </c>
      <c r="O735">
        <f>_xlfn.NORM.S.INV(0.99)*N735*SQRT(10)</f>
        <v>8.8504616683026269E-2</v>
      </c>
      <c r="P735">
        <f>LN(B744)-LN(B735)</f>
        <v>1.003431955846068E-3</v>
      </c>
      <c r="Q735">
        <f>IF(P735&lt;-(O735),1,0)</f>
        <v>0</v>
      </c>
    </row>
    <row r="736" spans="1:17">
      <c r="A736" s="64">
        <v>42356</v>
      </c>
      <c r="B736">
        <v>2005.5500489999999</v>
      </c>
      <c r="C736" s="68">
        <f>LN(B736)-LN(B735)</f>
        <v>-1.7957495093582132E-2</v>
      </c>
      <c r="D736" s="68"/>
      <c r="E736" s="68"/>
      <c r="F736" s="68"/>
      <c r="G736" s="68"/>
      <c r="H736" s="68"/>
      <c r="I736">
        <f>_xlfn.STDEV.S(C716:C736)</f>
        <v>1.0640740132911136E-2</v>
      </c>
      <c r="J736">
        <f>_xlfn.NORM.S.INV(0.99)*I736*SQRT(10)</f>
        <v>7.8279221012808903E-2</v>
      </c>
      <c r="K736">
        <f>LN(B745)-LN(B736)</f>
        <v>3.5388853611024729E-3</v>
      </c>
      <c r="L736">
        <f>IF(K736&lt;-(J736),1,0)</f>
        <v>0</v>
      </c>
      <c r="M736" s="72">
        <f t="shared" si="11"/>
        <v>9.5444259351563643E-2</v>
      </c>
      <c r="N736">
        <f>SQRT((N735^2)*0.72+(1-0.72)*(C735^2))</f>
        <v>1.2981455258175553E-2</v>
      </c>
      <c r="O736">
        <f>_xlfn.NORM.S.INV(0.99)*N736*SQRT(10)</f>
        <v>9.5498827386982177E-2</v>
      </c>
      <c r="P736">
        <f>LN(B745)-LN(B736)</f>
        <v>3.5388853611024729E-3</v>
      </c>
      <c r="Q736">
        <f>IF(P736&lt;-(O736),1,0)</f>
        <v>0</v>
      </c>
    </row>
    <row r="737" spans="1:17">
      <c r="A737" s="64">
        <v>42359</v>
      </c>
      <c r="B737">
        <v>2021.150024</v>
      </c>
      <c r="C737" s="68">
        <f>LN(B737)-LN(B736)</f>
        <v>7.7483064365919674E-3</v>
      </c>
      <c r="D737" s="68"/>
      <c r="E737" s="68"/>
      <c r="F737" s="68"/>
      <c r="G737" s="68"/>
      <c r="H737" s="68"/>
      <c r="I737">
        <f>_xlfn.STDEV.S(C717:C737)</f>
        <v>1.0843854450663222E-2</v>
      </c>
      <c r="J737">
        <f>_xlfn.NORM.S.INV(0.99)*I737*SQRT(10)</f>
        <v>7.9773443254079965E-2</v>
      </c>
      <c r="K737">
        <f>LN(B746)-LN(B737)</f>
        <v>-2.1992168158604386E-3</v>
      </c>
      <c r="L737">
        <f>IF(K737&lt;-(J737),1,0)</f>
        <v>0</v>
      </c>
      <c r="M737" s="72">
        <f t="shared" si="11"/>
        <v>0.106983179676719</v>
      </c>
      <c r="N737">
        <f>SQRT((N736^2)*0.72+(1-0.72)*(C736^2))</f>
        <v>1.4547341559766076E-2</v>
      </c>
      <c r="O737">
        <f>_xlfn.NORM.S.INV(0.99)*N737*SQRT(10)</f>
        <v>0.10701836064802042</v>
      </c>
      <c r="P737">
        <f>LN(B746)-LN(B737)</f>
        <v>-2.1992168158604386E-3</v>
      </c>
      <c r="Q737">
        <f>IF(P737&lt;-(O737),1,0)</f>
        <v>0</v>
      </c>
    </row>
    <row r="738" spans="1:17">
      <c r="A738" s="64">
        <v>42360</v>
      </c>
      <c r="B738">
        <v>2038.969971</v>
      </c>
      <c r="C738" s="68">
        <f>LN(B738)-LN(B737)</f>
        <v>8.7780959420342697E-3</v>
      </c>
      <c r="D738" s="68"/>
      <c r="E738" s="68"/>
      <c r="F738" s="68"/>
      <c r="G738" s="68"/>
      <c r="H738" s="68"/>
      <c r="I738">
        <f>_xlfn.STDEV.S(C718:C738)</f>
        <v>1.1016077115487544E-2</v>
      </c>
      <c r="J738">
        <f>_xlfn.NORM.S.INV(0.99)*I738*SQRT(10)</f>
        <v>8.1040409261594865E-2</v>
      </c>
      <c r="K738">
        <f>LN(B747)-LN(B738)</f>
        <v>-2.4179475673750339E-2</v>
      </c>
      <c r="L738">
        <f>IF(K738&lt;-(J738),1,0)</f>
        <v>0</v>
      </c>
      <c r="M738" s="72">
        <f t="shared" si="11"/>
        <v>9.5656306405317859E-2</v>
      </c>
      <c r="N738">
        <f>SQRT((N737^2)*0.72+(1-0.72)*(C737^2))</f>
        <v>1.3006931082564063E-2</v>
      </c>
      <c r="O738">
        <f>_xlfn.NORM.S.INV(0.99)*N738*SQRT(10)</f>
        <v>9.5686241764448607E-2</v>
      </c>
      <c r="P738">
        <f>LN(B747)-LN(B738)</f>
        <v>-2.4179475673750339E-2</v>
      </c>
      <c r="Q738">
        <f>IF(P738&lt;-(O738),1,0)</f>
        <v>0</v>
      </c>
    </row>
    <row r="739" spans="1:17">
      <c r="A739" s="64">
        <v>42361</v>
      </c>
      <c r="B739">
        <v>2064.290039</v>
      </c>
      <c r="C739" s="68">
        <f>LN(B739)-LN(B738)</f>
        <v>1.2341596351676642E-2</v>
      </c>
      <c r="D739" s="68"/>
      <c r="E739" s="68"/>
      <c r="F739" s="68"/>
      <c r="G739" s="68"/>
      <c r="H739" s="68"/>
      <c r="I739">
        <f>_xlfn.STDEV.S(C719:C739)</f>
        <v>1.1402936646337188E-2</v>
      </c>
      <c r="J739">
        <f>_xlfn.NORM.S.INV(0.99)*I739*SQRT(10)</f>
        <v>8.3886363804045086E-2</v>
      </c>
      <c r="K739">
        <f>LN(B748)-LN(B739)</f>
        <v>-6.0506888570057704E-2</v>
      </c>
      <c r="L739">
        <f>IF(K739&lt;-(J739),1,0)</f>
        <v>0</v>
      </c>
      <c r="M739" s="72">
        <f t="shared" si="11"/>
        <v>8.8066439752592068E-2</v>
      </c>
      <c r="N739">
        <f>SQRT((N738^2)*0.72+(1-0.72)*(C738^2))</f>
        <v>1.1974354913616331E-2</v>
      </c>
      <c r="O739">
        <f>_xlfn.NORM.S.INV(0.99)*N739*SQRT(10)</f>
        <v>8.8090035379178547E-2</v>
      </c>
      <c r="P739">
        <f>LN(B748)-LN(B739)</f>
        <v>-6.0506888570057704E-2</v>
      </c>
      <c r="Q739">
        <f>IF(P739&lt;-(O739),1,0)</f>
        <v>0</v>
      </c>
    </row>
    <row r="740" spans="1:17">
      <c r="A740" s="64">
        <v>42362</v>
      </c>
      <c r="B740">
        <v>2060.98999</v>
      </c>
      <c r="C740" s="68">
        <f>LN(B740)-LN(B739)</f>
        <v>-1.5999154873060917E-3</v>
      </c>
      <c r="D740" s="68"/>
      <c r="E740" s="68"/>
      <c r="F740" s="68"/>
      <c r="G740" s="68"/>
      <c r="H740" s="68"/>
      <c r="I740">
        <f>_xlfn.STDEV.S(C720:C740)</f>
        <v>1.1398117417776752E-2</v>
      </c>
      <c r="J740">
        <f>_xlfn.NORM.S.INV(0.99)*I740*SQRT(10)</f>
        <v>8.3850910870049755E-2</v>
      </c>
      <c r="K740">
        <f>LN(B749)-LN(B740)</f>
        <v>-6.980451077553429E-2</v>
      </c>
      <c r="L740">
        <f>IF(K740&lt;-(J740),1,0)</f>
        <v>0</v>
      </c>
      <c r="M740" s="72">
        <f t="shared" si="11"/>
        <v>8.8837752749057128E-2</v>
      </c>
      <c r="N740">
        <f>SQRT((N739^2)*0.72+(1-0.72)*(C739^2))</f>
        <v>1.2078308100565219E-2</v>
      </c>
      <c r="O740">
        <f>_xlfn.NORM.S.INV(0.99)*N740*SQRT(10)</f>
        <v>8.8854773019090394E-2</v>
      </c>
      <c r="P740">
        <f>LN(B749)-LN(B740)</f>
        <v>-6.980451077553429E-2</v>
      </c>
      <c r="Q740">
        <f>IF(P740&lt;-(O740),1,0)</f>
        <v>0</v>
      </c>
    </row>
    <row r="741" spans="1:17">
      <c r="A741" s="64">
        <v>42366</v>
      </c>
      <c r="B741">
        <v>2056.5</v>
      </c>
      <c r="C741" s="68">
        <f>LN(B741)-LN(B740)</f>
        <v>-2.1809363425866479E-3</v>
      </c>
      <c r="D741" s="68"/>
      <c r="E741" s="68"/>
      <c r="F741" s="68"/>
      <c r="G741" s="68"/>
      <c r="H741" s="68"/>
      <c r="I741">
        <f>_xlfn.STDEV.S(C721:C741)</f>
        <v>1.1402258612996517E-2</v>
      </c>
      <c r="J741">
        <f>_xlfn.NORM.S.INV(0.99)*I741*SQRT(10)</f>
        <v>8.3881375812508263E-2</v>
      </c>
      <c r="K741">
        <f>LN(B750)-LN(B741)</f>
        <v>-6.6770665954236641E-2</v>
      </c>
      <c r="L741">
        <f>IF(K741&lt;-(J741),1,0)</f>
        <v>0</v>
      </c>
      <c r="M741" s="72">
        <f t="shared" si="11"/>
        <v>7.563817391247088E-2</v>
      </c>
      <c r="N741">
        <f>SQRT((N740^2)*0.72+(1-0.72)*(C740^2))</f>
        <v>1.0283691137456205E-2</v>
      </c>
      <c r="O741">
        <f>_xlfn.NORM.S.INV(0.99)*N741*SQRT(10)</f>
        <v>7.5652569400373418E-2</v>
      </c>
      <c r="P741">
        <f>LN(B750)-LN(B741)</f>
        <v>-6.6770665954236641E-2</v>
      </c>
      <c r="Q741">
        <f>IF(P741&lt;-(O741),1,0)</f>
        <v>0</v>
      </c>
    </row>
    <row r="742" spans="1:17">
      <c r="A742" s="64">
        <v>42367</v>
      </c>
      <c r="B742">
        <v>2078.360107</v>
      </c>
      <c r="C742" s="68">
        <f>LN(B742)-LN(B741)</f>
        <v>1.0573663970038005E-2</v>
      </c>
      <c r="D742" s="68"/>
      <c r="E742" s="68"/>
      <c r="F742" s="68"/>
      <c r="G742" s="68"/>
      <c r="H742" s="68"/>
      <c r="I742">
        <f>_xlfn.STDEV.S(C722:C742)</f>
        <v>1.1665722897131303E-2</v>
      </c>
      <c r="J742">
        <f>_xlfn.NORM.S.INV(0.99)*I742*SQRT(10)</f>
        <v>8.5819566076452442E-2</v>
      </c>
      <c r="K742">
        <f>LN(B751)-LN(B742)</f>
        <v>-6.9571815685826266E-2</v>
      </c>
      <c r="L742">
        <f>IF(K742&lt;-(J742),1,0)</f>
        <v>0</v>
      </c>
      <c r="M742" s="72">
        <f t="shared" si="11"/>
        <v>6.4740134179973846E-2</v>
      </c>
      <c r="N742">
        <f>SQRT((N741^2)*0.72+(1-0.72)*(C741^2))</f>
        <v>8.8019835144213313E-3</v>
      </c>
      <c r="O742">
        <f>_xlfn.NORM.S.INV(0.99)*N742*SQRT(10)</f>
        <v>6.4752301463073605E-2</v>
      </c>
      <c r="P742">
        <f>LN(B751)-LN(B742)</f>
        <v>-6.9571815685826266E-2</v>
      </c>
      <c r="Q742" s="74">
        <f>IF(P742&lt;-(O742),1,0)</f>
        <v>1</v>
      </c>
    </row>
    <row r="743" spans="1:17">
      <c r="A743" s="64">
        <v>42368</v>
      </c>
      <c r="B743">
        <v>2063.360107</v>
      </c>
      <c r="C743" s="68">
        <f>LN(B743)-LN(B742)</f>
        <v>-7.2433987852535964E-3</v>
      </c>
      <c r="D743" s="68"/>
      <c r="E743" s="68"/>
      <c r="F743" s="68"/>
      <c r="G743" s="68"/>
      <c r="H743" s="68"/>
      <c r="I743">
        <f>_xlfn.STDEV.S(C723:C743)</f>
        <v>1.1727954018216212E-2</v>
      </c>
      <c r="J743">
        <f>_xlfn.NORM.S.INV(0.99)*I743*SQRT(10)</f>
        <v>8.6277372922633516E-2</v>
      </c>
      <c r="K743">
        <f>LN(B752)-LN(B743)</f>
        <v>-8.761079228463764E-2</v>
      </c>
      <c r="L743">
        <f>IF(K743&lt;-(J743),1,0)</f>
        <v>1</v>
      </c>
      <c r="M743" s="72">
        <f t="shared" si="11"/>
        <v>6.8639936646473693E-2</v>
      </c>
      <c r="N743">
        <f>SQRT((N742^2)*0.72+(1-0.72)*(C742^2))</f>
        <v>9.3320202238219938E-3</v>
      </c>
      <c r="O743">
        <f>_xlfn.NORM.S.INV(0.99)*N743*SQRT(10)</f>
        <v>6.8651547211191058E-2</v>
      </c>
      <c r="P743">
        <f>LN(B752)-LN(B743)</f>
        <v>-8.761079228463764E-2</v>
      </c>
      <c r="Q743" s="74">
        <f>IF(P743&lt;-(O743),1,0)</f>
        <v>1</v>
      </c>
    </row>
    <row r="744" spans="1:17">
      <c r="A744" s="64">
        <v>42369</v>
      </c>
      <c r="B744">
        <v>2043.9399410000001</v>
      </c>
      <c r="C744" s="68">
        <f>LN(B744)-LN(B743)</f>
        <v>-9.4564850357663488E-3</v>
      </c>
      <c r="D744" s="68"/>
      <c r="E744" s="68"/>
      <c r="F744" s="68"/>
      <c r="G744" s="68"/>
      <c r="H744" s="68"/>
      <c r="I744">
        <f>_xlfn.STDEV.S(C724:C744)</f>
        <v>1.1602836665294963E-2</v>
      </c>
      <c r="J744">
        <f>_xlfn.NORM.S.INV(0.99)*I744*SQRT(10)</f>
        <v>8.5356939870089785E-2</v>
      </c>
      <c r="K744">
        <f>LN(B753)-LN(B744)</f>
        <v>-6.15962460639361E-2</v>
      </c>
      <c r="L744">
        <f>IF(K744&lt;-(J744),1,0)</f>
        <v>0</v>
      </c>
      <c r="M744" s="72">
        <f t="shared" si="11"/>
        <v>6.4690694089629311E-2</v>
      </c>
      <c r="N744">
        <f>SQRT((N743^2)*0.72+(1-0.72)*(C743^2))</f>
        <v>8.7973327957428134E-3</v>
      </c>
      <c r="O744">
        <f>_xlfn.NORM.S.INV(0.99)*N744*SQRT(10)</f>
        <v>6.4718088181783318E-2</v>
      </c>
      <c r="P744">
        <f>LN(B753)-LN(B744)</f>
        <v>-6.15962460639361E-2</v>
      </c>
      <c r="Q744">
        <f>IF(P744&lt;-(O744),1,0)</f>
        <v>0</v>
      </c>
    </row>
    <row r="745" spans="1:17">
      <c r="A745" s="64">
        <v>42373</v>
      </c>
      <c r="B745">
        <v>2012.660034</v>
      </c>
      <c r="C745" s="68">
        <f>LN(B745)-LN(B744)</f>
        <v>-1.5422041688325727E-2</v>
      </c>
      <c r="D745" s="68"/>
      <c r="E745" s="68"/>
      <c r="F745" s="68"/>
      <c r="G745" s="68"/>
      <c r="H745" s="68"/>
      <c r="I745">
        <f>_xlfn.STDEV.S(C725:C745)</f>
        <v>1.1822499958015107E-2</v>
      </c>
      <c r="J745">
        <f>_xlfn.NORM.S.INV(0.99)*I745*SQRT(10)</f>
        <v>8.6972905604095277E-2</v>
      </c>
      <c r="K745">
        <f>LN(B754)-LN(B745)</f>
        <v>-6.8009977196354932E-2</v>
      </c>
      <c r="L745">
        <f>IF(K745&lt;-(J745),1,0)</f>
        <v>0</v>
      </c>
      <c r="M745" s="72">
        <f t="shared" si="11"/>
        <v>6.6072741595600212E-2</v>
      </c>
      <c r="N745">
        <f>SQRT((N744^2)*0.72+(1-0.72)*(C744^2))</f>
        <v>8.9867701035792544E-3</v>
      </c>
      <c r="O745">
        <f>_xlfn.NORM.S.INV(0.99)*N745*SQRT(10)</f>
        <v>6.6111694707548865E-2</v>
      </c>
      <c r="P745">
        <f>LN(B754)-LN(B745)</f>
        <v>-6.8009977196354932E-2</v>
      </c>
      <c r="Q745">
        <f>IF(P745&lt;-(O745),1,0)</f>
        <v>1</v>
      </c>
    </row>
    <row r="746" spans="1:17">
      <c r="A746" s="64">
        <v>42374</v>
      </c>
      <c r="B746">
        <v>2016.709961</v>
      </c>
      <c r="C746" s="68">
        <f>LN(B746)-LN(B745)</f>
        <v>2.0102042596290559E-3</v>
      </c>
      <c r="D746" s="68"/>
      <c r="E746" s="68"/>
      <c r="F746" s="68"/>
      <c r="G746" s="68"/>
      <c r="H746" s="68"/>
      <c r="I746">
        <f>_xlfn.STDEV.S(C726:C746)</f>
        <v>1.1463479692296181E-2</v>
      </c>
      <c r="J746">
        <f>_xlfn.NORM.S.INV(0.99)*I746*SQRT(10)</f>
        <v>8.43317522278028E-2</v>
      </c>
      <c r="K746">
        <f>LN(B755)-LN(B746)</f>
        <v>-6.9488501268539338E-2</v>
      </c>
      <c r="L746">
        <f>IF(K746&lt;-(J746),1,0)</f>
        <v>0</v>
      </c>
      <c r="M746" s="72">
        <f t="shared" si="11"/>
        <v>8.2114782172408085E-2</v>
      </c>
      <c r="N746">
        <f>SQRT((N745^2)*0.72+(1-0.72)*(C745^2))</f>
        <v>1.1168871479174147E-2</v>
      </c>
      <c r="O746">
        <f>_xlfn.NORM.S.INV(0.99)*N746*SQRT(10)</f>
        <v>8.2164449846661089E-2</v>
      </c>
      <c r="P746">
        <f>LN(B755)-LN(B746)</f>
        <v>-6.9488501268539338E-2</v>
      </c>
      <c r="Q746">
        <f>IF(P746&lt;-(O746),1,0)</f>
        <v>0</v>
      </c>
    </row>
    <row r="747" spans="1:17">
      <c r="A747" s="64">
        <v>42375</v>
      </c>
      <c r="B747">
        <v>1990.26001</v>
      </c>
      <c r="C747" s="68">
        <f>LN(B747)-LN(B746)</f>
        <v>-1.3202162915855631E-2</v>
      </c>
      <c r="D747" s="68"/>
      <c r="E747" s="68"/>
      <c r="F747" s="68"/>
      <c r="G747" s="68"/>
      <c r="H747" s="68"/>
      <c r="I747">
        <f>_xlfn.STDEV.S(C727:C747)</f>
        <v>1.0687678979310151E-2</v>
      </c>
      <c r="J747">
        <f>_xlfn.NORM.S.INV(0.99)*I747*SQRT(10)</f>
        <v>7.8624529354659134E-2</v>
      </c>
      <c r="K747">
        <f>LN(B756)-LN(B747)</f>
        <v>-6.8049104378926195E-2</v>
      </c>
      <c r="L747">
        <f>IF(K747&lt;-(J747),1,0)</f>
        <v>0</v>
      </c>
      <c r="M747" s="72">
        <f t="shared" si="11"/>
        <v>7.0052180701040051E-2</v>
      </c>
      <c r="N747">
        <f>SQRT((N746^2)*0.72+(1-0.72)*(C746^2))</f>
        <v>9.5366091883595395E-3</v>
      </c>
      <c r="O747">
        <f>_xlfn.NORM.S.INV(0.99)*N747*SQRT(10)</f>
        <v>7.0156617776938893E-2</v>
      </c>
      <c r="P747">
        <f>LN(B756)-LN(B747)</f>
        <v>-6.8049104378926195E-2</v>
      </c>
      <c r="Q747">
        <f>IF(P747&lt;-(O747),1,0)</f>
        <v>0</v>
      </c>
    </row>
    <row r="748" spans="1:17">
      <c r="A748" s="64">
        <v>42376</v>
      </c>
      <c r="B748">
        <v>1943.089966</v>
      </c>
      <c r="C748" s="68">
        <f>LN(B748)-LN(B747)</f>
        <v>-2.3985816544630723E-2</v>
      </c>
      <c r="D748" s="68"/>
      <c r="E748" s="68"/>
      <c r="F748" s="68"/>
      <c r="G748" s="68"/>
      <c r="H748" s="68"/>
      <c r="I748">
        <f>_xlfn.STDEV.S(C728:C748)</f>
        <v>1.1654594701204852E-2</v>
      </c>
      <c r="J748">
        <f>_xlfn.NORM.S.INV(0.99)*I748*SQRT(10)</f>
        <v>8.5737700858664986E-2</v>
      </c>
      <c r="K748">
        <f>LN(B757)-LN(B748)</f>
        <v>-3.8881299294336813E-2</v>
      </c>
      <c r="L748">
        <f>IF(K748&lt;-(J748),1,0)</f>
        <v>0</v>
      </c>
      <c r="M748" s="72">
        <f t="shared" si="11"/>
        <v>7.8570948367844881E-2</v>
      </c>
      <c r="N748">
        <f>SQRT((N747^2)*0.72+(1-0.72)*(C747^2))</f>
        <v>1.069041478372962E-2</v>
      </c>
      <c r="O748">
        <f>_xlfn.NORM.S.INV(0.99)*N748*SQRT(10)</f>
        <v>7.8644655458306484E-2</v>
      </c>
      <c r="P748">
        <f>LN(B757)-LN(B748)</f>
        <v>-3.8881299294336813E-2</v>
      </c>
      <c r="Q748">
        <f>IF(P748&lt;-(O748),1,0)</f>
        <v>0</v>
      </c>
    </row>
    <row r="749" spans="1:17">
      <c r="A749" s="64">
        <v>42377</v>
      </c>
      <c r="B749">
        <v>1922.030029</v>
      </c>
      <c r="C749" s="68">
        <f>LN(B749)-LN(B748)</f>
        <v>-1.0897537692782677E-2</v>
      </c>
      <c r="D749" s="68"/>
      <c r="E749" s="68"/>
      <c r="F749" s="68"/>
      <c r="G749" s="68"/>
      <c r="H749" s="68"/>
      <c r="I749">
        <f>_xlfn.STDEV.S(C729:C749)</f>
        <v>1.1756236759660817E-2</v>
      </c>
      <c r="J749">
        <f>_xlfn.NORM.S.INV(0.99)*I749*SQRT(10)</f>
        <v>8.6485436547976899E-2</v>
      </c>
      <c r="K749">
        <f>LN(B758)-LN(B749)</f>
        <v>-7.9030348110773474E-3</v>
      </c>
      <c r="L749">
        <f>IF(K749&lt;-(J749),1,0)</f>
        <v>0</v>
      </c>
      <c r="M749" s="72">
        <f t="shared" si="11"/>
        <v>0.11472546842801376</v>
      </c>
      <c r="N749">
        <f>SQRT((N748^2)*0.72+(1-0.72)*(C748^2))</f>
        <v>1.5600468192533317E-2</v>
      </c>
      <c r="O749">
        <f>_xlfn.NORM.S.INV(0.99)*N749*SQRT(10)</f>
        <v>0.11476574771049429</v>
      </c>
      <c r="P749">
        <f>LN(B758)-LN(B749)</f>
        <v>-7.9030348110773474E-3</v>
      </c>
      <c r="Q749">
        <f>IF(P749&lt;-(O749),1,0)</f>
        <v>0</v>
      </c>
    </row>
    <row r="750" spans="1:17">
      <c r="A750" s="64">
        <v>42380</v>
      </c>
      <c r="B750">
        <v>1923.670044</v>
      </c>
      <c r="C750" s="68">
        <f>LN(B750)-LN(B749)</f>
        <v>8.5290847871100084E-4</v>
      </c>
      <c r="D750" s="68"/>
      <c r="E750" s="68"/>
      <c r="F750" s="68"/>
      <c r="G750" s="68"/>
      <c r="H750" s="68"/>
      <c r="I750">
        <f>_xlfn.STDEV.S(C730:C750)</f>
        <v>1.174598991986558E-2</v>
      </c>
      <c r="J750">
        <f>_xlfn.NORM.S.INV(0.99)*I750*SQRT(10)</f>
        <v>8.6410055077609696E-2</v>
      </c>
      <c r="K750">
        <f>LN(B759)-LN(B750)</f>
        <v>-2.4517488274605093E-2</v>
      </c>
      <c r="L750">
        <f>IF(K750&lt;-(J750),1,0)</f>
        <v>0</v>
      </c>
      <c r="M750" s="72">
        <f t="shared" si="11"/>
        <v>0.10618314646956734</v>
      </c>
      <c r="N750">
        <f>SQRT((N749^2)*0.72+(1-0.72)*(C749^2))</f>
        <v>1.4438888094630724E-2</v>
      </c>
      <c r="O750">
        <f>_xlfn.NORM.S.INV(0.99)*N750*SQRT(10)</f>
        <v>0.10622051645101037</v>
      </c>
      <c r="P750">
        <f>LN(B759)-LN(B750)</f>
        <v>-2.4517488274605093E-2</v>
      </c>
      <c r="Q750">
        <f>IF(P750&lt;-(O750),1,0)</f>
        <v>0</v>
      </c>
    </row>
    <row r="751" spans="1:17">
      <c r="A751" s="64">
        <v>42381</v>
      </c>
      <c r="B751">
        <v>1938.6800539999999</v>
      </c>
      <c r="C751" s="68">
        <f>LN(B751)-LN(B750)</f>
        <v>7.7725142384483803E-3</v>
      </c>
      <c r="D751" s="68"/>
      <c r="E751" s="68"/>
      <c r="F751" s="68"/>
      <c r="G751" s="68"/>
      <c r="H751" s="68"/>
      <c r="I751">
        <f>_xlfn.STDEV.S(C731:C751)</f>
        <v>1.1929200304645308E-2</v>
      </c>
      <c r="J751">
        <f>_xlfn.NORM.S.INV(0.99)*I751*SQRT(10)</f>
        <v>8.7757852883295837E-2</v>
      </c>
      <c r="K751">
        <f>LN(B760)-LN(B751)</f>
        <v>-1.8244764591991647E-2</v>
      </c>
      <c r="L751">
        <f>IF(K751&lt;-(J751),1,0)</f>
        <v>0</v>
      </c>
      <c r="M751" s="72">
        <f t="shared" si="11"/>
        <v>9.0159944120036958E-2</v>
      </c>
      <c r="N751">
        <f>SQRT((N750^2)*0.72+(1-0.72)*(C750^2))</f>
        <v>1.2260112527180555E-2</v>
      </c>
      <c r="O751">
        <f>_xlfn.NORM.S.INV(0.99)*N751*SQRT(10)</f>
        <v>9.0192227812118539E-2</v>
      </c>
      <c r="P751">
        <f>LN(B760)-LN(B751)</f>
        <v>-1.8244764591991647E-2</v>
      </c>
      <c r="Q751">
        <f>IF(P751&lt;-(O751),1,0)</f>
        <v>0</v>
      </c>
    </row>
    <row r="752" spans="1:17">
      <c r="A752" s="64">
        <v>42382</v>
      </c>
      <c r="B752">
        <v>1890.280029</v>
      </c>
      <c r="C752" s="68">
        <f>LN(B752)-LN(B751)</f>
        <v>-2.528237538406497E-2</v>
      </c>
      <c r="D752" s="68"/>
      <c r="E752" s="68"/>
      <c r="F752" s="68"/>
      <c r="G752" s="68"/>
      <c r="H752" s="68"/>
      <c r="I752">
        <f>_xlfn.STDEV.S(C732:C752)</f>
        <v>1.2386186844027742E-2</v>
      </c>
      <c r="J752">
        <f>_xlfn.NORM.S.INV(0.99)*I752*SQRT(10)</f>
        <v>9.1119700825203001E-2</v>
      </c>
      <c r="K752">
        <f>LN(B761)-LN(B752)</f>
        <v>-3.885311661294466E-3</v>
      </c>
      <c r="L752">
        <f>IF(K752&lt;-(J752),1,0)</f>
        <v>0</v>
      </c>
      <c r="M752" s="72">
        <f t="shared" si="11"/>
        <v>8.2219323170017775E-2</v>
      </c>
      <c r="N752">
        <f>SQRT((N751^2)*0.72+(1-0.72)*(C751^2))</f>
        <v>1.118654604126316E-2</v>
      </c>
      <c r="O752">
        <f>_xlfn.NORM.S.INV(0.99)*N752*SQRT(10)</f>
        <v>8.2294473786235667E-2</v>
      </c>
      <c r="P752">
        <f>LN(B761)-LN(B752)</f>
        <v>-3.885311661294466E-3</v>
      </c>
      <c r="Q752">
        <f>IF(P752&lt;-(O752),1,0)</f>
        <v>0</v>
      </c>
    </row>
    <row r="753" spans="1:17">
      <c r="A753" s="64">
        <v>42383</v>
      </c>
      <c r="B753">
        <v>1921.839966</v>
      </c>
      <c r="C753" s="68">
        <f>LN(B753)-LN(B752)</f>
        <v>1.6558061184935191E-2</v>
      </c>
      <c r="D753" s="68"/>
      <c r="E753" s="68"/>
      <c r="F753" s="68"/>
      <c r="G753" s="68"/>
      <c r="H753" s="68"/>
      <c r="I753">
        <f>_xlfn.STDEV.S(C733:C753)</f>
        <v>1.300728047148788E-2</v>
      </c>
      <c r="J753">
        <f>_xlfn.NORM.S.INV(0.99)*I753*SQRT(10)</f>
        <v>9.5688812064300424E-2</v>
      </c>
      <c r="K753">
        <f>LN(B762)-LN(B753)</f>
        <v>-1.4930022223040851E-2</v>
      </c>
      <c r="L753">
        <f>IF(K753&lt;-(J753),1,0)</f>
        <v>0</v>
      </c>
      <c r="M753" s="72">
        <f t="shared" si="11"/>
        <v>0.1206345877384607</v>
      </c>
      <c r="N753">
        <f>SQRT((N752^2)*0.72+(1-0.72)*(C752^2))</f>
        <v>1.6403521765065977E-2</v>
      </c>
      <c r="O753">
        <f>_xlfn.NORM.S.INV(0.99)*N753*SQRT(10)</f>
        <v>0.1206734578231565</v>
      </c>
      <c r="P753">
        <f>LN(B762)-LN(B753)</f>
        <v>-1.4930022223040851E-2</v>
      </c>
      <c r="Q753">
        <f>IF(P753&lt;-(O753),1,0)</f>
        <v>0</v>
      </c>
    </row>
    <row r="754" spans="1:17">
      <c r="A754" s="64">
        <v>42384</v>
      </c>
      <c r="B754">
        <v>1880.329956</v>
      </c>
      <c r="C754" s="68">
        <f>LN(B754)-LN(B753)</f>
        <v>-2.1835772820744559E-2</v>
      </c>
      <c r="D754" s="68"/>
      <c r="E754" s="68"/>
      <c r="F754" s="68"/>
      <c r="G754" s="68"/>
      <c r="H754" s="68"/>
      <c r="I754">
        <f>_xlfn.STDEV.S(C734:C754)</f>
        <v>1.3308585651009716E-2</v>
      </c>
      <c r="J754">
        <f>_xlfn.NORM.S.INV(0.99)*I754*SQRT(10)</f>
        <v>9.7905381066596062E-2</v>
      </c>
      <c r="K754">
        <f>LN(B763)-LN(B754)</f>
        <v>3.1364401657145713E-2</v>
      </c>
      <c r="L754">
        <f>IF(K754&lt;-(J754),1,0)</f>
        <v>0</v>
      </c>
      <c r="M754" s="72">
        <f t="shared" si="11"/>
        <v>0.12095515372915404</v>
      </c>
      <c r="N754">
        <f>SQRT((N753^2)*0.72+(1-0.72)*(C753^2))</f>
        <v>1.6446939173930544E-2</v>
      </c>
      <c r="O754">
        <f>_xlfn.NORM.S.INV(0.99)*N754*SQRT(10)</f>
        <v>0.12099286050585159</v>
      </c>
      <c r="P754">
        <f>LN(B763)-LN(B754)</f>
        <v>3.1364401657145713E-2</v>
      </c>
      <c r="Q754">
        <f>IF(P754&lt;-(O754),1,0)</f>
        <v>0</v>
      </c>
    </row>
    <row r="755" spans="1:17">
      <c r="A755" s="64">
        <v>42388</v>
      </c>
      <c r="B755">
        <v>1881.329956</v>
      </c>
      <c r="C755" s="68">
        <f>LN(B755)-LN(B754)</f>
        <v>5.3168018744464973E-4</v>
      </c>
      <c r="D755" s="68"/>
      <c r="E755" s="68"/>
      <c r="F755" s="68"/>
      <c r="G755" s="68"/>
      <c r="H755" s="68"/>
      <c r="I755">
        <f>_xlfn.STDEV.S(C735:C755)</f>
        <v>1.2680446598499425E-2</v>
      </c>
      <c r="J755">
        <f>_xlfn.NORM.S.INV(0.99)*I755*SQRT(10)</f>
        <v>9.3284439750103518E-2</v>
      </c>
      <c r="K755">
        <f>LN(B764)-LN(B755)</f>
        <v>3.0389386805381058E-2</v>
      </c>
      <c r="L755">
        <f>IF(K755&lt;-(J755),1,0)</f>
        <v>0</v>
      </c>
      <c r="M755" s="72">
        <f t="shared" si="11"/>
        <v>0.13324566365136045</v>
      </c>
      <c r="N755">
        <f>SQRT((N754^2)*0.72+(1-0.72)*(C754^2))</f>
        <v>1.8118100750566156E-2</v>
      </c>
      <c r="O755">
        <f>_xlfn.NORM.S.INV(0.99)*N755*SQRT(10)</f>
        <v>0.13328685742444599</v>
      </c>
      <c r="P755">
        <f>LN(B764)-LN(B755)</f>
        <v>3.0389386805381058E-2</v>
      </c>
      <c r="Q755">
        <f>IF(P755&lt;-(O755),1,0)</f>
        <v>0</v>
      </c>
    </row>
    <row r="756" spans="1:17">
      <c r="A756" s="64">
        <v>42389</v>
      </c>
      <c r="B756">
        <v>1859.329956</v>
      </c>
      <c r="C756" s="68">
        <f>LN(B756)-LN(B755)</f>
        <v>-1.1762766026242488E-2</v>
      </c>
      <c r="D756" s="68"/>
      <c r="E756" s="68"/>
      <c r="F756" s="68"/>
      <c r="G756" s="68"/>
      <c r="H756" s="68"/>
      <c r="I756">
        <f>_xlfn.STDEV.S(C736:C756)</f>
        <v>1.256060200955178E-2</v>
      </c>
      <c r="J756">
        <f>_xlfn.NORM.S.INV(0.99)*I756*SQRT(10)</f>
        <v>9.2402796091087161E-2</v>
      </c>
      <c r="K756">
        <f>LN(B765)-LN(B756)</f>
        <v>2.3231183896966101E-2</v>
      </c>
      <c r="L756">
        <f>IF(K756&lt;-(J756),1,0)</f>
        <v>0</v>
      </c>
      <c r="M756" s="72">
        <f t="shared" si="11"/>
        <v>0.11306006538848039</v>
      </c>
      <c r="N756">
        <f>SQRT((N755^2)*0.72+(1-0.72)*(C755^2))</f>
        <v>1.5376292314195947E-2</v>
      </c>
      <c r="O756">
        <f>_xlfn.NORM.S.INV(0.99)*N756*SQRT(10)</f>
        <v>0.11311658487906344</v>
      </c>
      <c r="P756">
        <f>LN(B765)-LN(B756)</f>
        <v>2.3231183896966101E-2</v>
      </c>
      <c r="Q756">
        <f>IF(P756&lt;-(O756),1,0)</f>
        <v>0</v>
      </c>
    </row>
    <row r="757" spans="1:17">
      <c r="A757" s="64">
        <v>42390</v>
      </c>
      <c r="B757">
        <v>1868.98999</v>
      </c>
      <c r="C757" s="68">
        <f>LN(B757)-LN(B756)</f>
        <v>5.1819885399586596E-3</v>
      </c>
      <c r="D757" s="68"/>
      <c r="E757" s="68"/>
      <c r="F757" s="68"/>
      <c r="G757" s="68"/>
      <c r="H757" s="68"/>
      <c r="I757">
        <f>_xlfn.STDEV.S(C737:C757)</f>
        <v>1.2330171058584256E-2</v>
      </c>
      <c r="J757">
        <f>_xlfn.NORM.S.INV(0.99)*I757*SQRT(10)</f>
        <v>9.0707617455609707E-2</v>
      </c>
      <c r="K757">
        <f>LN(B766)-LN(B757)</f>
        <v>2.3028815379356082E-2</v>
      </c>
      <c r="L757">
        <f>IF(K757&lt;-(J757),1,0)</f>
        <v>0</v>
      </c>
      <c r="M757" s="72">
        <f t="shared" si="11"/>
        <v>0.10626974485579559</v>
      </c>
      <c r="N757">
        <f>SQRT((N756^2)*0.72+(1-0.72)*(C756^2))</f>
        <v>1.4455843424837855E-2</v>
      </c>
      <c r="O757">
        <f>_xlfn.NORM.S.INV(0.99)*N757*SQRT(10)</f>
        <v>0.10634524931959384</v>
      </c>
      <c r="P757">
        <f>LN(B766)-LN(B757)</f>
        <v>2.3028815379356082E-2</v>
      </c>
      <c r="Q757">
        <f>IF(P757&lt;-(O757),1,0)</f>
        <v>0</v>
      </c>
    </row>
    <row r="758" spans="1:17">
      <c r="A758" s="64">
        <v>42391</v>
      </c>
      <c r="B758">
        <v>1906.900024</v>
      </c>
      <c r="C758" s="68">
        <f>LN(B758)-LN(B757)</f>
        <v>2.0080726790476788E-2</v>
      </c>
      <c r="D758" s="68"/>
      <c r="E758" s="68"/>
      <c r="F758" s="68"/>
      <c r="G758" s="68"/>
      <c r="H758" s="68"/>
      <c r="I758">
        <f>_xlfn.STDEV.S(C738:C758)</f>
        <v>1.3151894340461176E-2</v>
      </c>
      <c r="J758">
        <f>_xlfn.NORM.S.INV(0.99)*I758*SQRT(10)</f>
        <v>9.6752672366260548E-2</v>
      </c>
      <c r="K758">
        <f>LN(B767)-LN(B758)</f>
        <v>4.4736569468977194E-3</v>
      </c>
      <c r="L758">
        <f>IF(K758&lt;-(J758),1,0)</f>
        <v>0</v>
      </c>
      <c r="M758" s="72">
        <f t="shared" si="11"/>
        <v>9.2394712121309092E-2</v>
      </c>
      <c r="N758">
        <f>SQRT((N757^2)*0.72+(1-0.72)*(C757^2))</f>
        <v>1.2568940131641239E-2</v>
      </c>
      <c r="O758">
        <f>_xlfn.NORM.S.INV(0.99)*N758*SQRT(10)</f>
        <v>9.2464135969114417E-2</v>
      </c>
      <c r="P758">
        <f>LN(B767)-LN(B758)</f>
        <v>4.4736569468977194E-3</v>
      </c>
      <c r="Q758">
        <f>IF(P758&lt;-(O758),1,0)</f>
        <v>0</v>
      </c>
    </row>
    <row r="759" spans="1:17">
      <c r="A759" s="64">
        <v>42394</v>
      </c>
      <c r="B759">
        <v>1877.079956</v>
      </c>
      <c r="C759" s="68">
        <f>LN(B759)-LN(B758)</f>
        <v>-1.5761544984816744E-2</v>
      </c>
      <c r="D759" s="68"/>
      <c r="E759" s="68"/>
      <c r="F759" s="68"/>
      <c r="G759" s="68"/>
      <c r="H759" s="68"/>
      <c r="I759">
        <f>_xlfn.STDEV.S(C739:C759)</f>
        <v>1.3164632134683924E-2</v>
      </c>
      <c r="J759">
        <f>_xlfn.NORM.S.INV(0.99)*I759*SQRT(10)</f>
        <v>9.6846378687129558E-2</v>
      </c>
      <c r="K759">
        <f>LN(B768)-LN(B759)</f>
        <v>1.581043836514695E-3</v>
      </c>
      <c r="L759">
        <f>IF(K759&lt;-(J759),1,0)</f>
        <v>0</v>
      </c>
      <c r="M759" s="72">
        <f t="shared" si="11"/>
        <v>0.11070320048424394</v>
      </c>
      <c r="N759">
        <f>SQRT((N758^2)*0.72+(1-0.72)*(C758^2))</f>
        <v>1.5054909800628465E-2</v>
      </c>
      <c r="O759">
        <f>_xlfn.NORM.S.INV(0.99)*N759*SQRT(10)</f>
        <v>0.11075231580614527</v>
      </c>
      <c r="P759">
        <f>LN(B768)-LN(B759)</f>
        <v>1.581043836514695E-3</v>
      </c>
      <c r="Q759">
        <f>IF(P759&lt;-(O759),1,0)</f>
        <v>0</v>
      </c>
    </row>
    <row r="760" spans="1:17">
      <c r="A760" s="64">
        <v>42395</v>
      </c>
      <c r="B760">
        <v>1903.630005</v>
      </c>
      <c r="C760" s="68">
        <f>LN(B760)-LN(B759)</f>
        <v>1.4045237921061826E-2</v>
      </c>
      <c r="D760" s="68"/>
      <c r="E760" s="68"/>
      <c r="F760" s="68"/>
      <c r="G760" s="68"/>
      <c r="H760" s="68"/>
      <c r="I760">
        <f>_xlfn.STDEV.S(C740:C760)</f>
        <v>1.3274767297561009E-2</v>
      </c>
      <c r="J760">
        <f>_xlfn.NORM.S.INV(0.99)*I760*SQRT(10)</f>
        <v>9.7656594390966911E-2</v>
      </c>
      <c r="K760">
        <f>LN(B769)-LN(B760)</f>
        <v>-2.6719252318212483E-2</v>
      </c>
      <c r="L760">
        <f>IF(K760&lt;-(J760),1,0)</f>
        <v>0</v>
      </c>
      <c r="M760" s="72">
        <f t="shared" si="11"/>
        <v>0.11218282912386365</v>
      </c>
      <c r="N760">
        <f>SQRT((N759^2)*0.72+(1-0.72)*(C759^2))</f>
        <v>1.5256067207573352E-2</v>
      </c>
      <c r="O760">
        <f>_xlfn.NORM.S.INV(0.99)*N760*SQRT(10)</f>
        <v>0.11223214191973485</v>
      </c>
      <c r="P760">
        <f>LN(B769)-LN(B760)</f>
        <v>-2.6719252318212483E-2</v>
      </c>
      <c r="Q760">
        <f>IF(P760&lt;-(O760),1,0)</f>
        <v>0</v>
      </c>
    </row>
    <row r="761" spans="1:17">
      <c r="A761" s="64">
        <v>42396</v>
      </c>
      <c r="B761">
        <v>1882.9499510000001</v>
      </c>
      <c r="C761" s="68">
        <f>LN(B761)-LN(B760)</f>
        <v>-1.0922922453367789E-2</v>
      </c>
      <c r="D761" s="68"/>
      <c r="E761" s="68"/>
      <c r="F761" s="68"/>
      <c r="G761" s="68"/>
      <c r="H761" s="68"/>
      <c r="I761">
        <f>_xlfn.STDEV.S(C741:C761)</f>
        <v>1.3351140445482516E-2</v>
      </c>
      <c r="J761">
        <f>_xlfn.NORM.S.INV(0.99)*I761*SQRT(10)</f>
        <v>9.8218437876562495E-2</v>
      </c>
      <c r="K761">
        <f>LN(B770)-LN(B761)</f>
        <v>-1.6460170258674189E-2</v>
      </c>
      <c r="L761">
        <f>IF(K761&lt;-(J761),1,0)</f>
        <v>0</v>
      </c>
      <c r="M761" s="72">
        <f t="shared" si="11"/>
        <v>0.1097743556819398</v>
      </c>
      <c r="N761">
        <f>SQRT((N760^2)*0.72+(1-0.72)*(C760^2))</f>
        <v>1.4926938758326225E-2</v>
      </c>
      <c r="O761">
        <f>_xlfn.NORM.S.INV(0.99)*N761*SQRT(10)</f>
        <v>0.10981088942240781</v>
      </c>
      <c r="P761">
        <f>LN(B770)-LN(B761)</f>
        <v>-1.6460170258674189E-2</v>
      </c>
      <c r="Q761">
        <f>IF(P761&lt;-(O761),1,0)</f>
        <v>0</v>
      </c>
    </row>
    <row r="762" spans="1:17">
      <c r="A762" s="64">
        <v>42397</v>
      </c>
      <c r="B762">
        <v>1893.3599850000001</v>
      </c>
      <c r="C762" s="68">
        <f>LN(B762)-LN(B761)</f>
        <v>5.5133506231888063E-3</v>
      </c>
      <c r="D762" s="68"/>
      <c r="E762" s="68"/>
      <c r="F762" s="68"/>
      <c r="G762" s="68"/>
      <c r="H762" s="68"/>
      <c r="I762">
        <f>_xlfn.STDEV.S(C742:C762)</f>
        <v>1.3516814666430841E-2</v>
      </c>
      <c r="J762">
        <f>_xlfn.NORM.S.INV(0.99)*I762*SQRT(10)</f>
        <v>9.943722987747107E-2</v>
      </c>
      <c r="K762">
        <f>LN(B771)-LN(B762)</f>
        <v>-2.2162489236210448E-2</v>
      </c>
      <c r="L762">
        <f>IF(K762&lt;-(J762),1,0)</f>
        <v>0</v>
      </c>
      <c r="M762" s="72">
        <f t="shared" si="11"/>
        <v>0.10239207918277066</v>
      </c>
      <c r="N762">
        <f>SQRT((N761^2)*0.72+(1-0.72)*(C761^2))</f>
        <v>1.3922377177713285E-2</v>
      </c>
      <c r="O762">
        <f>_xlfn.NORM.S.INV(0.99)*N762*SQRT(10)</f>
        <v>0.10242077397859956</v>
      </c>
      <c r="P762">
        <f>LN(B771)-LN(B762)</f>
        <v>-2.2162489236210448E-2</v>
      </c>
      <c r="Q762">
        <f>IF(P762&lt;-(O762),1,0)</f>
        <v>0</v>
      </c>
    </row>
    <row r="763" spans="1:17">
      <c r="A763" s="64">
        <v>42398</v>
      </c>
      <c r="B763">
        <v>1940.23999</v>
      </c>
      <c r="C763" s="68">
        <f>LN(B763)-LN(B762)</f>
        <v>2.4458651059442005E-2</v>
      </c>
      <c r="D763" s="68"/>
      <c r="E763" s="68"/>
      <c r="F763" s="68"/>
      <c r="G763" s="68"/>
      <c r="H763" s="68"/>
      <c r="I763">
        <f>_xlfn.STDEV.S(C743:C763)</f>
        <v>1.4561294891067398E-2</v>
      </c>
      <c r="J763">
        <f>_xlfn.NORM.S.INV(0.99)*I763*SQRT(10)</f>
        <v>0.10712100913780195</v>
      </c>
      <c r="K763">
        <f>LN(B772)-LN(B763)</f>
        <v>-5.8998587464964558E-2</v>
      </c>
      <c r="L763">
        <f>IF(K763&lt;-(J763),1,0)</f>
        <v>0</v>
      </c>
      <c r="M763" s="72">
        <f t="shared" si="11"/>
        <v>8.9480836504541306E-2</v>
      </c>
      <c r="N763">
        <f>SQRT((N762^2)*0.72+(1-0.72)*(C762^2))</f>
        <v>1.2168427669461203E-2</v>
      </c>
      <c r="O763">
        <f>_xlfn.NORM.S.INV(0.99)*N763*SQRT(10)</f>
        <v>8.9517742846665527E-2</v>
      </c>
      <c r="P763">
        <f>LN(B772)-LN(B763)</f>
        <v>-5.8998587464964558E-2</v>
      </c>
      <c r="Q763">
        <f>IF(P763&lt;-(O763),1,0)</f>
        <v>0</v>
      </c>
    </row>
    <row r="764" spans="1:17">
      <c r="A764" s="64">
        <v>42401</v>
      </c>
      <c r="B764">
        <v>1939.380005</v>
      </c>
      <c r="C764" s="68">
        <f>LN(B764)-LN(B763)</f>
        <v>-4.4333466432000534E-4</v>
      </c>
      <c r="D764" s="68"/>
      <c r="E764" s="68"/>
      <c r="F764" s="68"/>
      <c r="G764" s="68"/>
      <c r="H764" s="68"/>
      <c r="I764">
        <f>_xlfn.STDEV.S(C744:C764)</f>
        <v>1.4544224824564174E-2</v>
      </c>
      <c r="J764">
        <f>_xlfn.NORM.S.INV(0.99)*I764*SQRT(10)</f>
        <v>0.1069954322050117</v>
      </c>
      <c r="K764">
        <f>LN(B773)-LN(B764)</f>
        <v>-3.9225237722900985E-2</v>
      </c>
      <c r="L764">
        <f>IF(K764&lt;-(J764),1,0)</f>
        <v>0</v>
      </c>
      <c r="M764" s="72">
        <f t="shared" si="11"/>
        <v>0.12177393345035777</v>
      </c>
      <c r="N764">
        <f>SQRT((N763^2)*0.72+(1-0.72)*(C763^2))</f>
        <v>1.6556389288220022E-2</v>
      </c>
      <c r="O764">
        <f>_xlfn.NORM.S.INV(0.99)*N764*SQRT(10)</f>
        <v>0.12179803661008176</v>
      </c>
      <c r="P764">
        <f>LN(B773)-LN(B764)</f>
        <v>-3.9225237722900985E-2</v>
      </c>
      <c r="Q764">
        <f>IF(P764&lt;-(O764),1,0)</f>
        <v>0</v>
      </c>
    </row>
    <row r="765" spans="1:17">
      <c r="A765" s="64">
        <v>42402</v>
      </c>
      <c r="B765">
        <v>1903.030029</v>
      </c>
      <c r="C765" s="68">
        <f>LN(B765)-LN(B764)</f>
        <v>-1.8920968934657445E-2</v>
      </c>
      <c r="D765" s="68"/>
      <c r="E765" s="68"/>
      <c r="F765" s="68"/>
      <c r="G765" s="68"/>
      <c r="H765" s="68"/>
      <c r="I765">
        <f>_xlfn.STDEV.S(C745:C765)</f>
        <v>1.4898231024779662E-2</v>
      </c>
      <c r="J765">
        <f>_xlfn.NORM.S.INV(0.99)*I765*SQRT(10)</f>
        <v>0.1095996993180543</v>
      </c>
      <c r="K765">
        <f>LN(B774)-LN(B765)</f>
        <v>-3.9225309162072008E-3</v>
      </c>
      <c r="L765">
        <f>IF(K765&lt;-(J765),1,0)</f>
        <v>0</v>
      </c>
      <c r="M765" s="72">
        <f t="shared" si="11"/>
        <v>0.10333382959714275</v>
      </c>
      <c r="N765">
        <f>SQRT((N764^2)*0.72+(1-0.72)*(C764^2))</f>
        <v>1.4050520690860784E-2</v>
      </c>
      <c r="O765">
        <f>_xlfn.NORM.S.INV(0.99)*N765*SQRT(10)</f>
        <v>0.10336346915409828</v>
      </c>
      <c r="P765">
        <f>LN(B774)-LN(B765)</f>
        <v>-3.9225309162072008E-3</v>
      </c>
      <c r="Q765">
        <f>IF(P765&lt;-(O765),1,0)</f>
        <v>0</v>
      </c>
    </row>
    <row r="766" spans="1:17">
      <c r="A766" s="64">
        <v>42403</v>
      </c>
      <c r="B766">
        <v>1912.530029</v>
      </c>
      <c r="C766" s="68">
        <f>LN(B766)-LN(B765)</f>
        <v>4.9796200223486409E-3</v>
      </c>
      <c r="D766" s="68"/>
      <c r="E766" s="68"/>
      <c r="F766" s="68"/>
      <c r="G766" s="68"/>
      <c r="H766" s="68"/>
      <c r="I766">
        <f>_xlfn.STDEV.S(C746:C766)</f>
        <v>1.4739531793648824E-2</v>
      </c>
      <c r="J766">
        <f>_xlfn.NORM.S.INV(0.99)*I766*SQRT(10)</f>
        <v>0.10843221923367269</v>
      </c>
      <c r="K766">
        <f>LN(B775)-LN(B766)</f>
        <v>7.443959565915037E-3</v>
      </c>
      <c r="L766">
        <f>IF(K766&lt;-(J766),1,0)</f>
        <v>0</v>
      </c>
      <c r="M766" s="72">
        <f t="shared" si="11"/>
        <v>0.11448996258578363</v>
      </c>
      <c r="N766">
        <f>SQRT((N765^2)*0.72+(1-0.72)*(C765^2))</f>
        <v>1.5568596376425757E-2</v>
      </c>
      <c r="O766">
        <f>_xlfn.NORM.S.INV(0.99)*N766*SQRT(10)</f>
        <v>0.11453128084954288</v>
      </c>
      <c r="P766">
        <f>LN(B775)-LN(B766)</f>
        <v>7.443959565915037E-3</v>
      </c>
      <c r="Q766">
        <f>IF(P766&lt;-(O766),1,0)</f>
        <v>0</v>
      </c>
    </row>
    <row r="767" spans="1:17">
      <c r="A767" s="64">
        <v>42404</v>
      </c>
      <c r="B767">
        <v>1915.4499510000001</v>
      </c>
      <c r="C767" s="68">
        <f>LN(B767)-LN(B766)</f>
        <v>1.5255683580184254E-3</v>
      </c>
      <c r="D767" s="68"/>
      <c r="E767" s="68"/>
      <c r="F767" s="68"/>
      <c r="G767" s="68"/>
      <c r="H767" s="68"/>
      <c r="I767">
        <f>_xlfn.STDEV.S(C747:C767)</f>
        <v>1.4732609851531414E-2</v>
      </c>
      <c r="J767">
        <f>_xlfn.NORM.S.INV(0.99)*I767*SQRT(10)</f>
        <v>0.10838129756562342</v>
      </c>
      <c r="K767">
        <f>LN(B776)-LN(B767)</f>
        <v>1.2417592054667637E-3</v>
      </c>
      <c r="L767">
        <f>IF(K767&lt;-(J767),1,0)</f>
        <v>0</v>
      </c>
      <c r="M767" s="72">
        <f t="shared" si="11"/>
        <v>9.9062555680340614E-2</v>
      </c>
      <c r="N767">
        <f>SQRT((N766^2)*0.72+(1-0.72)*(C766^2))</f>
        <v>1.3470616593676562E-2</v>
      </c>
      <c r="O767">
        <f>_xlfn.NORM.S.INV(0.99)*N767*SQRT(10)</f>
        <v>9.9097371079837918E-2</v>
      </c>
      <c r="P767">
        <f>LN(B776)-LN(B767)</f>
        <v>1.2417592054667637E-3</v>
      </c>
      <c r="Q767">
        <f>IF(P767&lt;-(O767),1,0)</f>
        <v>0</v>
      </c>
    </row>
    <row r="768" spans="1:17">
      <c r="A768" s="64">
        <v>42405</v>
      </c>
      <c r="B768">
        <v>1880.0500489999999</v>
      </c>
      <c r="C768" s="68">
        <f>LN(B768)-LN(B767)</f>
        <v>-1.8654158095199769E-2</v>
      </c>
      <c r="D768" s="68"/>
      <c r="E768" s="68"/>
      <c r="F768" s="68"/>
      <c r="G768" s="68"/>
      <c r="H768" s="68"/>
      <c r="I768">
        <f>_xlfn.STDEV.S(C748:C768)</f>
        <v>1.4977503891626815E-2</v>
      </c>
      <c r="J768">
        <f>_xlfn.NORM.S.INV(0.99)*I768*SQRT(10)</f>
        <v>0.11018287475385451</v>
      </c>
      <c r="K768">
        <f>LN(B777)-LN(B768)</f>
        <v>1.9869883892578599E-2</v>
      </c>
      <c r="L768">
        <f>IF(K768&lt;-(J768),1,0)</f>
        <v>0</v>
      </c>
      <c r="M768" s="72">
        <f t="shared" si="11"/>
        <v>8.4244915797965572E-2</v>
      </c>
      <c r="N768">
        <f>SQRT((N767^2)*0.72+(1-0.72)*(C767^2))</f>
        <v>1.1458667840816273E-2</v>
      </c>
      <c r="O768">
        <f>_xlfn.NORM.S.INV(0.99)*N768*SQRT(10)</f>
        <v>8.4296353563727583E-2</v>
      </c>
      <c r="P768">
        <f>LN(B777)-LN(B768)</f>
        <v>1.9869883892578599E-2</v>
      </c>
      <c r="Q768">
        <f>IF(P768&lt;-(O768),1,0)</f>
        <v>0</v>
      </c>
    </row>
    <row r="769" spans="1:17">
      <c r="A769" s="64">
        <v>42408</v>
      </c>
      <c r="B769">
        <v>1853.4399410000001</v>
      </c>
      <c r="C769" s="68">
        <f>LN(B769)-LN(B768)</f>
        <v>-1.4255058233665352E-2</v>
      </c>
      <c r="D769" s="68"/>
      <c r="E769" s="68"/>
      <c r="F769" s="68"/>
      <c r="G769" s="68"/>
      <c r="H769" s="68"/>
      <c r="I769">
        <f>_xlfn.STDEV.S(C749:C769)</f>
        <v>1.4426857320198501E-2</v>
      </c>
      <c r="J769">
        <f>_xlfn.NORM.S.INV(0.99)*I769*SQRT(10)</f>
        <v>0.1061320113621752</v>
      </c>
      <c r="K769">
        <f>LN(B778)-LN(B769)</f>
        <v>4.8475673380122153E-2</v>
      </c>
      <c r="L769">
        <f>IF(K769&lt;-(J769),1,0)</f>
        <v>0</v>
      </c>
      <c r="M769" s="72">
        <f t="shared" si="11"/>
        <v>0.10183702203467974</v>
      </c>
      <c r="N769">
        <f>SQRT((N768^2)*0.72+(1-0.72)*(C768^2))</f>
        <v>1.3855341982117622E-2</v>
      </c>
      <c r="O769">
        <f>_xlfn.NORM.S.INV(0.99)*N769*SQRT(10)</f>
        <v>0.10192762568006723</v>
      </c>
      <c r="P769">
        <f>LN(B778)-LN(B769)</f>
        <v>4.8475673380122153E-2</v>
      </c>
      <c r="Q769">
        <f>IF(P769&lt;-(O769),1,0)</f>
        <v>0</v>
      </c>
    </row>
    <row r="770" spans="1:17">
      <c r="A770" s="64">
        <v>42409</v>
      </c>
      <c r="B770">
        <v>1852.209961</v>
      </c>
      <c r="C770" s="68">
        <f>LN(B770)-LN(B769)</f>
        <v>-6.6384039382949567E-4</v>
      </c>
      <c r="D770" s="68"/>
      <c r="E770" s="68"/>
      <c r="F770" s="68"/>
      <c r="G770" s="68"/>
      <c r="H770" s="68"/>
      <c r="I770">
        <f>_xlfn.STDEV.S(C750:C770)</f>
        <v>1.4292339987212663E-2</v>
      </c>
      <c r="J770">
        <f>_xlfn.NORM.S.INV(0.99)*I770*SQRT(10)</f>
        <v>0.10514242681191599</v>
      </c>
      <c r="K770">
        <f>LN(B779)-LN(B770)</f>
        <v>3.6606936447141969E-2</v>
      </c>
      <c r="L770">
        <f>IF(K770&lt;-(J770),1,0)</f>
        <v>0</v>
      </c>
      <c r="M770" s="72">
        <f t="shared" si="11"/>
        <v>0.10268247795780769</v>
      </c>
      <c r="N770">
        <f>SQRT((N769^2)*0.72+(1-0.72)*(C769^2))</f>
        <v>1.3968415547458618E-2</v>
      </c>
      <c r="O770">
        <f>_xlfn.NORM.S.INV(0.99)*N770*SQRT(10)</f>
        <v>0.10275945791179869</v>
      </c>
      <c r="P770">
        <f>LN(B779)-LN(B770)</f>
        <v>3.6606936447141969E-2</v>
      </c>
      <c r="Q770">
        <f>IF(P770&lt;-(O770),1,0)</f>
        <v>0</v>
      </c>
    </row>
    <row r="771" spans="1:17">
      <c r="A771" s="64">
        <v>42410</v>
      </c>
      <c r="B771">
        <v>1851.8599850000001</v>
      </c>
      <c r="C771" s="68">
        <f>LN(B771)-LN(B770)</f>
        <v>-1.8896835434745185E-4</v>
      </c>
      <c r="D771" s="68"/>
      <c r="E771" s="68"/>
      <c r="F771" s="68"/>
      <c r="G771" s="68"/>
      <c r="H771" s="68"/>
      <c r="I771">
        <f>_xlfn.STDEV.S(C751:C771)</f>
        <v>1.428461514087759E-2</v>
      </c>
      <c r="J771">
        <f>_xlfn.NORM.S.INV(0.99)*I771*SQRT(10)</f>
        <v>0.1050855985324918</v>
      </c>
      <c r="K771">
        <f>LN(B780)-LN(B771)</f>
        <v>4.1225864681205593E-2</v>
      </c>
      <c r="L771">
        <f>IF(K771&lt;-(J771),1,0)</f>
        <v>0</v>
      </c>
      <c r="M771" s="72">
        <f t="shared" si="11"/>
        <v>8.716719618021275E-2</v>
      </c>
      <c r="N771">
        <f>SQRT((N770^2)*0.72+(1-0.72)*(C770^2))</f>
        <v>1.1857797739540109E-2</v>
      </c>
      <c r="O771">
        <f>_xlfn.NORM.S.INV(0.99)*N771*SQRT(10)</f>
        <v>8.7232575778044136E-2</v>
      </c>
      <c r="P771">
        <f>LN(B780)-LN(B771)</f>
        <v>4.1225864681205593E-2</v>
      </c>
      <c r="Q771">
        <f>IF(P771&lt;-(O771),1,0)</f>
        <v>0</v>
      </c>
    </row>
    <row r="772" spans="1:17">
      <c r="A772" s="64">
        <v>42411</v>
      </c>
      <c r="B772">
        <v>1829.079956</v>
      </c>
      <c r="C772" s="68">
        <f>LN(B772)-LN(B771)</f>
        <v>-1.2377447169312106E-2</v>
      </c>
      <c r="D772" s="68"/>
      <c r="E772" s="68"/>
      <c r="F772" s="68"/>
      <c r="G772" s="68"/>
      <c r="H772" s="68"/>
      <c r="I772">
        <f>_xlfn.STDEV.S(C752:C772)</f>
        <v>1.4285396002879433E-2</v>
      </c>
      <c r="J772">
        <f>_xlfn.NORM.S.INV(0.99)*I772*SQRT(10)</f>
        <v>0.10509134298902953</v>
      </c>
      <c r="K772">
        <f>LN(B781)-LN(B772)</f>
        <v>6.4887678403841242E-2</v>
      </c>
      <c r="L772">
        <f>IF(K772&lt;-(J772),1,0)</f>
        <v>0</v>
      </c>
      <c r="M772" s="72">
        <f t="shared" si="11"/>
        <v>7.3958802154371298E-2</v>
      </c>
      <c r="N772">
        <f>SQRT((N771^2)*0.72+(1-0.72)*(C771^2))</f>
        <v>1.0062171879759914E-2</v>
      </c>
      <c r="O772">
        <f>_xlfn.NORM.S.INV(0.99)*N772*SQRT(10)</f>
        <v>7.4022950152538514E-2</v>
      </c>
      <c r="P772">
        <f>LN(B781)-LN(B772)</f>
        <v>6.4887678403841242E-2</v>
      </c>
      <c r="Q772">
        <f>IF(P772&lt;-(O772),1,0)</f>
        <v>0</v>
      </c>
    </row>
    <row r="773" spans="1:17">
      <c r="A773" s="64">
        <v>42412</v>
      </c>
      <c r="B773">
        <v>1864.780029</v>
      </c>
      <c r="C773" s="68">
        <f>LN(B773)-LN(B772)</f>
        <v>1.9330015077743568E-2</v>
      </c>
      <c r="D773" s="68"/>
      <c r="E773" s="68"/>
      <c r="F773" s="68"/>
      <c r="G773" s="68"/>
      <c r="H773" s="68"/>
      <c r="I773">
        <f>_xlfn.STDEV.S(C753:C773)</f>
        <v>1.4086133231868903E-2</v>
      </c>
      <c r="J773">
        <f>_xlfn.NORM.S.INV(0.99)*I773*SQRT(10)</f>
        <v>0.10362545487441296</v>
      </c>
      <c r="K773">
        <f>LN(B782)-LN(B773)</f>
        <v>4.3685798172826473E-2</v>
      </c>
      <c r="L773">
        <f>IF(K773&lt;-(J773),1,0)</f>
        <v>0</v>
      </c>
      <c r="M773" s="72">
        <f t="shared" si="11"/>
        <v>7.9033277246080433E-2</v>
      </c>
      <c r="N773">
        <f>SQRT((N772^2)*0.72+(1-0.72)*(C772^2))</f>
        <v>1.0760780346953927E-2</v>
      </c>
      <c r="O773">
        <f>_xlfn.NORM.S.INV(0.99)*N773*SQRT(10)</f>
        <v>7.9162303799166708E-2</v>
      </c>
      <c r="P773">
        <f>LN(B782)-LN(B773)</f>
        <v>4.3685798172826473E-2</v>
      </c>
      <c r="Q773">
        <f>IF(P773&lt;-(O773),1,0)</f>
        <v>0</v>
      </c>
    </row>
    <row r="774" spans="1:17">
      <c r="A774" s="64">
        <v>42416</v>
      </c>
      <c r="B774">
        <v>1895.579956</v>
      </c>
      <c r="C774" s="68">
        <f>LN(B774)-LN(B773)</f>
        <v>1.6381737872036339E-2</v>
      </c>
      <c r="D774" s="68"/>
      <c r="E774" s="68"/>
      <c r="F774" s="68"/>
      <c r="G774" s="68"/>
      <c r="H774" s="68"/>
      <c r="I774">
        <f>_xlfn.STDEV.S(C754:C774)</f>
        <v>1.4075413630020489E-2</v>
      </c>
      <c r="J774">
        <f>_xlfn.NORM.S.INV(0.99)*I774*SQRT(10)</f>
        <v>0.10354659550262303</v>
      </c>
      <c r="K774">
        <f>LN(B783)-LN(B774)</f>
        <v>1.9149928878393396E-2</v>
      </c>
      <c r="L774">
        <f>IF(K774&lt;-(J774),1,0)</f>
        <v>0</v>
      </c>
      <c r="M774" s="72">
        <f t="shared" si="11"/>
        <v>0.10076461371874609</v>
      </c>
      <c r="N774">
        <f>SQRT((N773^2)*0.72+(1-0.72)*(C773^2))</f>
        <v>1.371108378866904E-2</v>
      </c>
      <c r="O774">
        <f>_xlfn.NORM.S.INV(0.99)*N774*SQRT(10)</f>
        <v>0.10086638192570249</v>
      </c>
      <c r="P774">
        <f>LN(B783)-LN(B774)</f>
        <v>1.9149928878393396E-2</v>
      </c>
      <c r="Q774">
        <f>IF(P774&lt;-(O774),1,0)</f>
        <v>0</v>
      </c>
    </row>
    <row r="775" spans="1:17">
      <c r="A775" s="64">
        <v>42417</v>
      </c>
      <c r="B775">
        <v>1926.8199460000001</v>
      </c>
      <c r="C775" s="68">
        <f>LN(B775)-LN(B774)</f>
        <v>1.6346110504470879E-2</v>
      </c>
      <c r="D775" s="68"/>
      <c r="E775" s="68"/>
      <c r="F775" s="68"/>
      <c r="G775" s="68"/>
      <c r="H775" s="68"/>
      <c r="I775">
        <f>_xlfn.STDEV.S(C755:C775)</f>
        <v>1.366262773182675E-2</v>
      </c>
      <c r="J775">
        <f>_xlfn.NORM.S.INV(0.99)*I775*SQRT(10)</f>
        <v>0.10050991213736182</v>
      </c>
      <c r="K775">
        <f>LN(B784)-LN(B775)</f>
        <v>2.6392204227433602E-2</v>
      </c>
      <c r="L775">
        <f>IF(K775&lt;-(J775),1,0)</f>
        <v>0</v>
      </c>
      <c r="M775" s="72">
        <f t="shared" si="11"/>
        <v>0.10661594161272644</v>
      </c>
      <c r="N775">
        <f>SQRT((N774^2)*0.72+(1-0.72)*(C774^2))</f>
        <v>1.4508505210165548E-2</v>
      </c>
      <c r="O775">
        <f>_xlfn.NORM.S.INV(0.99)*N775*SQRT(10)</f>
        <v>0.10673265879309891</v>
      </c>
      <c r="P775">
        <f>LN(B784)-LN(B775)</f>
        <v>2.6392204227433602E-2</v>
      </c>
      <c r="Q775">
        <f>IF(P775&lt;-(O775),1,0)</f>
        <v>0</v>
      </c>
    </row>
    <row r="776" spans="1:17">
      <c r="A776" s="64">
        <v>42418</v>
      </c>
      <c r="B776">
        <v>1917.829956</v>
      </c>
      <c r="C776" s="68">
        <f>LN(B776)-LN(B775)</f>
        <v>-4.676632002429848E-3</v>
      </c>
      <c r="D776" s="68"/>
      <c r="E776" s="68"/>
      <c r="F776" s="68"/>
      <c r="G776" s="68"/>
      <c r="H776" s="68"/>
      <c r="I776">
        <f>_xlfn.STDEV.S(C756:C776)</f>
        <v>1.3721806122500173E-2</v>
      </c>
      <c r="J776">
        <f>_xlfn.NORM.S.INV(0.99)*I776*SQRT(10)</f>
        <v>0.1009452613954815</v>
      </c>
      <c r="K776">
        <f>LN(B785)-LN(B776)</f>
        <v>3.5154785795144861E-2</v>
      </c>
      <c r="L776">
        <f>IF(K776&lt;-(J776),1,0)</f>
        <v>0</v>
      </c>
      <c r="M776" s="72">
        <f t="shared" si="11"/>
        <v>0.11060333010725895</v>
      </c>
      <c r="N776">
        <f>SQRT((N775^2)*0.72+(1-0.72)*(C775^2))</f>
        <v>1.5045674889710767E-2</v>
      </c>
      <c r="O776">
        <f>_xlfn.NORM.S.INV(0.99)*N776*SQRT(10)</f>
        <v>0.11068437864916837</v>
      </c>
      <c r="P776">
        <f>LN(B785)-LN(B776)</f>
        <v>3.5154785795144861E-2</v>
      </c>
      <c r="Q776">
        <f>IF(P776&lt;-(O776),1,0)</f>
        <v>0</v>
      </c>
    </row>
    <row r="777" spans="1:17">
      <c r="A777" s="64">
        <v>42419</v>
      </c>
      <c r="B777">
        <v>1917.780029</v>
      </c>
      <c r="C777" s="68">
        <f>LN(B777)-LN(B776)</f>
        <v>-2.6033408087933196E-5</v>
      </c>
      <c r="D777" s="68"/>
      <c r="E777" s="68"/>
      <c r="F777" s="68"/>
      <c r="G777" s="68"/>
      <c r="H777" s="68"/>
      <c r="I777">
        <f>_xlfn.STDEV.S(C757:C777)</f>
        <v>1.3415213533364336E-2</v>
      </c>
      <c r="J777">
        <f>_xlfn.NORM.S.INV(0.99)*I777*SQRT(10)</f>
        <v>9.8689795258156771E-2</v>
      </c>
      <c r="K777">
        <f>LN(B786)-LN(B777)</f>
        <v>3.8673453402356728E-2</v>
      </c>
      <c r="L777">
        <f>IF(K777&lt;-(J777),1,0)</f>
        <v>0</v>
      </c>
      <c r="M777" s="72">
        <f t="shared" si="11"/>
        <v>9.5584030774623685E-2</v>
      </c>
      <c r="N777">
        <f>SQRT((N776^2)*0.72+(1-0.72)*(C776^2))</f>
        <v>1.3004304210786169E-2</v>
      </c>
      <c r="O777">
        <f>_xlfn.NORM.S.INV(0.99)*N777*SQRT(10)</f>
        <v>9.5666917030087506E-2</v>
      </c>
      <c r="P777">
        <f>LN(B786)-LN(B777)</f>
        <v>3.8673453402356728E-2</v>
      </c>
      <c r="Q777">
        <f>IF(P777&lt;-(O777),1,0)</f>
        <v>0</v>
      </c>
    </row>
    <row r="778" spans="1:17">
      <c r="A778" s="64">
        <v>42422</v>
      </c>
      <c r="B778">
        <v>1945.5</v>
      </c>
      <c r="C778" s="68">
        <f>LN(B778)-LN(B777)</f>
        <v>1.4350731253878202E-2</v>
      </c>
      <c r="D778" s="68"/>
      <c r="E778" s="68"/>
      <c r="F778" s="68"/>
      <c r="G778" s="68"/>
      <c r="H778" s="68"/>
      <c r="I778">
        <f>_xlfn.STDEV.S(C758:C778)</f>
        <v>1.3688350223996353E-2</v>
      </c>
      <c r="J778">
        <f>_xlfn.NORM.S.INV(0.99)*I778*SQRT(10)</f>
        <v>0.10069914114064486</v>
      </c>
      <c r="K778">
        <f>LN(B787)-LN(B778)</f>
        <v>2.7623162104948307E-2</v>
      </c>
      <c r="L778">
        <f>IF(K778&lt;-(J778),1,0)</f>
        <v>0</v>
      </c>
      <c r="M778" s="72">
        <f t="shared" si="11"/>
        <v>8.1102286679747393E-2</v>
      </c>
      <c r="N778">
        <f>SQRT((N777^2)*0.72+(1-0.72)*(C777^2))</f>
        <v>1.1034526629245919E-2</v>
      </c>
      <c r="O778">
        <f>_xlfn.NORM.S.INV(0.99)*N778*SQRT(10)</f>
        <v>8.1176134178003997E-2</v>
      </c>
      <c r="P778">
        <f>LN(B787)-LN(B778)</f>
        <v>2.7623162104948307E-2</v>
      </c>
      <c r="Q778">
        <f>IF(P778&lt;-(O778),1,0)</f>
        <v>0</v>
      </c>
    </row>
    <row r="779" spans="1:17">
      <c r="A779" s="64">
        <v>42423</v>
      </c>
      <c r="B779">
        <v>1921.2700199999999</v>
      </c>
      <c r="C779" s="68">
        <f>LN(B779)-LN(B778)</f>
        <v>-1.253257732680968E-2</v>
      </c>
      <c r="D779" s="68"/>
      <c r="E779" s="68"/>
      <c r="F779" s="68"/>
      <c r="G779" s="68"/>
      <c r="H779" s="68"/>
      <c r="I779">
        <f>_xlfn.STDEV.S(C759:C779)</f>
        <v>1.3370146040812582E-2</v>
      </c>
      <c r="J779">
        <f>_xlfn.NORM.S.INV(0.99)*I779*SQRT(10)</f>
        <v>9.8358253639257501E-2</v>
      </c>
      <c r="K779">
        <f>LN(B788)-LN(B779)</f>
        <v>4.1040362466894464E-2</v>
      </c>
      <c r="L779">
        <f>IF(K779&lt;-(J779),1,0)</f>
        <v>0</v>
      </c>
      <c r="M779" s="72">
        <f t="shared" si="11"/>
        <v>8.8589038994693323E-2</v>
      </c>
      <c r="N779">
        <f>SQRT((N778^2)*0.72+(1-0.72)*(C778^2))</f>
        <v>1.2055369617585233E-2</v>
      </c>
      <c r="O779">
        <f>_xlfn.NORM.S.INV(0.99)*N779*SQRT(10)</f>
        <v>8.8686024740637928E-2</v>
      </c>
      <c r="P779">
        <f>LN(B788)-LN(B779)</f>
        <v>4.1040362466894464E-2</v>
      </c>
      <c r="Q779">
        <f>IF(P779&lt;-(O779),1,0)</f>
        <v>0</v>
      </c>
    </row>
    <row r="780" spans="1:17">
      <c r="A780" s="64">
        <v>42424</v>
      </c>
      <c r="B780">
        <v>1929.8000489999999</v>
      </c>
      <c r="C780" s="68">
        <f>LN(B780)-LN(B779)</f>
        <v>4.4299598797161721E-3</v>
      </c>
      <c r="D780" s="68"/>
      <c r="E780" s="68"/>
      <c r="F780" s="68"/>
      <c r="G780" s="68"/>
      <c r="H780" s="68"/>
      <c r="I780">
        <f>_xlfn.STDEV.S(C760:C780)</f>
        <v>1.2869660473724565E-2</v>
      </c>
      <c r="J780">
        <f>_xlfn.NORM.S.INV(0.99)*I780*SQRT(10)</f>
        <v>9.4676402580924621E-2</v>
      </c>
      <c r="K780">
        <f>LN(B789)-LN(B780)</f>
        <v>2.5306646532503585E-2</v>
      </c>
      <c r="L780">
        <f>IF(K780&lt;-(J780),1,0)</f>
        <v>0</v>
      </c>
      <c r="M780" s="72">
        <f t="shared" si="11"/>
        <v>8.9584359564993429E-2</v>
      </c>
      <c r="N780">
        <f>SQRT((N779^2)*0.72+(1-0.72)*(C779^2))</f>
        <v>1.2190870879910092E-2</v>
      </c>
      <c r="O780">
        <f>_xlfn.NORM.S.INV(0.99)*N780*SQRT(10)</f>
        <v>8.9682847624060841E-2</v>
      </c>
      <c r="P780">
        <f>LN(B789)-LN(B780)</f>
        <v>2.5306646532503585E-2</v>
      </c>
      <c r="Q780">
        <f>IF(P780&lt;-(O780),1,0)</f>
        <v>0</v>
      </c>
    </row>
    <row r="781" spans="1:17">
      <c r="A781" s="64">
        <v>42425</v>
      </c>
      <c r="B781">
        <v>1951.6999510000001</v>
      </c>
      <c r="C781" s="68">
        <f>LN(B781)-LN(B780)</f>
        <v>1.1284366553323544E-2</v>
      </c>
      <c r="D781" s="68"/>
      <c r="E781" s="68"/>
      <c r="F781" s="68"/>
      <c r="G781" s="68"/>
      <c r="H781" s="68"/>
      <c r="I781">
        <f>_xlfn.STDEV.S(C761:C781)</f>
        <v>1.2746669471043233E-2</v>
      </c>
      <c r="J781">
        <f>_xlfn.NORM.S.INV(0.99)*I781*SQRT(10)</f>
        <v>9.3771612147061728E-2</v>
      </c>
      <c r="K781">
        <f>LN(B790)-LN(B781)</f>
        <v>1.9061952761398437E-2</v>
      </c>
      <c r="L781">
        <f>IF(K781&lt;-(J781),1,0)</f>
        <v>0</v>
      </c>
      <c r="M781" s="72">
        <f t="shared" si="11"/>
        <v>7.7919471685927319E-2</v>
      </c>
      <c r="N781">
        <f>SQRT((N780^2)*0.72+(1-0.72)*(C780^2))</f>
        <v>1.0606571175158883E-2</v>
      </c>
      <c r="O781">
        <f>_xlfn.NORM.S.INV(0.99)*N781*SQRT(10)</f>
        <v>7.8027855096316559E-2</v>
      </c>
      <c r="P781">
        <f>LN(B790)-LN(B781)</f>
        <v>1.9061952761398437E-2</v>
      </c>
      <c r="Q781">
        <f>IF(P781&lt;-(O781),1,0)</f>
        <v>0</v>
      </c>
    </row>
    <row r="782" spans="1:17">
      <c r="A782" s="64">
        <v>42426</v>
      </c>
      <c r="B782">
        <v>1948.0500489999999</v>
      </c>
      <c r="C782" s="68">
        <f>LN(B782)-LN(B781)</f>
        <v>-1.8718651532712016E-3</v>
      </c>
      <c r="D782" s="68"/>
      <c r="E782" s="68"/>
      <c r="F782" s="68"/>
      <c r="G782" s="68"/>
      <c r="H782" s="68"/>
      <c r="I782">
        <f>_xlfn.STDEV.S(C762:C782)</f>
        <v>1.2466650366359628E-2</v>
      </c>
      <c r="J782">
        <f>_xlfn.NORM.S.INV(0.99)*I782*SQRT(10)</f>
        <v>9.1711635387029727E-2</v>
      </c>
      <c r="K782">
        <f>LN(B791)-LN(B782)</f>
        <v>2.1089610448683516E-2</v>
      </c>
      <c r="L782">
        <f>IF(K782&lt;-(J782),1,0)</f>
        <v>0</v>
      </c>
      <c r="M782" s="72">
        <f t="shared" si="11"/>
        <v>7.9362968715034427E-2</v>
      </c>
      <c r="N782">
        <f>SQRT((N781^2)*0.72+(1-0.72)*(C781^2))</f>
        <v>1.0800642272115437E-2</v>
      </c>
      <c r="O782">
        <f>_xlfn.NORM.S.INV(0.99)*N782*SQRT(10)</f>
        <v>7.9455550360095578E-2</v>
      </c>
      <c r="P782">
        <f>LN(B791)-LN(B782)</f>
        <v>2.1089610448683516E-2</v>
      </c>
      <c r="Q782">
        <f>IF(P782&lt;-(O782),1,0)</f>
        <v>0</v>
      </c>
    </row>
    <row r="783" spans="1:17">
      <c r="A783" s="64">
        <v>42429</v>
      </c>
      <c r="B783">
        <v>1932.2299800000001</v>
      </c>
      <c r="C783" s="68">
        <f>LN(B783)-LN(B782)</f>
        <v>-8.1541314223967376E-3</v>
      </c>
      <c r="D783" s="68"/>
      <c r="E783" s="68"/>
      <c r="F783" s="68"/>
      <c r="G783" s="68"/>
      <c r="H783" s="68"/>
      <c r="I783">
        <f>_xlfn.STDEV.S(C763:C783)</f>
        <v>1.2609099088335731E-2</v>
      </c>
      <c r="J783">
        <f>_xlfn.NORM.S.INV(0.99)*I783*SQRT(10)</f>
        <v>9.2759567659717324E-2</v>
      </c>
      <c r="K783">
        <f>LN(B792)-LN(B783)</f>
        <v>4.550628740432483E-2</v>
      </c>
      <c r="L783">
        <f>IF(K783&lt;-(J783),1,0)</f>
        <v>0</v>
      </c>
      <c r="M783" s="72">
        <f t="shared" si="11"/>
        <v>6.7730022062682152E-2</v>
      </c>
      <c r="N783">
        <f>SQRT((N782^2)*0.72+(1-0.72)*(C782^2))</f>
        <v>9.2180190429135937E-3</v>
      </c>
      <c r="O783">
        <f>_xlfn.NORM.S.INV(0.99)*N783*SQRT(10)</f>
        <v>6.7812890921818039E-2</v>
      </c>
      <c r="P783">
        <f>LN(B792)-LN(B783)</f>
        <v>4.550628740432483E-2</v>
      </c>
      <c r="Q783">
        <f>IF(P783&lt;-(O783),1,0)</f>
        <v>0</v>
      </c>
    </row>
    <row r="784" spans="1:17">
      <c r="A784" s="64">
        <v>42430</v>
      </c>
      <c r="B784">
        <v>1978.349976</v>
      </c>
      <c r="C784" s="68">
        <f>LN(B784)-LN(B783)</f>
        <v>2.3588385853511085E-2</v>
      </c>
      <c r="D784" s="68"/>
      <c r="E784" s="68"/>
      <c r="F784" s="68"/>
      <c r="G784" s="68"/>
      <c r="H784" s="68"/>
      <c r="I784">
        <f>_xlfn.STDEV.S(C764:C784)</f>
        <v>1.2529210234738575E-2</v>
      </c>
      <c r="J784">
        <f>_xlfn.NORM.S.INV(0.99)*I784*SQRT(10)</f>
        <v>9.217186068171776E-2</v>
      </c>
      <c r="K784">
        <f>LN(B793)-LN(B784)</f>
        <v>2.0656133309169711E-2</v>
      </c>
      <c r="L784">
        <f>IF(K784&lt;-(J784),1,0)</f>
        <v>0</v>
      </c>
      <c r="M784" s="72">
        <f t="shared" si="11"/>
        <v>6.5557081419114038E-2</v>
      </c>
      <c r="N784">
        <f>SQRT((N783^2)*0.72+(1-0.72)*(C783^2))</f>
        <v>8.9329116555249607E-3</v>
      </c>
      <c r="O784">
        <f>_xlfn.NORM.S.INV(0.99)*N784*SQRT(10)</f>
        <v>6.5715481915394572E-2</v>
      </c>
      <c r="P784">
        <f>LN(B793)-LN(B784)</f>
        <v>2.0656133309169711E-2</v>
      </c>
      <c r="Q784">
        <f>IF(P784&lt;-(O784),1,0)</f>
        <v>0</v>
      </c>
    </row>
    <row r="785" spans="1:17">
      <c r="A785" s="64">
        <v>42431</v>
      </c>
      <c r="B785">
        <v>1986.4499510000001</v>
      </c>
      <c r="C785" s="68">
        <f>LN(B785)-LN(B784)</f>
        <v>4.0859495652814104E-3</v>
      </c>
      <c r="D785" s="68"/>
      <c r="E785" s="68"/>
      <c r="F785" s="68"/>
      <c r="G785" s="68"/>
      <c r="H785" s="68"/>
      <c r="I785">
        <f>_xlfn.STDEV.S(C765:C785)</f>
        <v>1.2543430840632074E-2</v>
      </c>
      <c r="J785">
        <f>_xlfn.NORM.S.INV(0.99)*I785*SQRT(10)</f>
        <v>9.2276475392515017E-2</v>
      </c>
      <c r="K785">
        <f>LN(B794)-LN(B785)</f>
        <v>1.4731552778887824E-2</v>
      </c>
      <c r="L785">
        <f>IF(K785&lt;-(J785),1,0)</f>
        <v>0</v>
      </c>
      <c r="M785" s="72">
        <f t="shared" si="11"/>
        <v>0.10735847289318719</v>
      </c>
      <c r="N785">
        <f>SQRT((N784^2)*0.72+(1-0.72)*(C784^2))</f>
        <v>1.460305176575951E-2</v>
      </c>
      <c r="O785">
        <f>_xlfn.NORM.S.INV(0.99)*N785*SQRT(10)</f>
        <v>0.10742819600469275</v>
      </c>
      <c r="P785">
        <f>LN(B794)-LN(B785)</f>
        <v>1.4731552778887824E-2</v>
      </c>
      <c r="Q785">
        <f>IF(P785&lt;-(O785),1,0)</f>
        <v>0</v>
      </c>
    </row>
    <row r="786" spans="1:17">
      <c r="A786" s="64">
        <v>42432</v>
      </c>
      <c r="B786">
        <v>1993.400024</v>
      </c>
      <c r="C786" s="68">
        <f>LN(B786)-LN(B785)</f>
        <v>3.492634199123934E-3</v>
      </c>
      <c r="D786" s="68"/>
      <c r="E786" s="68"/>
      <c r="F786" s="68"/>
      <c r="G786" s="68"/>
      <c r="H786" s="68"/>
      <c r="I786">
        <f>_xlfn.STDEV.S(C766:C786)</f>
        <v>1.1674408291267412E-2</v>
      </c>
      <c r="J786">
        <f>_xlfn.NORM.S.INV(0.99)*I786*SQRT(10)</f>
        <v>8.5883460681402055E-2</v>
      </c>
      <c r="K786">
        <f>LN(B795)-LN(B786)</f>
        <v>1.6823646464598774E-2</v>
      </c>
      <c r="L786">
        <f>IF(K786&lt;-(J786),1,0)</f>
        <v>0</v>
      </c>
      <c r="M786" s="72">
        <f t="shared" si="11"/>
        <v>9.2433685224900905E-2</v>
      </c>
      <c r="N786">
        <f>SQRT((N785^2)*0.72+(1-0.72)*(C785^2))</f>
        <v>1.2578313182096077E-2</v>
      </c>
      <c r="O786">
        <f>_xlfn.NORM.S.INV(0.99)*N786*SQRT(10)</f>
        <v>9.2533089357596215E-2</v>
      </c>
      <c r="P786">
        <f>LN(B795)-LN(B786)</f>
        <v>1.6823646464598774E-2</v>
      </c>
      <c r="Q786">
        <f>IF(P786&lt;-(O786),1,0)</f>
        <v>0</v>
      </c>
    </row>
    <row r="787" spans="1:17">
      <c r="A787" s="64">
        <v>42433</v>
      </c>
      <c r="B787">
        <v>1999.98999</v>
      </c>
      <c r="C787" s="68">
        <f>LN(B787)-LN(B786)</f>
        <v>3.3004399564697806E-3</v>
      </c>
      <c r="D787" s="68"/>
      <c r="E787" s="68"/>
      <c r="F787" s="68"/>
      <c r="G787" s="68"/>
      <c r="H787" s="68"/>
      <c r="I787">
        <f>_xlfn.STDEV.S(C767:C787)</f>
        <v>1.1660226572510757E-2</v>
      </c>
      <c r="J787">
        <f>_xlfn.NORM.S.INV(0.99)*I787*SQRT(10)</f>
        <v>8.577913204607901E-2</v>
      </c>
      <c r="K787">
        <f>LN(B796)-LN(B787)</f>
        <v>2.0096789518337488E-2</v>
      </c>
      <c r="L787">
        <f>IF(K787&lt;-(J787),1,0)</f>
        <v>0</v>
      </c>
      <c r="M787" s="72">
        <f t="shared" si="11"/>
        <v>7.9598937444954651E-2</v>
      </c>
      <c r="N787">
        <f>SQRT((N786^2)*0.72+(1-0.72)*(C786^2))</f>
        <v>1.0831880318146588E-2</v>
      </c>
      <c r="O787">
        <f>_xlfn.NORM.S.INV(0.99)*N787*SQRT(10)</f>
        <v>7.9685354854777068E-2</v>
      </c>
      <c r="P787">
        <f>LN(B796)-LN(B787)</f>
        <v>2.0096789518337488E-2</v>
      </c>
      <c r="Q787">
        <f>IF(P787&lt;-(O787),1,0)</f>
        <v>0</v>
      </c>
    </row>
    <row r="788" spans="1:17">
      <c r="A788" s="64">
        <v>42436</v>
      </c>
      <c r="B788">
        <v>2001.76001</v>
      </c>
      <c r="C788" s="68">
        <f>LN(B788)-LN(B787)</f>
        <v>8.8462303513647811E-4</v>
      </c>
      <c r="D788" s="68"/>
      <c r="E788" s="68"/>
      <c r="F788" s="68"/>
      <c r="G788" s="68"/>
      <c r="H788" s="68"/>
      <c r="I788">
        <f>_xlfn.STDEV.S(C768:C788)</f>
        <v>1.1662724454445685E-2</v>
      </c>
      <c r="J788">
        <f>_xlfn.NORM.S.INV(0.99)*I788*SQRT(10)</f>
        <v>8.5797507859190297E-2</v>
      </c>
      <c r="K788">
        <f>LN(B797)-LN(B788)</f>
        <v>2.3608133585182323E-2</v>
      </c>
      <c r="L788">
        <f>IF(K788&lt;-(J788),1,0)</f>
        <v>0</v>
      </c>
      <c r="M788" s="72">
        <f t="shared" si="11"/>
        <v>6.8752654216800171E-2</v>
      </c>
      <c r="N788">
        <f>SQRT((N787^2)*0.72+(1-0.72)*(C787^2))</f>
        <v>9.355605142209799E-3</v>
      </c>
      <c r="O788">
        <f>_xlfn.NORM.S.INV(0.99)*N788*SQRT(10)</f>
        <v>6.8825051029157425E-2</v>
      </c>
      <c r="P788">
        <f>LN(B797)-LN(B788)</f>
        <v>2.3608133585182323E-2</v>
      </c>
      <c r="Q788">
        <f>IF(P788&lt;-(O788),1,0)</f>
        <v>0</v>
      </c>
    </row>
    <row r="789" spans="1:17">
      <c r="A789" s="64">
        <v>42437</v>
      </c>
      <c r="B789">
        <v>1979.26001</v>
      </c>
      <c r="C789" s="68">
        <f>LN(B789)-LN(B788)</f>
        <v>-1.1303756054674707E-2</v>
      </c>
      <c r="D789" s="68"/>
      <c r="E789" s="68"/>
      <c r="F789" s="68"/>
      <c r="G789" s="68"/>
      <c r="H789" s="68"/>
      <c r="I789">
        <f>_xlfn.STDEV.S(C769:C789)</f>
        <v>1.1105750047059952E-2</v>
      </c>
      <c r="J789">
        <f>_xlfn.NORM.S.INV(0.99)*I789*SQRT(10)</f>
        <v>8.1700093375833518E-2</v>
      </c>
      <c r="K789">
        <f>LN(B798)-LN(B789)</f>
        <v>3.5896981772689962E-2</v>
      </c>
      <c r="L789">
        <f>IF(K789&lt;-(J789),1,0)</f>
        <v>0</v>
      </c>
      <c r="M789" s="72">
        <f t="shared" si="11"/>
        <v>5.8376836324552414E-2</v>
      </c>
      <c r="N789">
        <f>SQRT((N788^2)*0.72+(1-0.72)*(C788^2))</f>
        <v>7.9522830980417753E-3</v>
      </c>
      <c r="O789">
        <f>_xlfn.NORM.S.INV(0.99)*N789*SQRT(10)</f>
        <v>5.8501431142246228E-2</v>
      </c>
      <c r="P789">
        <f>LN(B798)-LN(B789)</f>
        <v>3.5896981772689962E-2</v>
      </c>
      <c r="Q789">
        <f>IF(P789&lt;-(O789),1,0)</f>
        <v>0</v>
      </c>
    </row>
    <row r="790" spans="1:17">
      <c r="A790" s="64">
        <v>42438</v>
      </c>
      <c r="B790">
        <v>1989.26001</v>
      </c>
      <c r="C790" s="68">
        <f>LN(B790)-LN(B789)</f>
        <v>5.0396727822183962E-3</v>
      </c>
      <c r="D790" s="68"/>
      <c r="E790" s="68"/>
      <c r="F790" s="68"/>
      <c r="G790" s="68"/>
      <c r="H790" s="68"/>
      <c r="I790">
        <f>_xlfn.STDEV.S(C770:C790)</f>
        <v>1.0432448837167084E-2</v>
      </c>
      <c r="J790">
        <f>_xlfn.NORM.S.INV(0.99)*I790*SQRT(10)</f>
        <v>7.6746914033131525E-2</v>
      </c>
      <c r="K790">
        <f>LN(B799)-LN(B790)</f>
        <v>2.9979536009996366E-2</v>
      </c>
      <c r="L790">
        <f>IF(K790&lt;-(J790),1,0)</f>
        <v>0</v>
      </c>
      <c r="M790" s="72">
        <f t="shared" si="11"/>
        <v>6.6223496177519423E-2</v>
      </c>
      <c r="N790">
        <f>SQRT((N789^2)*0.72+(1-0.72)*(C789^2))</f>
        <v>9.0171454975294298E-3</v>
      </c>
      <c r="O790">
        <f>_xlfn.NORM.S.INV(0.99)*N790*SQRT(10)</f>
        <v>6.6335153052238888E-2</v>
      </c>
      <c r="P790">
        <f>LN(B799)-LN(B790)</f>
        <v>2.9979536009996366E-2</v>
      </c>
      <c r="Q790">
        <f>IF(P790&lt;-(O790),1,0)</f>
        <v>0</v>
      </c>
    </row>
    <row r="791" spans="1:17">
      <c r="A791" s="64">
        <v>42439</v>
      </c>
      <c r="B791">
        <v>1989.5699460000001</v>
      </c>
      <c r="C791" s="68">
        <f>LN(B791)-LN(B790)</f>
        <v>1.557925340138766E-4</v>
      </c>
      <c r="D791" s="68"/>
      <c r="E791" s="68"/>
      <c r="F791" s="68"/>
      <c r="G791" s="68"/>
      <c r="H791" s="68"/>
      <c r="I791">
        <f>_xlfn.STDEV.S(C771:C791)</f>
        <v>1.0418135623777695E-2</v>
      </c>
      <c r="J791">
        <f>_xlfn.NORM.S.INV(0.99)*I791*SQRT(10)</f>
        <v>7.6641618049927682E-2</v>
      </c>
      <c r="K791">
        <f>LN(B800)-LN(B791)</f>
        <v>2.3417233892153E-2</v>
      </c>
      <c r="L791">
        <f>IF(K791&lt;-(J791),1,0)</f>
        <v>0</v>
      </c>
      <c r="M791" s="72">
        <f t="shared" si="11"/>
        <v>5.9518533909844122E-2</v>
      </c>
      <c r="N791">
        <f>SQRT((N790^2)*0.72+(1-0.72)*(C790^2))</f>
        <v>8.1027120025036186E-3</v>
      </c>
      <c r="O791">
        <f>_xlfn.NORM.S.INV(0.99)*N791*SQRT(10)</f>
        <v>5.960807008953737E-2</v>
      </c>
      <c r="P791">
        <f>LN(B800)-LN(B791)</f>
        <v>2.3417233892153E-2</v>
      </c>
      <c r="Q791">
        <f>IF(P791&lt;-(O791),1,0)</f>
        <v>0</v>
      </c>
    </row>
    <row r="792" spans="1:17">
      <c r="A792" s="64">
        <v>42440</v>
      </c>
      <c r="B792">
        <v>2022.1899410000001</v>
      </c>
      <c r="C792" s="68">
        <f>LN(B792)-LN(B791)</f>
        <v>1.6262545533244577E-2</v>
      </c>
      <c r="D792" s="68"/>
      <c r="E792" s="68"/>
      <c r="F792" s="68"/>
      <c r="G792" s="68"/>
      <c r="H792" s="68"/>
      <c r="I792">
        <f>_xlfn.STDEV.S(C772:C792)</f>
        <v>1.0747579672972511E-2</v>
      </c>
      <c r="J792">
        <f>_xlfn.NORM.S.INV(0.99)*I792*SQRT(10)</f>
        <v>7.9065192276546847E-2</v>
      </c>
      <c r="K792">
        <f>LN(B801)-LN(B792)</f>
        <v>6.7765463493048017E-3</v>
      </c>
      <c r="L792">
        <f>IF(K792&lt;-(J792),1,0)</f>
        <v>0</v>
      </c>
      <c r="M792" s="72">
        <f t="shared" si="11"/>
        <v>5.0506784344867744E-2</v>
      </c>
      <c r="N792">
        <f>SQRT((N791^2)*0.72+(1-0.72)*(C791^2))</f>
        <v>6.8758733307555126E-3</v>
      </c>
      <c r="O792">
        <f>_xlfn.NORM.S.INV(0.99)*N792*SQRT(10)</f>
        <v>5.0582760352313572E-2</v>
      </c>
      <c r="P792">
        <f>LN(B801)-LN(B792)</f>
        <v>6.7765463493048017E-3</v>
      </c>
      <c r="Q792">
        <f>IF(P792&lt;-(O792),1,0)</f>
        <v>0</v>
      </c>
    </row>
    <row r="793" spans="1:17">
      <c r="A793" s="64">
        <v>42443</v>
      </c>
      <c r="B793">
        <v>2019.6400149999999</v>
      </c>
      <c r="C793" s="68">
        <f>LN(B793)-LN(B792)</f>
        <v>-1.2617682416440346E-3</v>
      </c>
      <c r="D793" s="68"/>
      <c r="E793" s="68"/>
      <c r="F793" s="68"/>
      <c r="G793" s="68"/>
      <c r="H793" s="68"/>
      <c r="I793">
        <f>_xlfn.STDEV.S(C773:C793)</f>
        <v>1.0147823820124916E-2</v>
      </c>
      <c r="J793">
        <f>_xlfn.NORM.S.INV(0.99)*I793*SQRT(10)</f>
        <v>7.4653053612096801E-2</v>
      </c>
      <c r="K793">
        <f>LN(B802)-LN(B793)</f>
        <v>8.5834217629354725E-3</v>
      </c>
      <c r="L793">
        <f>IF(K793&lt;-(J793),1,0)</f>
        <v>0</v>
      </c>
      <c r="M793" s="72">
        <f t="shared" ref="M793:M856" si="12">EWMAV(B772:B792,0.72,0.99)*SQRT(10)</f>
        <v>7.6426563842143386E-2</v>
      </c>
      <c r="N793">
        <f>SQRT((N792^2)*0.72+(1-0.72)*(C792^2))</f>
        <v>1.039671125623229E-2</v>
      </c>
      <c r="O793">
        <f>_xlfn.NORM.S.INV(0.99)*N793*SQRT(10)</f>
        <v>7.6484008449354934E-2</v>
      </c>
      <c r="P793">
        <f>LN(B802)-LN(B793)</f>
        <v>8.5834217629354725E-3</v>
      </c>
      <c r="Q793">
        <f>IF(P793&lt;-(O793),1,0)</f>
        <v>0</v>
      </c>
    </row>
    <row r="794" spans="1:17">
      <c r="A794" s="64">
        <v>42444</v>
      </c>
      <c r="B794">
        <v>2015.9300539999999</v>
      </c>
      <c r="C794" s="68">
        <f>LN(B794)-LN(B793)</f>
        <v>-1.8386309650004762E-3</v>
      </c>
      <c r="D794" s="68"/>
      <c r="E794" s="68"/>
      <c r="F794" s="68"/>
      <c r="G794" s="68"/>
      <c r="H794" s="68"/>
      <c r="I794">
        <f>_xlfn.STDEV.S(C774:C794)</f>
        <v>9.6637549615963287E-3</v>
      </c>
      <c r="J794">
        <f>_xlfn.NORM.S.INV(0.99)*I794*SQRT(10)</f>
        <v>7.1091973021003493E-2</v>
      </c>
      <c r="K794">
        <f>LN(B803)-LN(B794)</f>
        <v>1.9200064811848883E-2</v>
      </c>
      <c r="L794">
        <f>IF(K794&lt;-(J794),1,0)</f>
        <v>0</v>
      </c>
      <c r="M794" s="72">
        <f t="shared" si="12"/>
        <v>6.4974785465612236E-2</v>
      </c>
      <c r="N794">
        <f>SQRT((N793^2)*0.72+(1-0.72)*(C793^2))</f>
        <v>8.8471312925439503E-3</v>
      </c>
      <c r="O794">
        <f>_xlfn.NORM.S.INV(0.99)*N794*SQRT(10)</f>
        <v>6.5084433707424436E-2</v>
      </c>
      <c r="P794">
        <f>LN(B803)-LN(B794)</f>
        <v>1.9200064811848883E-2</v>
      </c>
      <c r="Q794">
        <f>IF(P794&lt;-(O794),1,0)</f>
        <v>0</v>
      </c>
    </row>
    <row r="795" spans="1:17">
      <c r="A795" s="64">
        <v>42445</v>
      </c>
      <c r="B795">
        <v>2027.219971</v>
      </c>
      <c r="C795" s="68">
        <f>LN(B795)-LN(B794)</f>
        <v>5.5847278848348836E-3</v>
      </c>
      <c r="D795" s="68"/>
      <c r="E795" s="68"/>
      <c r="F795" s="68"/>
      <c r="G795" s="68"/>
      <c r="H795" s="68"/>
      <c r="I795">
        <f>_xlfn.STDEV.S(C775:C795)</f>
        <v>9.2335854000154417E-3</v>
      </c>
      <c r="J795">
        <f>_xlfn.NORM.S.INV(0.99)*I795*SQRT(10)</f>
        <v>6.7927405729314466E-2</v>
      </c>
      <c r="K795">
        <f>LN(B804)-LN(B795)</f>
        <v>1.7956216723255203E-2</v>
      </c>
      <c r="L795">
        <f>IF(K795&lt;-(J795),1,0)</f>
        <v>0</v>
      </c>
      <c r="M795" s="72">
        <f t="shared" si="12"/>
        <v>5.5544280164627383E-2</v>
      </c>
      <c r="N795">
        <f>SQRT((N794^2)*0.72+(1-0.72)*(C794^2))</f>
        <v>7.5698219918658516E-3</v>
      </c>
      <c r="O795">
        <f>_xlfn.NORM.S.INV(0.99)*N795*SQRT(10)</f>
        <v>5.5687833865629179E-2</v>
      </c>
      <c r="P795">
        <f>LN(B804)-LN(B795)</f>
        <v>1.7956216723255203E-2</v>
      </c>
      <c r="Q795">
        <f>IF(P795&lt;-(O795),1,0)</f>
        <v>0</v>
      </c>
    </row>
    <row r="796" spans="1:17">
      <c r="A796" s="64">
        <v>42446</v>
      </c>
      <c r="B796">
        <v>2040.589966</v>
      </c>
      <c r="C796" s="68">
        <f>LN(B796)-LN(B795)</f>
        <v>6.5735830102084947E-3</v>
      </c>
      <c r="D796" s="68"/>
      <c r="E796" s="68"/>
      <c r="F796" s="68"/>
      <c r="G796" s="68"/>
      <c r="H796" s="68"/>
      <c r="I796">
        <f>_xlfn.STDEV.S(C776:C796)</f>
        <v>8.7725132192568982E-3</v>
      </c>
      <c r="J796">
        <f>_xlfn.NORM.S.INV(0.99)*I796*SQRT(10)</f>
        <v>6.4535501530016859E-2</v>
      </c>
      <c r="K796">
        <f>LN(B805)-LN(B796)</f>
        <v>9.3407913229119899E-3</v>
      </c>
      <c r="L796">
        <f>IF(K796&lt;-(J796),1,0)</f>
        <v>0</v>
      </c>
      <c r="M796" s="72">
        <f t="shared" si="12"/>
        <v>5.1848473848281854E-2</v>
      </c>
      <c r="N796">
        <f>SQRT((N795^2)*0.72+(1-0.72)*(C795^2))</f>
        <v>7.0704002393845071E-3</v>
      </c>
      <c r="O796">
        <f>_xlfn.NORM.S.INV(0.99)*N796*SQRT(10)</f>
        <v>5.2013808821057786E-2</v>
      </c>
      <c r="P796">
        <f>LN(B805)-LN(B796)</f>
        <v>9.3407913229119899E-3</v>
      </c>
      <c r="Q796">
        <f>IF(P796&lt;-(O796),1,0)</f>
        <v>0</v>
      </c>
    </row>
    <row r="797" spans="1:17">
      <c r="A797" s="64">
        <v>42447</v>
      </c>
      <c r="B797">
        <v>2049.580078</v>
      </c>
      <c r="C797" s="68">
        <f>LN(B797)-LN(B796)</f>
        <v>4.3959671019813129E-3</v>
      </c>
      <c r="D797" s="68"/>
      <c r="E797" s="68"/>
      <c r="F797" s="68"/>
      <c r="G797" s="68"/>
      <c r="H797" s="68"/>
      <c r="I797">
        <f>_xlfn.STDEV.S(C777:C797)</f>
        <v>8.6113429309908965E-3</v>
      </c>
      <c r="J797">
        <f>_xlfn.NORM.S.INV(0.99)*I797*SQRT(10)</f>
        <v>6.3349842970716913E-2</v>
      </c>
      <c r="K797">
        <f>LN(B806)-LN(B797)</f>
        <v>1.1255783258093288E-2</v>
      </c>
      <c r="L797">
        <f>IF(K797&lt;-(J797),1,0)</f>
        <v>0</v>
      </c>
      <c r="M797" s="72">
        <f t="shared" si="12"/>
        <v>5.0890963887744077E-2</v>
      </c>
      <c r="N797">
        <f>SQRT((N796^2)*0.72+(1-0.72)*(C796^2))</f>
        <v>6.9348800334434199E-3</v>
      </c>
      <c r="O797">
        <f>_xlfn.NORM.S.INV(0.99)*N797*SQRT(10)</f>
        <v>5.1016846577825042E-2</v>
      </c>
      <c r="P797">
        <f>LN(B806)-LN(B797)</f>
        <v>1.1255783258093288E-2</v>
      </c>
      <c r="Q797">
        <f>IF(P797&lt;-(O797),1,0)</f>
        <v>0</v>
      </c>
    </row>
    <row r="798" spans="1:17">
      <c r="A798" s="64">
        <v>42450</v>
      </c>
      <c r="B798">
        <v>2051.6000979999999</v>
      </c>
      <c r="C798" s="68">
        <f>LN(B798)-LN(B797)</f>
        <v>9.8509213283293207E-4</v>
      </c>
      <c r="D798" s="68"/>
      <c r="E798" s="68"/>
      <c r="F798" s="68"/>
      <c r="G798" s="68"/>
      <c r="H798" s="68"/>
      <c r="I798">
        <f>_xlfn.STDEV.S(C778:C798)</f>
        <v>8.5954275901511425E-3</v>
      </c>
      <c r="J798">
        <f>_xlfn.NORM.S.INV(0.99)*I798*SQRT(10)</f>
        <v>6.3232760844142283E-2</v>
      </c>
      <c r="K798">
        <f>LN(B807)-LN(B798)</f>
        <v>7.0572113133806624E-3</v>
      </c>
      <c r="L798">
        <f>IF(K798&lt;-(J798),1,0)</f>
        <v>0</v>
      </c>
      <c r="M798" s="72">
        <f t="shared" si="12"/>
        <v>4.6449449620530193E-2</v>
      </c>
      <c r="N798">
        <f>SQRT((N797^2)*0.72+(1-0.72)*(C797^2))</f>
        <v>6.3275201674604046E-3</v>
      </c>
      <c r="O798">
        <f>_xlfn.NORM.S.INV(0.99)*N798*SQRT(10)</f>
        <v>4.6548768550381731E-2</v>
      </c>
      <c r="P798">
        <f>LN(B807)-LN(B798)</f>
        <v>7.0572113133806624E-3</v>
      </c>
      <c r="Q798">
        <f>IF(P798&lt;-(O798),1,0)</f>
        <v>0</v>
      </c>
    </row>
    <row r="799" spans="1:17">
      <c r="A799" s="64">
        <v>42451</v>
      </c>
      <c r="B799">
        <v>2049.8000489999999</v>
      </c>
      <c r="C799" s="68">
        <f>LN(B799)-LN(B798)</f>
        <v>-8.7777298047519992E-4</v>
      </c>
      <c r="D799" s="68"/>
      <c r="E799" s="68"/>
      <c r="F799" s="68"/>
      <c r="G799" s="68"/>
      <c r="H799" s="68"/>
      <c r="I799">
        <f>_xlfn.STDEV.S(C779:C799)</f>
        <v>8.2439033154449205E-3</v>
      </c>
      <c r="J799">
        <f>_xlfn.NORM.S.INV(0.99)*I799*SQRT(10)</f>
        <v>6.0646752159841541E-2</v>
      </c>
      <c r="K799">
        <f>LN(B808)-LN(B799)</f>
        <v>-2.2613141819478599E-3</v>
      </c>
      <c r="L799">
        <f>IF(K799&lt;-(J799),1,0)</f>
        <v>0</v>
      </c>
      <c r="M799" s="72">
        <f t="shared" si="12"/>
        <v>3.9544501313968479E-2</v>
      </c>
      <c r="N799">
        <f>SQRT((N798^2)*0.72+(1-0.72)*(C798^2))</f>
        <v>5.3943231346455763E-3</v>
      </c>
      <c r="O799">
        <f>_xlfn.NORM.S.INV(0.99)*N799*SQRT(10)</f>
        <v>3.9683650535303948E-2</v>
      </c>
      <c r="P799">
        <f>LN(B808)-LN(B799)</f>
        <v>-2.2613141819478599E-3</v>
      </c>
      <c r="Q799">
        <f>IF(P799&lt;-(O799),1,0)</f>
        <v>0</v>
      </c>
    </row>
    <row r="800" spans="1:17">
      <c r="A800" s="64">
        <v>42452</v>
      </c>
      <c r="B800">
        <v>2036.709961</v>
      </c>
      <c r="C800" s="68">
        <f>LN(B800)-LN(B799)</f>
        <v>-6.4065095838294894E-3</v>
      </c>
      <c r="D800" s="68"/>
      <c r="E800" s="68"/>
      <c r="F800" s="68"/>
      <c r="G800" s="68"/>
      <c r="H800" s="68"/>
      <c r="I800">
        <f>_xlfn.STDEV.S(C780:C800)</f>
        <v>7.7812619826284823E-3</v>
      </c>
      <c r="J800">
        <f>_xlfn.NORM.S.INV(0.99)*I800*SQRT(10)</f>
        <v>5.7243304402557524E-2</v>
      </c>
      <c r="K800">
        <f>LN(B809)-LN(B800)</f>
        <v>1.4597993254231056E-2</v>
      </c>
      <c r="L800">
        <f>IF(K800&lt;-(J800),1,0)</f>
        <v>0</v>
      </c>
      <c r="M800" s="72">
        <f t="shared" si="12"/>
        <v>3.3678657457751955E-2</v>
      </c>
      <c r="N800">
        <f>SQRT((N799^2)*0.72+(1-0.72)*(C799^2))</f>
        <v>4.6007407894567186E-3</v>
      </c>
      <c r="O800">
        <f>_xlfn.NORM.S.INV(0.99)*N800*SQRT(10)</f>
        <v>3.3845616055092793E-2</v>
      </c>
      <c r="P800">
        <f>LN(B809)-LN(B800)</f>
        <v>1.4597993254231056E-2</v>
      </c>
      <c r="Q800">
        <f>IF(P800&lt;-(O800),1,0)</f>
        <v>0</v>
      </c>
    </row>
    <row r="801" spans="1:17">
      <c r="A801" s="64">
        <v>42453</v>
      </c>
      <c r="B801">
        <v>2035.9399410000001</v>
      </c>
      <c r="C801" s="68">
        <f>LN(B801)-LN(B800)</f>
        <v>-3.7814200960362143E-4</v>
      </c>
      <c r="D801" s="68"/>
      <c r="E801" s="68"/>
      <c r="F801" s="68"/>
      <c r="G801" s="68"/>
      <c r="H801" s="68"/>
      <c r="I801">
        <f>_xlfn.STDEV.S(C781:C801)</f>
        <v>7.8009529837388446E-3</v>
      </c>
      <c r="J801">
        <f>_xlfn.NORM.S.INV(0.99)*I801*SQRT(10)</f>
        <v>5.7388162392568394E-2</v>
      </c>
      <c r="K801">
        <f>LN(B810)-LN(B801)</f>
        <v>2.9280612587543331E-3</v>
      </c>
      <c r="L801">
        <f>IF(K801&lt;-(J801),1,0)</f>
        <v>0</v>
      </c>
      <c r="M801" s="72">
        <f t="shared" si="12"/>
        <v>3.7923438577582104E-2</v>
      </c>
      <c r="N801">
        <f>SQRT((N800^2)*0.72+(1-0.72)*(C800^2))</f>
        <v>5.1703239354832257E-3</v>
      </c>
      <c r="O801">
        <f>_xlfn.NORM.S.INV(0.99)*N801*SQRT(10)</f>
        <v>3.8035787454455953E-2</v>
      </c>
      <c r="P801">
        <f>LN(B810)-LN(B801)</f>
        <v>2.9280612587543331E-3</v>
      </c>
      <c r="Q801">
        <f>IF(P801&lt;-(O801),1,0)</f>
        <v>0</v>
      </c>
    </row>
    <row r="802" spans="1:17">
      <c r="A802" s="64">
        <v>42457</v>
      </c>
      <c r="B802">
        <v>2037.0500489999999</v>
      </c>
      <c r="C802" s="68">
        <f>LN(B802)-LN(B801)</f>
        <v>5.4510717198663627E-4</v>
      </c>
      <c r="D802" s="68"/>
      <c r="E802" s="68"/>
      <c r="F802" s="68"/>
      <c r="G802" s="68"/>
      <c r="H802" s="68"/>
      <c r="I802">
        <f>_xlfn.STDEV.S(C782:C802)</f>
        <v>7.5476049287574315E-3</v>
      </c>
      <c r="J802">
        <f>_xlfn.NORM.S.INV(0.99)*I802*SQRT(10)</f>
        <v>5.5524392754240648E-2</v>
      </c>
      <c r="K802">
        <f>LN(B811)-LN(B802)</f>
        <v>5.1656569816023179E-3</v>
      </c>
      <c r="L802">
        <f>IF(K802&lt;-(J802),1,0)</f>
        <v>0</v>
      </c>
      <c r="M802" s="72">
        <f t="shared" si="12"/>
        <v>3.2170746302819686E-2</v>
      </c>
      <c r="N802">
        <f>SQRT((N801^2)*0.72+(1-0.72)*(C801^2))</f>
        <v>4.3917260042809726E-3</v>
      </c>
      <c r="O802">
        <f>_xlfn.NORM.S.INV(0.99)*N802*SQRT(10)</f>
        <v>3.2307986683512535E-2</v>
      </c>
      <c r="P802">
        <f>LN(B811)-LN(B802)</f>
        <v>5.1656569816023179E-3</v>
      </c>
      <c r="Q802">
        <f>IF(P802&lt;-(O802),1,0)</f>
        <v>0</v>
      </c>
    </row>
    <row r="803" spans="1:17">
      <c r="A803" s="64">
        <v>42458</v>
      </c>
      <c r="B803">
        <v>2055.01001</v>
      </c>
      <c r="C803" s="68">
        <f>LN(B803)-LN(B802)</f>
        <v>8.7780120839129339E-3</v>
      </c>
      <c r="D803" s="68"/>
      <c r="E803" s="68"/>
      <c r="F803" s="68"/>
      <c r="G803" s="68"/>
      <c r="H803" s="68"/>
      <c r="I803">
        <f>_xlfn.STDEV.S(C783:C803)</f>
        <v>7.6290974991219977E-3</v>
      </c>
      <c r="J803">
        <f>_xlfn.NORM.S.INV(0.99)*I803*SQRT(10)</f>
        <v>5.6123897567513868E-2</v>
      </c>
      <c r="K803">
        <f>LN(B812)-LN(B803)</f>
        <v>-6.3559013089111716E-3</v>
      </c>
      <c r="L803">
        <f>IF(K803&lt;-(J803),1,0)</f>
        <v>0</v>
      </c>
      <c r="M803" s="72">
        <f t="shared" si="12"/>
        <v>2.7378773501550258E-2</v>
      </c>
      <c r="N803">
        <f>SQRT((N802^2)*0.72+(1-0.72)*(C802^2))</f>
        <v>3.7376496579688031E-3</v>
      </c>
      <c r="O803">
        <f>_xlfn.NORM.S.INV(0.99)*N803*SQRT(10)</f>
        <v>2.7496236163089553E-2</v>
      </c>
      <c r="P803">
        <f>LN(B812)-LN(B803)</f>
        <v>-6.3559013089111716E-3</v>
      </c>
      <c r="Q803">
        <f>IF(P803&lt;-(O803),1,0)</f>
        <v>0</v>
      </c>
    </row>
    <row r="804" spans="1:17">
      <c r="A804" s="64">
        <v>42459</v>
      </c>
      <c r="B804">
        <v>2063.9499510000001</v>
      </c>
      <c r="C804" s="68">
        <f>LN(B804)-LN(B803)</f>
        <v>4.3408797962412038E-3</v>
      </c>
      <c r="D804" s="68"/>
      <c r="E804" s="68"/>
      <c r="F804" s="68"/>
      <c r="G804" s="68"/>
      <c r="H804" s="68"/>
      <c r="I804">
        <f>_xlfn.STDEV.S(C784:C804)</f>
        <v>7.2297084589382273E-3</v>
      </c>
      <c r="J804">
        <f>_xlfn.NORM.S.INV(0.99)*I804*SQRT(10)</f>
        <v>5.3185768964039967E-2</v>
      </c>
      <c r="K804">
        <f>LN(B813)-LN(B804)</f>
        <v>-1.0810269649912385E-3</v>
      </c>
      <c r="L804">
        <f>IF(K804&lt;-(J804),1,0)</f>
        <v>0</v>
      </c>
      <c r="M804" s="72">
        <f t="shared" si="12"/>
        <v>4.1302697742343526E-2</v>
      </c>
      <c r="N804">
        <f>SQRT((N803^2)*0.72+(1-0.72)*(C803^2))</f>
        <v>5.6243574651691835E-3</v>
      </c>
      <c r="O804">
        <f>_xlfn.NORM.S.INV(0.99)*N804*SQRT(10)</f>
        <v>4.13759114095167E-2</v>
      </c>
      <c r="P804">
        <f>LN(B813)-LN(B804)</f>
        <v>-1.0810269649912385E-3</v>
      </c>
      <c r="Q804">
        <f>IF(P804&lt;-(O804),1,0)</f>
        <v>0</v>
      </c>
    </row>
    <row r="805" spans="1:17">
      <c r="A805" s="64">
        <v>42460</v>
      </c>
      <c r="B805">
        <v>2059.73999</v>
      </c>
      <c r="C805" s="68">
        <f>LN(B805)-LN(B804)</f>
        <v>-2.0418423901347182E-3</v>
      </c>
      <c r="D805" s="68"/>
      <c r="E805" s="68"/>
      <c r="F805" s="68"/>
      <c r="G805" s="68"/>
      <c r="H805" s="68"/>
      <c r="I805">
        <f>_xlfn.STDEV.S(C785:C805)</f>
        <v>5.5804301419011149E-3</v>
      </c>
      <c r="J805">
        <f>_xlfn.NORM.S.INV(0.99)*I805*SQRT(10)</f>
        <v>4.1052757511982181E-2</v>
      </c>
      <c r="K805">
        <f>LN(B814)-LN(B805)</f>
        <v>1.0950885109734187E-2</v>
      </c>
      <c r="L805">
        <f>IF(K805&lt;-(J805),1,0)</f>
        <v>0</v>
      </c>
      <c r="M805" s="72">
        <f t="shared" si="12"/>
        <v>3.8755338894403232E-2</v>
      </c>
      <c r="N805">
        <f>SQRT((N804^2)*0.72+(1-0.72)*(C804^2))</f>
        <v>5.2964282529492776E-3</v>
      </c>
      <c r="O805">
        <f>_xlfn.NORM.S.INV(0.99)*N805*SQRT(10)</f>
        <v>3.8963481168830479E-2</v>
      </c>
      <c r="P805">
        <f>LN(B814)-LN(B805)</f>
        <v>1.0950885109734187E-2</v>
      </c>
      <c r="Q805">
        <f>IF(P805&lt;-(O805),1,0)</f>
        <v>0</v>
      </c>
    </row>
    <row r="806" spans="1:17">
      <c r="A806" s="64">
        <v>42461</v>
      </c>
      <c r="B806">
        <v>2072.780029</v>
      </c>
      <c r="C806" s="68">
        <f>LN(B806)-LN(B805)</f>
        <v>6.3109590371626112E-3</v>
      </c>
      <c r="D806" s="68"/>
      <c r="E806" s="68"/>
      <c r="F806" s="68"/>
      <c r="G806" s="68"/>
      <c r="H806" s="68"/>
      <c r="I806">
        <f>_xlfn.STDEV.S(C786:C806)</f>
        <v>5.6443696219207005E-3</v>
      </c>
      <c r="J806">
        <f>_xlfn.NORM.S.INV(0.99)*I806*SQRT(10)</f>
        <v>4.1523131999600449E-2</v>
      </c>
      <c r="K806">
        <f>LN(B815)-LN(B806)</f>
        <v>4.8128383001397879E-3</v>
      </c>
      <c r="L806">
        <f>IF(K806&lt;-(J806),1,0)</f>
        <v>0</v>
      </c>
      <c r="M806" s="72">
        <f t="shared" si="12"/>
        <v>3.3826679955786372E-2</v>
      </c>
      <c r="N806">
        <f>SQRT((N805^2)*0.72+(1-0.72)*(C805^2))</f>
        <v>4.6222184401802802E-3</v>
      </c>
      <c r="O806">
        <f>_xlfn.NORM.S.INV(0.99)*N806*SQRT(10)</f>
        <v>3.4003617636451371E-2</v>
      </c>
      <c r="P806">
        <f>LN(B815)-LN(B806)</f>
        <v>4.8128383001397879E-3</v>
      </c>
      <c r="Q806">
        <f>IF(P806&lt;-(O806),1,0)</f>
        <v>0</v>
      </c>
    </row>
    <row r="807" spans="1:17">
      <c r="A807" s="64">
        <v>42464</v>
      </c>
      <c r="B807">
        <v>2066.1298830000001</v>
      </c>
      <c r="C807" s="68">
        <f>LN(B807)-LN(B806)</f>
        <v>-3.2134798118796937E-3</v>
      </c>
      <c r="D807" s="68"/>
      <c r="E807" s="68"/>
      <c r="F807" s="68"/>
      <c r="G807" s="68"/>
      <c r="H807" s="68"/>
      <c r="I807">
        <f>_xlfn.STDEV.S(C787:C807)</f>
        <v>5.7460202663904454E-3</v>
      </c>
      <c r="J807">
        <f>_xlfn.NORM.S.INV(0.99)*I807*SQRT(10)</f>
        <v>4.2270930852419973E-2</v>
      </c>
      <c r="K807">
        <f>LN(B816)-LN(B807)</f>
        <v>7.0415484531300976E-3</v>
      </c>
      <c r="L807">
        <f>IF(K807&lt;-(J807),1,0)</f>
        <v>0</v>
      </c>
      <c r="M807" s="72">
        <f t="shared" si="12"/>
        <v>3.7777317008822781E-2</v>
      </c>
      <c r="N807">
        <f>SQRT((N806^2)*0.72+(1-0.72)*(C806^2))</f>
        <v>5.1511772919928828E-3</v>
      </c>
      <c r="O807">
        <f>_xlfn.NORM.S.INV(0.99)*N807*SQRT(10)</f>
        <v>3.7894934062801512E-2</v>
      </c>
      <c r="P807">
        <f>LN(B816)-LN(B807)</f>
        <v>7.0415484531300976E-3</v>
      </c>
      <c r="Q807">
        <f>IF(P807&lt;-(O807),1,0)</f>
        <v>0</v>
      </c>
    </row>
    <row r="808" spans="1:17">
      <c r="A808" s="64">
        <v>42465</v>
      </c>
      <c r="B808">
        <v>2045.170044</v>
      </c>
      <c r="C808" s="68">
        <f>LN(B808)-LN(B807)</f>
        <v>-1.0196298475803722E-2</v>
      </c>
      <c r="D808" s="68"/>
      <c r="E808" s="68"/>
      <c r="F808" s="68"/>
      <c r="G808" s="68"/>
      <c r="H808" s="68"/>
      <c r="I808">
        <f>_xlfn.STDEV.S(C788:C808)</f>
        <v>6.2880652077612516E-3</v>
      </c>
      <c r="J808">
        <f>_xlfn.NORM.S.INV(0.99)*I808*SQRT(10)</f>
        <v>4.6258515854444827E-2</v>
      </c>
      <c r="K808">
        <f>LN(B817)-LN(B808)</f>
        <v>2.3757572820237272E-2</v>
      </c>
      <c r="L808">
        <f>IF(K808&lt;-(J808),1,0)</f>
        <v>0</v>
      </c>
      <c r="M808" s="72">
        <f t="shared" si="12"/>
        <v>3.4406089596507483E-2</v>
      </c>
      <c r="N808">
        <f>SQRT((N807^2)*0.72+(1-0.72)*(C807^2))</f>
        <v>4.6900254259152358E-3</v>
      </c>
      <c r="O808">
        <f>_xlfn.NORM.S.INV(0.99)*N808*SQRT(10)</f>
        <v>3.4502443653839206E-2</v>
      </c>
      <c r="P808">
        <f>LN(B817)-LN(B808)</f>
        <v>2.3757572820237272E-2</v>
      </c>
      <c r="Q808">
        <f>IF(P808&lt;-(O808),1,0)</f>
        <v>0</v>
      </c>
    </row>
    <row r="809" spans="1:17">
      <c r="A809" s="64">
        <v>42466</v>
      </c>
      <c r="B809">
        <v>2066.6599120000001</v>
      </c>
      <c r="C809" s="68">
        <f>LN(B809)-LN(B808)</f>
        <v>1.0452797852349427E-2</v>
      </c>
      <c r="D809" s="68"/>
      <c r="E809" s="68"/>
      <c r="F809" s="68"/>
      <c r="G809" s="68"/>
      <c r="H809" s="68"/>
      <c r="I809">
        <f>_xlfn.STDEV.S(C789:C809)</f>
        <v>6.6127070150356444E-3</v>
      </c>
      <c r="J809">
        <f>_xlfn.NORM.S.INV(0.99)*I809*SQRT(10)</f>
        <v>4.8646762110269644E-2</v>
      </c>
      <c r="K809">
        <f>LN(B818)-LN(B809)</f>
        <v>1.6384512900343928E-2</v>
      </c>
      <c r="L809">
        <f>IF(K809&lt;-(J809),1,0)</f>
        <v>0</v>
      </c>
      <c r="M809" s="72">
        <f t="shared" si="12"/>
        <v>4.9271797357598235E-2</v>
      </c>
      <c r="N809">
        <f>SQRT((N808^2)*0.72+(1-0.72)*(C808^2))</f>
        <v>6.704284036873457E-3</v>
      </c>
      <c r="O809">
        <f>_xlfn.NORM.S.INV(0.99)*N809*SQRT(10)</f>
        <v>4.9320453774815143E-2</v>
      </c>
      <c r="P809">
        <f>LN(B818)-LN(B809)</f>
        <v>1.6384512900343928E-2</v>
      </c>
      <c r="Q809">
        <f>IF(P809&lt;-(O809),1,0)</f>
        <v>0</v>
      </c>
    </row>
    <row r="810" spans="1:17">
      <c r="A810" s="64">
        <v>42467</v>
      </c>
      <c r="B810">
        <v>2041.910034</v>
      </c>
      <c r="C810" s="68">
        <f>LN(B810)-LN(B809)</f>
        <v>-1.2048074005080345E-2</v>
      </c>
      <c r="D810" s="68"/>
      <c r="E810" s="68"/>
      <c r="F810" s="68"/>
      <c r="G810" s="68"/>
      <c r="H810" s="68"/>
      <c r="I810">
        <f>_xlfn.STDEV.S(C790:C810)</f>
        <v>6.6864582805703709E-3</v>
      </c>
      <c r="J810">
        <f>_xlfn.NORM.S.INV(0.99)*I810*SQRT(10)</f>
        <v>4.9189317566248787E-2</v>
      </c>
      <c r="K810">
        <f>LN(B819)-LN(B810)</f>
        <v>2.9193841709341584E-2</v>
      </c>
      <c r="L810">
        <f>IF(K810&lt;-(J810),1,0)</f>
        <v>0</v>
      </c>
      <c r="M810" s="72">
        <f t="shared" si="12"/>
        <v>5.8317254640863757E-2</v>
      </c>
      <c r="N810">
        <f>SQRT((N809^2)*0.72+(1-0.72)*(C809^2))</f>
        <v>7.9344326089316256E-3</v>
      </c>
      <c r="O810">
        <f>_xlfn.NORM.S.INV(0.99)*N810*SQRT(10)</f>
        <v>5.8370112985352392E-2</v>
      </c>
      <c r="P810">
        <f>LN(B819)-LN(B810)</f>
        <v>2.9193841709341584E-2</v>
      </c>
      <c r="Q810">
        <f>IF(P810&lt;-(O810),1,0)</f>
        <v>0</v>
      </c>
    </row>
    <row r="811" spans="1:17">
      <c r="A811" s="64">
        <v>42468</v>
      </c>
      <c r="B811">
        <v>2047.599976</v>
      </c>
      <c r="C811" s="68">
        <f>LN(B811)-LN(B810)</f>
        <v>2.7827028948346211E-3</v>
      </c>
      <c r="D811" s="68"/>
      <c r="E811" s="68"/>
      <c r="F811" s="68"/>
      <c r="G811" s="68"/>
      <c r="H811" s="68"/>
      <c r="I811">
        <f>_xlfn.STDEV.S(C791:C811)</f>
        <v>6.6444542393636645E-3</v>
      </c>
      <c r="J811">
        <f>_xlfn.NORM.S.INV(0.99)*I811*SQRT(10)</f>
        <v>4.8880312404579518E-2</v>
      </c>
      <c r="K811">
        <f>LN(B820)-LN(B811)</f>
        <v>2.1203575896595162E-2</v>
      </c>
      <c r="L811">
        <f>IF(K811&lt;-(J811),1,0)</f>
        <v>0</v>
      </c>
      <c r="M811" s="72">
        <f t="shared" si="12"/>
        <v>6.8174074903551027E-2</v>
      </c>
      <c r="N811">
        <f>SQRT((N810^2)*0.72+(1-0.72)*(C810^2))</f>
        <v>9.2720797785296148E-3</v>
      </c>
      <c r="O811">
        <f>_xlfn.NORM.S.INV(0.99)*N811*SQRT(10)</f>
        <v>6.8210591854135014E-2</v>
      </c>
      <c r="P811">
        <f>LN(B820)-LN(B811)</f>
        <v>2.1203575896595162E-2</v>
      </c>
      <c r="Q811">
        <f>IF(P811&lt;-(O811),1,0)</f>
        <v>0</v>
      </c>
    </row>
    <row r="812" spans="1:17">
      <c r="A812" s="64">
        <v>42471</v>
      </c>
      <c r="B812">
        <v>2041.98999</v>
      </c>
      <c r="C812" s="68">
        <f>LN(B812)-LN(B811)</f>
        <v>-2.7435462066005556E-3</v>
      </c>
      <c r="D812" s="68"/>
      <c r="E812" s="68"/>
      <c r="F812" s="68"/>
      <c r="G812" s="68"/>
      <c r="H812" s="68"/>
      <c r="I812">
        <f>_xlfn.STDEV.S(C792:C812)</f>
        <v>6.7009684677888787E-3</v>
      </c>
      <c r="J812">
        <f>_xlfn.NORM.S.INV(0.99)*I812*SQRT(10)</f>
        <v>4.9296062598833672E-2</v>
      </c>
      <c r="K812">
        <f>LN(B821)-LN(B812)</f>
        <v>2.3994980847096059E-2</v>
      </c>
      <c r="L812">
        <f>IF(K812&lt;-(J812),1,0)</f>
        <v>0</v>
      </c>
      <c r="M812" s="72">
        <f t="shared" si="12"/>
        <v>5.8853082759591495E-2</v>
      </c>
      <c r="N812">
        <f>SQRT((N811^2)*0.72+(1-0.72)*(C811^2))</f>
        <v>8.0042248578009526E-3</v>
      </c>
      <c r="O812">
        <f>_xlfn.NORM.S.INV(0.99)*N812*SQRT(10)</f>
        <v>5.888354370595851E-2</v>
      </c>
      <c r="P812">
        <f>LN(B821)-LN(B812)</f>
        <v>2.3994980847096059E-2</v>
      </c>
      <c r="Q812">
        <f>IF(P812&lt;-(O812),1,0)</f>
        <v>0</v>
      </c>
    </row>
    <row r="813" spans="1:17">
      <c r="A813" s="64">
        <v>42472</v>
      </c>
      <c r="B813">
        <v>2061.719971</v>
      </c>
      <c r="C813" s="68">
        <f>LN(B813)-LN(B812)</f>
        <v>9.6157541401611368E-3</v>
      </c>
      <c r="D813" s="68"/>
      <c r="E813" s="68"/>
      <c r="F813" s="68"/>
      <c r="G813" s="68"/>
      <c r="H813" s="68"/>
      <c r="I813">
        <f>_xlfn.STDEV.S(C793:C813)</f>
        <v>6.0844507670179578E-3</v>
      </c>
      <c r="J813">
        <f>_xlfn.NORM.S.INV(0.99)*I813*SQRT(10)</f>
        <v>4.4760614429425888E-2</v>
      </c>
      <c r="K813">
        <f>LN(B822)-LN(B813)</f>
        <v>1.2565537116000058E-2</v>
      </c>
      <c r="L813">
        <f>IF(K813&lt;-(J813),1,0)</f>
        <v>0</v>
      </c>
      <c r="M813" s="72">
        <f t="shared" si="12"/>
        <v>5.10127011787707E-2</v>
      </c>
      <c r="N813">
        <f>SQRT((N812^2)*0.72+(1-0.72)*(C812^2))</f>
        <v>6.9452326119448654E-3</v>
      </c>
      <c r="O813">
        <f>_xlfn.NORM.S.INV(0.99)*N813*SQRT(10)</f>
        <v>5.1093005921107999E-2</v>
      </c>
      <c r="P813">
        <f>LN(B822)-LN(B813)</f>
        <v>1.2565537116000058E-2</v>
      </c>
      <c r="Q813">
        <f>IF(P813&lt;-(O813),1,0)</f>
        <v>0</v>
      </c>
    </row>
    <row r="814" spans="1:17">
      <c r="A814" s="64">
        <v>42473</v>
      </c>
      <c r="B814">
        <v>2082.419922</v>
      </c>
      <c r="C814" s="68">
        <f>LN(B814)-LN(B813)</f>
        <v>9.9900696845907078E-3</v>
      </c>
      <c r="D814" s="68"/>
      <c r="E814" s="68"/>
      <c r="F814" s="68"/>
      <c r="G814" s="68"/>
      <c r="H814" s="68"/>
      <c r="I814">
        <f>_xlfn.STDEV.S(C794:C814)</f>
        <v>6.3712077778366547E-3</v>
      </c>
      <c r="J814">
        <f>_xlfn.NORM.S.INV(0.99)*I814*SQRT(10)</f>
        <v>4.6870158986145369E-2</v>
      </c>
      <c r="K814">
        <f>LN(B823)-LN(B814)</f>
        <v>4.4464675534117148E-3</v>
      </c>
      <c r="L814">
        <f>IF(K814&lt;-(J814),1,0)</f>
        <v>0</v>
      </c>
      <c r="M814" s="72">
        <f t="shared" si="12"/>
        <v>5.7225299772584719E-2</v>
      </c>
      <c r="N814">
        <f>SQRT((N813^2)*0.72+(1-0.72)*(C813^2))</f>
        <v>7.7858633494316794E-3</v>
      </c>
      <c r="O814">
        <f>_xlfn.NORM.S.INV(0.99)*N814*SQRT(10)</f>
        <v>5.7277154623918955E-2</v>
      </c>
      <c r="P814">
        <f>LN(B823)-LN(B814)</f>
        <v>4.4464675534117148E-3</v>
      </c>
      <c r="Q814">
        <f>IF(P814&lt;-(O814),1,0)</f>
        <v>0</v>
      </c>
    </row>
    <row r="815" spans="1:17">
      <c r="A815" s="64">
        <v>42474</v>
      </c>
      <c r="B815">
        <v>2082.780029</v>
      </c>
      <c r="C815" s="68">
        <f>LN(B815)-LN(B814)</f>
        <v>1.7291222756821156E-4</v>
      </c>
      <c r="D815" s="68"/>
      <c r="E815" s="68"/>
      <c r="F815" s="68"/>
      <c r="G815" s="68"/>
      <c r="H815" s="68"/>
      <c r="I815">
        <f>_xlfn.STDEV.S(C795:C815)</f>
        <v>6.3341851778676416E-3</v>
      </c>
      <c r="J815">
        <f>_xlfn.NORM.S.INV(0.99)*I815*SQRT(10)</f>
        <v>4.6597800085425717E-2</v>
      </c>
      <c r="K815">
        <f>LN(B824)-LN(B815)</f>
        <v>5.9215493556914467E-3</v>
      </c>
      <c r="L815">
        <f>IF(K815&lt;-(J815),1,0)</f>
        <v>0</v>
      </c>
      <c r="M815" s="72">
        <f t="shared" si="12"/>
        <v>6.2209804227526491E-2</v>
      </c>
      <c r="N815">
        <f>SQRT((N814^2)*0.72+(1-0.72)*(C814^2))</f>
        <v>8.4611216085085806E-3</v>
      </c>
      <c r="O815">
        <f>_xlfn.NORM.S.INV(0.99)*N815*SQRT(10)</f>
        <v>6.2244731112279635E-2</v>
      </c>
      <c r="P815">
        <f>LN(B824)-LN(B815)</f>
        <v>5.9215493556914467E-3</v>
      </c>
      <c r="Q815">
        <f>IF(P815&lt;-(O815),1,0)</f>
        <v>0</v>
      </c>
    </row>
    <row r="816" spans="1:17">
      <c r="A816" s="64">
        <v>42475</v>
      </c>
      <c r="B816">
        <v>2080.7299800000001</v>
      </c>
      <c r="C816" s="68">
        <f>LN(B816)-LN(B815)</f>
        <v>-9.8476965888938395E-4</v>
      </c>
      <c r="D816" s="68"/>
      <c r="E816" s="68"/>
      <c r="F816" s="68"/>
      <c r="G816" s="68"/>
      <c r="H816" s="68"/>
      <c r="I816">
        <f>_xlfn.STDEV.S(C796:C816)</f>
        <v>6.2871874444280999E-3</v>
      </c>
      <c r="J816">
        <f>_xlfn.NORM.S.INV(0.99)*I816*SQRT(10)</f>
        <v>4.6252058537651589E-2</v>
      </c>
      <c r="K816">
        <f>LN(B825)-LN(B816)</f>
        <v>-2.3673166872049123E-3</v>
      </c>
      <c r="L816">
        <f>IF(K816&lt;-(J816),1,0)</f>
        <v>0</v>
      </c>
      <c r="M816" s="72">
        <f t="shared" si="12"/>
        <v>5.2784785828042358E-2</v>
      </c>
      <c r="N816">
        <f>SQRT((N815^2)*0.72+(1-0.72)*(C815^2))</f>
        <v>7.1800827577419282E-3</v>
      </c>
      <c r="O816">
        <f>_xlfn.NORM.S.INV(0.99)*N816*SQRT(10)</f>
        <v>5.2820694619272746E-2</v>
      </c>
      <c r="P816">
        <f>LN(B825)-LN(B816)</f>
        <v>-2.3673166872049123E-3</v>
      </c>
      <c r="Q816">
        <f>IF(P816&lt;-(O816),1,0)</f>
        <v>0</v>
      </c>
    </row>
    <row r="817" spans="1:17">
      <c r="A817" s="64">
        <v>42478</v>
      </c>
      <c r="B817">
        <v>2094.3400879999999</v>
      </c>
      <c r="C817" s="68">
        <f>LN(B817)-LN(B816)</f>
        <v>6.5197258913034517E-3</v>
      </c>
      <c r="D817" s="68"/>
      <c r="E817" s="68"/>
      <c r="F817" s="68"/>
      <c r="G817" s="68"/>
      <c r="H817" s="68"/>
      <c r="I817">
        <f>_xlfn.STDEV.S(C797:C817)</f>
        <v>6.2849138721503741E-3</v>
      </c>
      <c r="J817">
        <f>_xlfn.NORM.S.INV(0.99)*I817*SQRT(10)</f>
        <v>4.6235332871523697E-2</v>
      </c>
      <c r="K817">
        <f>LN(B826)-LN(B817)</f>
        <v>-1.3962991921552259E-2</v>
      </c>
      <c r="L817">
        <f>IF(K817&lt;-(J817),1,0)</f>
        <v>0</v>
      </c>
      <c r="M817" s="72">
        <f t="shared" si="12"/>
        <v>4.494291505431168E-2</v>
      </c>
      <c r="N817">
        <f>SQRT((N816^2)*0.72+(1-0.72)*(C816^2))</f>
        <v>6.1147460791496373E-3</v>
      </c>
      <c r="O817">
        <f>_xlfn.NORM.S.INV(0.99)*N817*SQRT(10)</f>
        <v>4.4983483647580452E-2</v>
      </c>
      <c r="P817">
        <f>LN(B826)-LN(B817)</f>
        <v>-1.3962991921552259E-2</v>
      </c>
      <c r="Q817">
        <f>IF(P817&lt;-(O817),1,0)</f>
        <v>0</v>
      </c>
    </row>
    <row r="818" spans="1:17">
      <c r="A818" s="64">
        <v>42479</v>
      </c>
      <c r="B818">
        <v>2100.8000489999999</v>
      </c>
      <c r="C818" s="68">
        <f>LN(B818)-LN(B817)</f>
        <v>3.0797379324560836E-3</v>
      </c>
      <c r="D818" s="68"/>
      <c r="E818" s="68"/>
      <c r="F818" s="68"/>
      <c r="G818" s="68"/>
      <c r="H818" s="68"/>
      <c r="I818">
        <f>_xlfn.STDEV.S(C798:C818)</f>
        <v>6.2583535598568652E-3</v>
      </c>
      <c r="J818">
        <f>_xlfn.NORM.S.INV(0.99)*I818*SQRT(10)</f>
        <v>4.6039940395979424E-2</v>
      </c>
      <c r="K818">
        <f>LN(B827)-LN(B818)</f>
        <v>-9.263123067326795E-3</v>
      </c>
      <c r="L818">
        <f>IF(K818&lt;-(J818),1,0)</f>
        <v>0</v>
      </c>
      <c r="M818" s="72">
        <f t="shared" si="12"/>
        <v>4.5804057193521729E-2</v>
      </c>
      <c r="N818">
        <f>SQRT((N817^2)*0.72+(1-0.72)*(C817^2))</f>
        <v>6.2307942765226767E-3</v>
      </c>
      <c r="O818">
        <f>_xlfn.NORM.S.INV(0.99)*N818*SQRT(10)</f>
        <v>4.5837198932122125E-2</v>
      </c>
      <c r="P818">
        <f>LN(B827)-LN(B818)</f>
        <v>-9.263123067326795E-3</v>
      </c>
      <c r="Q818">
        <f>IF(P818&lt;-(O818),1,0)</f>
        <v>0</v>
      </c>
    </row>
    <row r="819" spans="1:17">
      <c r="A819" s="64">
        <v>42480</v>
      </c>
      <c r="B819">
        <v>2102.3999020000001</v>
      </c>
      <c r="C819" s="68">
        <f>LN(B819)-LN(B818)</f>
        <v>7.612548039173106E-4</v>
      </c>
      <c r="D819" s="68"/>
      <c r="E819" s="68"/>
      <c r="F819" s="68"/>
      <c r="G819" s="68"/>
      <c r="H819" s="68"/>
      <c r="I819">
        <f>_xlfn.STDEV.S(C799:C819)</f>
        <v>6.2588844736970349E-3</v>
      </c>
      <c r="J819">
        <f>_xlfn.NORM.S.INV(0.99)*I819*SQRT(10)</f>
        <v>4.6043846094390842E-2</v>
      </c>
      <c r="K819">
        <f>LN(B828)-LN(B819)</f>
        <v>-1.8738877523168718E-2</v>
      </c>
      <c r="L819">
        <f>IF(K819&lt;-(J819),1,0)</f>
        <v>0</v>
      </c>
      <c r="M819" s="72">
        <f t="shared" si="12"/>
        <v>4.0672762701277822E-2</v>
      </c>
      <c r="N819">
        <f>SQRT((N818^2)*0.72+(1-0.72)*(C818^2))</f>
        <v>5.5324636531025543E-3</v>
      </c>
      <c r="O819">
        <f>_xlfn.NORM.S.INV(0.99)*N819*SQRT(10)</f>
        <v>4.0699889259307002E-2</v>
      </c>
      <c r="P819">
        <f>LN(B828)-LN(B819)</f>
        <v>-1.8738877523168718E-2</v>
      </c>
      <c r="Q819">
        <f>IF(P819&lt;-(O819),1,0)</f>
        <v>0</v>
      </c>
    </row>
    <row r="820" spans="1:17">
      <c r="A820" s="64">
        <v>42481</v>
      </c>
      <c r="B820">
        <v>2091.4799800000001</v>
      </c>
      <c r="C820" s="68">
        <f>LN(B820)-LN(B819)</f>
        <v>-5.207562917911801E-3</v>
      </c>
      <c r="D820" s="68"/>
      <c r="E820" s="68"/>
      <c r="F820" s="68"/>
      <c r="G820" s="68"/>
      <c r="H820" s="68"/>
      <c r="I820">
        <f>_xlfn.STDEV.S(C800:C820)</f>
        <v>6.3992747196924462E-3</v>
      </c>
      <c r="J820">
        <f>_xlfn.NORM.S.INV(0.99)*I820*SQRT(10)</f>
        <v>4.7076635069316294E-2</v>
      </c>
      <c r="K820">
        <f>LN(B829)-LN(B820)</f>
        <v>-1.9485897311271927E-2</v>
      </c>
      <c r="L820">
        <f>IF(K820&lt;-(J820),1,0)</f>
        <v>0</v>
      </c>
      <c r="M820" s="72">
        <f t="shared" si="12"/>
        <v>3.4638737271167709E-2</v>
      </c>
      <c r="N820">
        <f>SQRT((N819^2)*0.72+(1-0.72)*(C819^2))</f>
        <v>4.7117017539212974E-3</v>
      </c>
      <c r="O820">
        <f>_xlfn.NORM.S.INV(0.99)*N820*SQRT(10)</f>
        <v>3.4661906816132258E-2</v>
      </c>
      <c r="P820">
        <f>LN(B829)-LN(B820)</f>
        <v>-1.9485897311271927E-2</v>
      </c>
      <c r="Q820">
        <f>IF(P820&lt;-(O820),1,0)</f>
        <v>0</v>
      </c>
    </row>
    <row r="821" spans="1:17">
      <c r="A821" s="64">
        <v>42482</v>
      </c>
      <c r="B821">
        <v>2091.580078</v>
      </c>
      <c r="C821" s="68">
        <f>LN(B821)-LN(B820)</f>
        <v>4.7858743900341949E-5</v>
      </c>
      <c r="D821" s="68"/>
      <c r="E821" s="68"/>
      <c r="F821" s="68"/>
      <c r="G821" s="68"/>
      <c r="H821" s="68"/>
      <c r="I821">
        <f>_xlfn.STDEV.S(C801:C821)</f>
        <v>6.1790604213112221E-3</v>
      </c>
      <c r="J821">
        <f>_xlfn.NORM.S.INV(0.99)*I821*SQRT(10)</f>
        <v>4.5456615830255301E-2</v>
      </c>
      <c r="K821">
        <f>LN(B830)-LN(B821)</f>
        <v>-1.9772792565117214E-2</v>
      </c>
      <c r="L821">
        <f>IF(K821&lt;-(J821),1,0)</f>
        <v>0</v>
      </c>
      <c r="M821" s="72">
        <f t="shared" si="12"/>
        <v>3.5692473306605167E-2</v>
      </c>
      <c r="N821">
        <f>SQRT((N820^2)*0.72+(1-0.72)*(C820^2))</f>
        <v>4.8556498322278596E-3</v>
      </c>
      <c r="O821">
        <f>_xlfn.NORM.S.INV(0.99)*N821*SQRT(10)</f>
        <v>3.5720869190495372E-2</v>
      </c>
      <c r="P821">
        <f>LN(B830)-LN(B821)</f>
        <v>-1.9772792565117214E-2</v>
      </c>
      <c r="Q821">
        <f>IF(P821&lt;-(O821),1,0)</f>
        <v>0</v>
      </c>
    </row>
    <row r="822" spans="1:17">
      <c r="A822" s="64">
        <v>42485</v>
      </c>
      <c r="B822">
        <v>2087.790039</v>
      </c>
      <c r="C822" s="68">
        <f>LN(B822)-LN(B821)</f>
        <v>-1.8136895909348638E-3</v>
      </c>
      <c r="D822" s="68"/>
      <c r="E822" s="68"/>
      <c r="F822" s="68"/>
      <c r="G822" s="68"/>
      <c r="H822" s="68"/>
      <c r="I822">
        <f>_xlfn.STDEV.S(C802:C822)</f>
        <v>6.2060399610992315E-3</v>
      </c>
      <c r="J822">
        <f>_xlfn.NORM.S.INV(0.99)*I822*SQRT(10)</f>
        <v>4.5655092377141111E-2</v>
      </c>
      <c r="K822">
        <f>LN(B831)-LN(B822)</f>
        <v>-1.4789492306986673E-2</v>
      </c>
      <c r="L822">
        <f>IF(K822&lt;-(J822),1,0)</f>
        <v>0</v>
      </c>
      <c r="M822" s="72">
        <f t="shared" si="12"/>
        <v>3.028659075245288E-2</v>
      </c>
      <c r="N822">
        <f>SQRT((N821^2)*0.72+(1-0.72)*(C821^2))</f>
        <v>4.1202333355936727E-3</v>
      </c>
      <c r="O822">
        <f>_xlfn.NORM.S.INV(0.99)*N822*SQRT(10)</f>
        <v>3.0310735143669113E-2</v>
      </c>
      <c r="P822">
        <f>LN(B831)-LN(B822)</f>
        <v>-1.4789492306986673E-2</v>
      </c>
      <c r="Q822">
        <f>IF(P822&lt;-(O822),1,0)</f>
        <v>0</v>
      </c>
    </row>
    <row r="823" spans="1:17">
      <c r="A823" s="64">
        <v>42486</v>
      </c>
      <c r="B823">
        <v>2091.6999510000001</v>
      </c>
      <c r="C823" s="68">
        <f>LN(B823)-LN(B822)</f>
        <v>1.8710001220023642E-3</v>
      </c>
      <c r="D823" s="68"/>
      <c r="E823" s="68"/>
      <c r="F823" s="68"/>
      <c r="G823" s="68"/>
      <c r="H823" s="68"/>
      <c r="I823">
        <f>_xlfn.STDEV.S(C803:C823)</f>
        <v>6.2058149530888375E-3</v>
      </c>
      <c r="J823">
        <f>_xlfn.NORM.S.INV(0.99)*I823*SQRT(10)</f>
        <v>4.5653437092682013E-2</v>
      </c>
      <c r="K823">
        <f>LN(B832)-LN(B823)</f>
        <v>-1.5907279523792006E-2</v>
      </c>
      <c r="L823">
        <f>IF(K823&lt;-(J823),1,0)</f>
        <v>0</v>
      </c>
      <c r="M823" s="72">
        <f t="shared" si="12"/>
        <v>2.6651076621053909E-2</v>
      </c>
      <c r="N823">
        <f>SQRT((N822^2)*0.72+(1-0.72)*(C822^2))</f>
        <v>3.6254660326150113E-3</v>
      </c>
      <c r="O823">
        <f>_xlfn.NORM.S.INV(0.99)*N823*SQRT(10)</f>
        <v>2.6670950826412028E-2</v>
      </c>
      <c r="P823">
        <f>LN(B832)-LN(B823)</f>
        <v>-1.5907279523792006E-2</v>
      </c>
      <c r="Q823">
        <f>IF(P823&lt;-(O823),1,0)</f>
        <v>0</v>
      </c>
    </row>
    <row r="824" spans="1:17">
      <c r="A824" s="64">
        <v>42487</v>
      </c>
      <c r="B824">
        <v>2095.1499020000001</v>
      </c>
      <c r="C824" s="68">
        <f>LN(B824)-LN(B823)</f>
        <v>1.6479940298479434E-3</v>
      </c>
      <c r="D824" s="68"/>
      <c r="E824" s="68"/>
      <c r="F824" s="68"/>
      <c r="G824" s="68"/>
      <c r="H824" s="68"/>
      <c r="I824">
        <f>_xlfn.STDEV.S(C804:C824)</f>
        <v>5.9643179872641188E-3</v>
      </c>
      <c r="J824">
        <f>_xlfn.NORM.S.INV(0.99)*I824*SQRT(10)</f>
        <v>4.3876850678054108E-2</v>
      </c>
      <c r="K824">
        <f>LN(B833)-LN(B824)</f>
        <v>-5.1489079178717034E-3</v>
      </c>
      <c r="L824">
        <f>IF(K824&lt;-(J824),1,0)</f>
        <v>0</v>
      </c>
      <c r="M824" s="72">
        <f t="shared" si="12"/>
        <v>2.3723641714142235E-2</v>
      </c>
      <c r="N824">
        <f>SQRT((N823^2)*0.72+(1-0.72)*(C823^2))</f>
        <v>3.2316965288302934E-3</v>
      </c>
      <c r="O824">
        <f>_xlfn.NORM.S.INV(0.99)*N824*SQRT(10)</f>
        <v>2.3774162667895553E-2</v>
      </c>
      <c r="P824">
        <f>LN(B833)-LN(B824)</f>
        <v>-5.1489079178717034E-3</v>
      </c>
      <c r="Q824">
        <f>IF(P824&lt;-(O824),1,0)</f>
        <v>0</v>
      </c>
    </row>
    <row r="825" spans="1:17">
      <c r="A825" s="64">
        <v>42488</v>
      </c>
      <c r="B825">
        <v>2075.8100589999999</v>
      </c>
      <c r="C825" s="68">
        <f>LN(B825)-LN(B824)</f>
        <v>-9.2736357017857429E-3</v>
      </c>
      <c r="D825" s="68"/>
      <c r="E825" s="68"/>
      <c r="F825" s="68"/>
      <c r="G825" s="68"/>
      <c r="H825" s="68"/>
      <c r="I825">
        <f>_xlfn.STDEV.S(C805:C825)</f>
        <v>6.3042634705444628E-3</v>
      </c>
      <c r="J825">
        <f>_xlfn.NORM.S.INV(0.99)*I825*SQRT(10)</f>
        <v>4.6377679312681039E-2</v>
      </c>
      <c r="K825">
        <f>LN(B834)-LN(B825)</f>
        <v>-5.4827952660776447E-3</v>
      </c>
      <c r="L825">
        <f>IF(K825&lt;-(J825),1,0)</f>
        <v>0</v>
      </c>
      <c r="M825" s="72">
        <f t="shared" si="12"/>
        <v>2.1118201528831176E-2</v>
      </c>
      <c r="N825">
        <f>SQRT((N824^2)*0.72+(1-0.72)*(C824^2))</f>
        <v>2.8775038796642416E-3</v>
      </c>
      <c r="O825">
        <f>_xlfn.NORM.S.INV(0.99)*N825*SQRT(10)</f>
        <v>2.1168523932350539E-2</v>
      </c>
      <c r="P825">
        <f>LN(B834)-LN(B825)</f>
        <v>-5.4827952660776447E-3</v>
      </c>
      <c r="Q825">
        <f>IF(P825&lt;-(O825),1,0)</f>
        <v>0</v>
      </c>
    </row>
    <row r="826" spans="1:17">
      <c r="A826" s="64">
        <v>42489</v>
      </c>
      <c r="B826">
        <v>2065.3000489999999</v>
      </c>
      <c r="C826" s="68">
        <f>LN(B826)-LN(B825)</f>
        <v>-5.0759493430438951E-3</v>
      </c>
      <c r="D826" s="68"/>
      <c r="E826" s="68"/>
      <c r="F826" s="68"/>
      <c r="G826" s="68"/>
      <c r="H826" s="68"/>
      <c r="I826">
        <f>_xlfn.STDEV.S(C806:C826)</f>
        <v>6.3940919815885199E-3</v>
      </c>
      <c r="J826">
        <f>_xlfn.NORM.S.INV(0.99)*I826*SQRT(10)</f>
        <v>4.7038507956312758E-2</v>
      </c>
      <c r="K826">
        <f>LN(B835)-LN(B826)</f>
        <v>-5.7632542565766443E-4</v>
      </c>
      <c r="L826">
        <f>IF(K826&lt;-(J826),1,0)</f>
        <v>0</v>
      </c>
      <c r="M826" s="72">
        <f t="shared" si="12"/>
        <v>4.0301425979343712E-2</v>
      </c>
      <c r="N826">
        <f>SQRT((N825^2)*0.72+(1-0.72)*(C825^2))</f>
        <v>5.4810318309629832E-3</v>
      </c>
      <c r="O826">
        <f>_xlfn.NORM.S.INV(0.99)*N826*SQRT(10)</f>
        <v>4.0321528081224793E-2</v>
      </c>
      <c r="P826">
        <f>LN(B835)-LN(B826)</f>
        <v>-5.7632542565766443E-4</v>
      </c>
      <c r="Q826">
        <f>IF(P826&lt;-(O826),1,0)</f>
        <v>0</v>
      </c>
    </row>
    <row r="827" spans="1:17">
      <c r="A827" s="64">
        <v>42492</v>
      </c>
      <c r="B827">
        <v>2081.429932</v>
      </c>
      <c r="C827" s="68">
        <f>LN(B827)-LN(B826)</f>
        <v>7.7796067866815477E-3</v>
      </c>
      <c r="D827" s="68"/>
      <c r="E827" s="68"/>
      <c r="F827" s="68"/>
      <c r="G827" s="68"/>
      <c r="H827" s="68"/>
      <c r="I827">
        <f>_xlfn.STDEV.S(C807:C827)</f>
        <v>6.4726445636227063E-3</v>
      </c>
      <c r="J827">
        <f>_xlfn.NORM.S.INV(0.99)*I827*SQRT(10)</f>
        <v>4.7616384575173351E-2</v>
      </c>
      <c r="K827">
        <f>LN(B836)-LN(B827)</f>
        <v>-1.68703663414842E-2</v>
      </c>
      <c r="L827">
        <f>IF(K827&lt;-(J827),1,0)</f>
        <v>0</v>
      </c>
      <c r="M827" s="72">
        <f t="shared" si="12"/>
        <v>3.9484306396700267E-2</v>
      </c>
      <c r="N827">
        <f>SQRT((N826^2)*0.72+(1-0.72)*(C826^2))</f>
        <v>5.3706893818524417E-3</v>
      </c>
      <c r="O827">
        <f>_xlfn.NORM.S.INV(0.99)*N827*SQRT(10)</f>
        <v>3.9509787464206678E-2</v>
      </c>
      <c r="P827">
        <f>LN(B836)-LN(B827)</f>
        <v>-1.68703663414842E-2</v>
      </c>
      <c r="Q827">
        <f>IF(P827&lt;-(O827),1,0)</f>
        <v>0</v>
      </c>
    </row>
    <row r="828" spans="1:17">
      <c r="A828" s="64">
        <v>42493</v>
      </c>
      <c r="B828">
        <v>2063.3701169999999</v>
      </c>
      <c r="C828" s="68">
        <f>LN(B828)-LN(B827)</f>
        <v>-8.7144996519246121E-3</v>
      </c>
      <c r="D828" s="68"/>
      <c r="E828" s="68"/>
      <c r="F828" s="68"/>
      <c r="G828" s="68"/>
      <c r="H828" s="68"/>
      <c r="I828">
        <f>_xlfn.STDEV.S(C808:C828)</f>
        <v>6.7240588782473158E-3</v>
      </c>
      <c r="J828">
        <f>_xlfn.NORM.S.INV(0.99)*I828*SQRT(10)</f>
        <v>4.9465928540579768E-2</v>
      </c>
      <c r="K828">
        <f>LN(B837)-LN(B828)</f>
        <v>1.5931098189074788E-3</v>
      </c>
      <c r="L828">
        <f>IF(K828&lt;-(J828),1,0)</f>
        <v>0</v>
      </c>
      <c r="M828" s="72">
        <f t="shared" si="12"/>
        <v>4.515950341587207E-2</v>
      </c>
      <c r="N828">
        <f>SQRT((N827^2)*0.72+(1-0.72)*(C827^2))</f>
        <v>6.1411837690850367E-3</v>
      </c>
      <c r="O828">
        <f>_xlfn.NORM.S.INV(0.99)*N828*SQRT(10)</f>
        <v>4.5177974044646005E-2</v>
      </c>
      <c r="P828">
        <f>LN(B837)-LN(B828)</f>
        <v>1.5931098189074788E-3</v>
      </c>
      <c r="Q828">
        <f>IF(P828&lt;-(O828),1,0)</f>
        <v>0</v>
      </c>
    </row>
    <row r="829" spans="1:17">
      <c r="A829" s="64">
        <v>42494</v>
      </c>
      <c r="B829">
        <v>2051.1201169999999</v>
      </c>
      <c r="C829" s="68">
        <f>LN(B829)-LN(B828)</f>
        <v>-5.9545827060150103E-3</v>
      </c>
      <c r="D829" s="68"/>
      <c r="E829" s="68"/>
      <c r="F829" s="68"/>
      <c r="G829" s="68"/>
      <c r="H829" s="68"/>
      <c r="I829">
        <f>_xlfn.STDEV.S(C809:C829)</f>
        <v>6.4631072009532073E-3</v>
      </c>
      <c r="J829">
        <f>_xlfn.NORM.S.INV(0.99)*I829*SQRT(10)</f>
        <v>4.7546222414368775E-2</v>
      </c>
      <c r="K829">
        <f>LN(B838)-LN(B829)</f>
        <v>-1.9081709437873684E-3</v>
      </c>
      <c r="L829">
        <f>IF(K829&lt;-(J829),1,0)</f>
        <v>0</v>
      </c>
      <c r="M829" s="72">
        <f t="shared" si="12"/>
        <v>5.1155897043662205E-2</v>
      </c>
      <c r="N829">
        <f>SQRT((N828^2)*0.72+(1-0.72)*(C828^2))</f>
        <v>6.9583101822953608E-3</v>
      </c>
      <c r="O829">
        <f>_xlfn.NORM.S.INV(0.99)*N829*SQRT(10)</f>
        <v>5.1189211824737825E-2</v>
      </c>
      <c r="P829">
        <f>LN(B838)-LN(B829)</f>
        <v>-1.9081709437873684E-3</v>
      </c>
      <c r="Q829">
        <f>IF(P829&lt;-(O829),1,0)</f>
        <v>0</v>
      </c>
    </row>
    <row r="830" spans="1:17">
      <c r="A830" s="64">
        <v>42495</v>
      </c>
      <c r="B830">
        <v>2050.6298830000001</v>
      </c>
      <c r="C830" s="68">
        <f>LN(B830)-LN(B829)</f>
        <v>-2.3903650994494541E-4</v>
      </c>
      <c r="D830" s="68"/>
      <c r="E830" s="68"/>
      <c r="F830" s="68"/>
      <c r="G830" s="68"/>
      <c r="H830" s="68"/>
      <c r="I830">
        <f>_xlfn.STDEV.S(C810:C830)</f>
        <v>6.0155874359584466E-3</v>
      </c>
      <c r="J830">
        <f>_xlfn.NORM.S.INV(0.99)*I830*SQRT(10)</f>
        <v>4.4254017346483036E-2</v>
      </c>
      <c r="K830">
        <f>LN(B839)-LN(B830)</f>
        <v>-1.4639767207391685E-3</v>
      </c>
      <c r="L830">
        <f>IF(K830&lt;-(J830),1,0)</f>
        <v>0</v>
      </c>
      <c r="M830" s="72">
        <f t="shared" si="12"/>
        <v>4.918493072579367E-2</v>
      </c>
      <c r="N830">
        <f>SQRT((N829^2)*0.72+(1-0.72)*(C829^2))</f>
        <v>6.6924579553226827E-3</v>
      </c>
      <c r="O830">
        <f>_xlfn.NORM.S.INV(0.99)*N830*SQRT(10)</f>
        <v>4.9233454521016497E-2</v>
      </c>
      <c r="P830">
        <f>LN(B839)-LN(B830)</f>
        <v>-1.4639767207391685E-3</v>
      </c>
      <c r="Q830">
        <f>IF(P830&lt;-(O830),1,0)</f>
        <v>0</v>
      </c>
    </row>
    <row r="831" spans="1:17">
      <c r="A831" s="64">
        <v>42496</v>
      </c>
      <c r="B831">
        <v>2057.139893</v>
      </c>
      <c r="C831" s="68">
        <f>LN(B831)-LN(B830)</f>
        <v>3.169610667195677E-3</v>
      </c>
      <c r="D831" s="68"/>
      <c r="E831" s="68"/>
      <c r="F831" s="68"/>
      <c r="G831" s="68"/>
      <c r="H831" s="68"/>
      <c r="I831">
        <f>_xlfn.STDEV.S(C811:C831)</f>
        <v>5.4262970814488321E-3</v>
      </c>
      <c r="J831">
        <f>_xlfn.NORM.S.INV(0.99)*I831*SQRT(10)</f>
        <v>3.9918868726632813E-2</v>
      </c>
      <c r="K831">
        <f>LN(B840)-LN(B831)</f>
        <v>-8.3471819985234674E-3</v>
      </c>
      <c r="L831">
        <f>IF(K831&lt;-(J831),1,0)</f>
        <v>0</v>
      </c>
      <c r="M831" s="72">
        <f t="shared" si="12"/>
        <v>4.1708225052379422E-2</v>
      </c>
      <c r="N831">
        <f>SQRT((N830^2)*0.72+(1-0.72)*(C830^2))</f>
        <v>5.6801473638606248E-3</v>
      </c>
      <c r="O831">
        <f>_xlfn.NORM.S.INV(0.99)*N831*SQRT(10)</f>
        <v>4.1786333030137068E-2</v>
      </c>
      <c r="P831">
        <f>LN(B840)-LN(B831)</f>
        <v>-8.3471819985234674E-3</v>
      </c>
      <c r="Q831">
        <f>IF(P831&lt;-(O831),1,0)</f>
        <v>0</v>
      </c>
    </row>
    <row r="832" spans="1:17">
      <c r="A832" s="64">
        <v>42499</v>
      </c>
      <c r="B832">
        <v>2058.6899410000001</v>
      </c>
      <c r="C832" s="68">
        <f>LN(B832)-LN(B831)</f>
        <v>7.5321290519703155E-4</v>
      </c>
      <c r="D832" s="68"/>
      <c r="E832" s="68"/>
      <c r="F832" s="68"/>
      <c r="G832" s="68"/>
      <c r="H832" s="68"/>
      <c r="I832">
        <f>_xlfn.STDEV.S(C812:C832)</f>
        <v>5.3988797464959723E-3</v>
      </c>
      <c r="J832">
        <f>_xlfn.NORM.S.INV(0.99)*I832*SQRT(10)</f>
        <v>3.9717171514263253E-2</v>
      </c>
      <c r="K832">
        <f>LN(B841)-LN(B832)</f>
        <v>-3.0989358253856736E-3</v>
      </c>
      <c r="L832">
        <f>IF(K832&lt;-(J832),1,0)</f>
        <v>0</v>
      </c>
      <c r="M832" s="72">
        <f t="shared" si="12"/>
        <v>3.7477552134978047E-2</v>
      </c>
      <c r="N832">
        <f>SQRT((N831^2)*0.72+(1-0.72)*(C831^2))</f>
        <v>5.1032474203170468E-3</v>
      </c>
      <c r="O832">
        <f>_xlfn.NORM.S.INV(0.99)*N832*SQRT(10)</f>
        <v>3.7542335186110228E-2</v>
      </c>
      <c r="P832">
        <f>LN(B841)-LN(B832)</f>
        <v>-3.0989358253856736E-3</v>
      </c>
      <c r="Q832">
        <f>IF(P832&lt;-(O832),1,0)</f>
        <v>0</v>
      </c>
    </row>
    <row r="833" spans="1:17">
      <c r="A833" s="64">
        <v>42500</v>
      </c>
      <c r="B833">
        <v>2084.389893</v>
      </c>
      <c r="C833" s="68">
        <f>LN(B833)-LN(B832)</f>
        <v>1.2406365635768246E-2</v>
      </c>
      <c r="D833" s="68"/>
      <c r="E833" s="68"/>
      <c r="F833" s="68"/>
      <c r="G833" s="68"/>
      <c r="H833" s="68"/>
      <c r="I833">
        <f>_xlfn.STDEV.S(C813:C833)</f>
        <v>5.9608132802629965E-3</v>
      </c>
      <c r="J833">
        <f>_xlfn.NORM.S.INV(0.99)*I833*SQRT(10)</f>
        <v>4.3851068098036246E-2</v>
      </c>
      <c r="K833">
        <f>LN(B842)-LN(B833)</f>
        <v>-1.7592937884665538E-2</v>
      </c>
      <c r="L833">
        <f>IF(K833&lt;-(J833),1,0)</f>
        <v>0</v>
      </c>
      <c r="M833" s="72">
        <f t="shared" si="12"/>
        <v>3.1933136738820082E-2</v>
      </c>
      <c r="N833">
        <f>SQRT((N832^2)*0.72+(1-0.72)*(C832^2))</f>
        <v>4.3485525129973723E-3</v>
      </c>
      <c r="O833">
        <f>_xlfn.NORM.S.INV(0.99)*N833*SQRT(10)</f>
        <v>3.199037839462756E-2</v>
      </c>
      <c r="P833">
        <f>LN(B842)-LN(B833)</f>
        <v>-1.7592937884665538E-2</v>
      </c>
      <c r="Q833">
        <f>IF(P833&lt;-(O833),1,0)</f>
        <v>0</v>
      </c>
    </row>
    <row r="834" spans="1:17">
      <c r="A834" s="64">
        <v>42501</v>
      </c>
      <c r="B834">
        <v>2064.459961</v>
      </c>
      <c r="C834" s="68">
        <f>LN(B834)-LN(B833)</f>
        <v>-9.6075230499916842E-3</v>
      </c>
      <c r="D834" s="68"/>
      <c r="E834" s="68"/>
      <c r="F834" s="68"/>
      <c r="G834" s="68"/>
      <c r="H834" s="68"/>
      <c r="I834">
        <f>_xlfn.STDEV.S(C814:C834)</f>
        <v>6.0435751700928676E-3</v>
      </c>
      <c r="J834">
        <f>_xlfn.NORM.S.INV(0.99)*I834*SQRT(10)</f>
        <v>4.4459910733464635E-2</v>
      </c>
      <c r="K834">
        <f>LN(B843)-LN(B834)</f>
        <v>5.6032229255160715E-3</v>
      </c>
      <c r="L834">
        <f>IF(K834&lt;-(J834),1,0)</f>
        <v>0</v>
      </c>
      <c r="M834" s="72">
        <f t="shared" si="12"/>
        <v>5.5358857981054811E-2</v>
      </c>
      <c r="N834">
        <f>SQRT((N833^2)*0.72+(1-0.72)*(C833^2))</f>
        <v>7.5307468932846828E-3</v>
      </c>
      <c r="O834">
        <f>_xlfn.NORM.S.INV(0.99)*N834*SQRT(10)</f>
        <v>5.5400375640005189E-2</v>
      </c>
      <c r="P834">
        <f>LN(B843)-LN(B834)</f>
        <v>5.6032229255160715E-3</v>
      </c>
      <c r="Q834">
        <f>IF(P834&lt;-(O834),1,0)</f>
        <v>0</v>
      </c>
    </row>
    <row r="835" spans="1:17">
      <c r="A835" s="64">
        <v>42502</v>
      </c>
      <c r="B835">
        <v>2064.110107</v>
      </c>
      <c r="C835" s="68">
        <f>LN(B835)-LN(B834)</f>
        <v>-1.6947950262391487E-4</v>
      </c>
      <c r="D835" s="68"/>
      <c r="E835" s="68"/>
      <c r="F835" s="68"/>
      <c r="G835" s="68"/>
      <c r="H835" s="68"/>
      <c r="I835">
        <f>_xlfn.STDEV.S(C815:C835)</f>
        <v>5.5995232712239603E-3</v>
      </c>
      <c r="J835">
        <f>_xlfn.NORM.S.INV(0.99)*I835*SQRT(10)</f>
        <v>4.1193217223564317E-2</v>
      </c>
      <c r="K835">
        <f>LN(B844)-LN(B835)</f>
        <v>1.2723231854144146E-2</v>
      </c>
      <c r="L835">
        <f>IF(K835&lt;-(J835),1,0)</f>
        <v>0</v>
      </c>
      <c r="M835" s="72">
        <f t="shared" si="12"/>
        <v>6.0025933142876353E-2</v>
      </c>
      <c r="N835">
        <f>SQRT((N834^2)*0.72+(1-0.72)*(C834^2))</f>
        <v>8.1656602230701595E-3</v>
      </c>
      <c r="O835">
        <f>_xlfn.NORM.S.INV(0.99)*N835*SQRT(10)</f>
        <v>6.0071152319583633E-2</v>
      </c>
      <c r="P835">
        <f>LN(B844)-LN(B835)</f>
        <v>1.2723231854144146E-2</v>
      </c>
      <c r="Q835">
        <f>IF(P835&lt;-(O835),1,0)</f>
        <v>0</v>
      </c>
    </row>
    <row r="836" spans="1:17">
      <c r="A836" s="64">
        <v>42503</v>
      </c>
      <c r="B836">
        <v>2046.6099850000001</v>
      </c>
      <c r="C836" s="68">
        <f>LN(B836)-LN(B835)</f>
        <v>-8.5144341291449877E-3</v>
      </c>
      <c r="D836" s="68"/>
      <c r="E836" s="68"/>
      <c r="F836" s="68"/>
      <c r="G836" s="68"/>
      <c r="H836" s="68"/>
      <c r="I836">
        <f>_xlfn.STDEV.S(C816:C836)</f>
        <v>5.8679564370649985E-3</v>
      </c>
      <c r="J836">
        <f>_xlfn.NORM.S.INV(0.99)*I836*SQRT(10)</f>
        <v>4.3167961353537711E-2</v>
      </c>
      <c r="K836">
        <f>LN(B845)-LN(B836)</f>
        <v>2.1027200127722523E-2</v>
      </c>
      <c r="L836">
        <f>IF(K836&lt;-(J836),1,0)</f>
        <v>0</v>
      </c>
      <c r="M836" s="72">
        <f t="shared" si="12"/>
        <v>5.0937959574853212E-2</v>
      </c>
      <c r="N836">
        <f>SQRT((N835^2)*0.72+(1-0.72)*(C835^2))</f>
        <v>6.9293728054651846E-3</v>
      </c>
      <c r="O836">
        <f>_xlfn.NORM.S.INV(0.99)*N836*SQRT(10)</f>
        <v>5.0976332336269338E-2</v>
      </c>
      <c r="P836">
        <f>LN(B845)-LN(B836)</f>
        <v>2.1027200127722523E-2</v>
      </c>
      <c r="Q836">
        <f>IF(P836&lt;-(O836),1,0)</f>
        <v>0</v>
      </c>
    </row>
    <row r="837" spans="1:17">
      <c r="A837" s="64">
        <v>42506</v>
      </c>
      <c r="B837">
        <v>2066.6599120000001</v>
      </c>
      <c r="C837" s="68">
        <f>LN(B837)-LN(B836)</f>
        <v>9.7489765084670665E-3</v>
      </c>
      <c r="D837" s="68"/>
      <c r="E837" s="68"/>
      <c r="F837" s="68"/>
      <c r="G837" s="68"/>
      <c r="H837" s="68"/>
      <c r="I837">
        <f>_xlfn.STDEV.S(C817:C837)</f>
        <v>6.3053686223958211E-3</v>
      </c>
      <c r="J837">
        <f>_xlfn.NORM.S.INV(0.99)*I837*SQRT(10)</f>
        <v>4.6385809426276951E-2</v>
      </c>
      <c r="K837">
        <f>LN(B846)-LN(B837)</f>
        <v>1.5555918587768502E-2</v>
      </c>
      <c r="L837">
        <f>IF(K837&lt;-(J837),1,0)</f>
        <v>0</v>
      </c>
      <c r="M837" s="72">
        <f t="shared" si="12"/>
        <v>5.4467363124124923E-2</v>
      </c>
      <c r="N837">
        <f>SQRT((N836^2)*0.72+(1-0.72)*(C836^2))</f>
        <v>7.4074580103163888E-3</v>
      </c>
      <c r="O837">
        <f>_xlfn.NORM.S.INV(0.99)*N837*SQRT(10)</f>
        <v>5.4493393832560459E-2</v>
      </c>
      <c r="P837">
        <f>LN(B846)-LN(B837)</f>
        <v>1.5555918587768502E-2</v>
      </c>
      <c r="Q837">
        <f>IF(P837&lt;-(O837),1,0)</f>
        <v>0</v>
      </c>
    </row>
    <row r="838" spans="1:17">
      <c r="A838" s="64">
        <v>42507</v>
      </c>
      <c r="B838">
        <v>2047.209961</v>
      </c>
      <c r="C838" s="68">
        <f>LN(B838)-LN(B837)</f>
        <v>-9.4558634687098575E-3</v>
      </c>
      <c r="D838" s="68"/>
      <c r="E838" s="68"/>
      <c r="F838" s="68"/>
      <c r="G838" s="68"/>
      <c r="H838" s="68"/>
      <c r="I838">
        <f>_xlfn.STDEV.S(C818:C838)</f>
        <v>6.4014972536188455E-3</v>
      </c>
      <c r="J838">
        <f>_xlfn.NORM.S.INV(0.99)*I838*SQRT(10)</f>
        <v>4.709298526885692E-2</v>
      </c>
      <c r="K838">
        <f>LN(B847)-LN(B838)</f>
        <v>2.4006013160384754E-2</v>
      </c>
      <c r="L838">
        <f>IF(K838&lt;-(J838),1,0)</f>
        <v>0</v>
      </c>
      <c r="M838" s="72">
        <f t="shared" si="12"/>
        <v>5.9794022772354641E-2</v>
      </c>
      <c r="N838">
        <f>SQRT((N837^2)*0.72+(1-0.72)*(C837^2))</f>
        <v>8.131335968661748E-3</v>
      </c>
      <c r="O838">
        <f>_xlfn.NORM.S.INV(0.99)*N838*SQRT(10)</f>
        <v>5.9818643954246756E-2</v>
      </c>
      <c r="P838">
        <f>LN(B847)-LN(B838)</f>
        <v>2.4006013160384754E-2</v>
      </c>
      <c r="Q838">
        <f>IF(P838&lt;-(O838),1,0)</f>
        <v>0</v>
      </c>
    </row>
    <row r="839" spans="1:17">
      <c r="A839" s="64">
        <v>42508</v>
      </c>
      <c r="B839">
        <v>2047.630005</v>
      </c>
      <c r="C839" s="68">
        <f>LN(B839)-LN(B838)</f>
        <v>2.0515771310325448E-4</v>
      </c>
      <c r="D839" s="68"/>
      <c r="E839" s="68"/>
      <c r="F839" s="68"/>
      <c r="G839" s="68"/>
      <c r="H839" s="68"/>
      <c r="I839">
        <f>_xlfn.STDEV.S(C819:C839)</f>
        <v>6.3384382533697766E-3</v>
      </c>
      <c r="J839">
        <f>_xlfn.NORM.S.INV(0.99)*I839*SQRT(10)</f>
        <v>4.6629088081660684E-2</v>
      </c>
      <c r="K839">
        <f>LN(B848)-LN(B839)</f>
        <v>2.4935254123628958E-2</v>
      </c>
      <c r="L839">
        <f>IF(K839&lt;-(J839),1,0)</f>
        <v>0</v>
      </c>
      <c r="M839" s="72">
        <f t="shared" si="12"/>
        <v>6.2681260571625527E-2</v>
      </c>
      <c r="N839">
        <f>SQRT((N838^2)*0.72+(1-0.72)*(C838^2))</f>
        <v>8.5229776979802371E-3</v>
      </c>
      <c r="O839">
        <f>_xlfn.NORM.S.INV(0.99)*N839*SQRT(10)</f>
        <v>6.2699779016679044E-2</v>
      </c>
      <c r="P839">
        <f>LN(B848)-LN(B839)</f>
        <v>2.4935254123628958E-2</v>
      </c>
      <c r="Q839">
        <f>IF(P839&lt;-(O839),1,0)</f>
        <v>0</v>
      </c>
    </row>
    <row r="840" spans="1:17">
      <c r="A840" s="64">
        <v>42509</v>
      </c>
      <c r="B840">
        <v>2040.040039</v>
      </c>
      <c r="C840" s="68">
        <f>LN(B840)-LN(B839)</f>
        <v>-3.7135946105886219E-3</v>
      </c>
      <c r="D840" s="68"/>
      <c r="E840" s="68"/>
      <c r="F840" s="68"/>
      <c r="G840" s="68"/>
      <c r="H840" s="68"/>
      <c r="I840">
        <f>_xlfn.STDEV.S(C820:C840)</f>
        <v>6.3436921838867476E-3</v>
      </c>
      <c r="J840">
        <f>_xlfn.NORM.S.INV(0.99)*I840*SQRT(10)</f>
        <v>4.6667738925773666E-2</v>
      </c>
      <c r="K840">
        <f>LN(B849)-LN(B840)</f>
        <v>3.1469545072075E-2</v>
      </c>
      <c r="L840">
        <f>IF(K840&lt;-(J840),1,0)</f>
        <v>0</v>
      </c>
      <c r="M840" s="72">
        <f t="shared" si="12"/>
        <v>5.3192693072704328E-2</v>
      </c>
      <c r="N840">
        <f>SQRT((N839^2)*0.72+(1-0.72)*(C839^2))</f>
        <v>7.2328011363110307E-3</v>
      </c>
      <c r="O840">
        <f>_xlfn.NORM.S.INV(0.99)*N840*SQRT(10)</f>
        <v>5.3208520424235684E-2</v>
      </c>
      <c r="P840">
        <f>LN(B849)-LN(B840)</f>
        <v>3.1469545072075E-2</v>
      </c>
      <c r="Q840">
        <f>IF(P840&lt;-(O840),1,0)</f>
        <v>0</v>
      </c>
    </row>
    <row r="841" spans="1:17">
      <c r="A841" s="64">
        <v>42510</v>
      </c>
      <c r="B841">
        <v>2052.320068</v>
      </c>
      <c r="C841" s="68">
        <f>LN(B841)-LN(B840)</f>
        <v>6.0014590783348254E-3</v>
      </c>
      <c r="D841" s="68"/>
      <c r="E841" s="68"/>
      <c r="F841" s="68"/>
      <c r="G841" s="68"/>
      <c r="H841" s="68"/>
      <c r="I841">
        <f>_xlfn.STDEV.S(C821:C841)</f>
        <v>6.480384737728195E-3</v>
      </c>
      <c r="J841">
        <f>_xlfn.NORM.S.INV(0.99)*I841*SQRT(10)</f>
        <v>4.7673325614228254E-2</v>
      </c>
      <c r="K841">
        <f>LN(B850)-LN(B841)</f>
        <v>2.2552023735039839E-2</v>
      </c>
      <c r="L841">
        <f>IF(K841&lt;-(J841),1,0)</f>
        <v>0</v>
      </c>
      <c r="M841" s="72">
        <f t="shared" si="12"/>
        <v>4.7387899577199105E-2</v>
      </c>
      <c r="N841">
        <f>SQRT((N840^2)*0.72+(1-0.72)*(C840^2))</f>
        <v>6.4441505740202827E-3</v>
      </c>
      <c r="O841">
        <f>_xlfn.NORM.S.INV(0.99)*N841*SQRT(10)</f>
        <v>4.74067668905232E-2</v>
      </c>
      <c r="P841">
        <f>LN(B850)-LN(B841)</f>
        <v>2.2552023735039839E-2</v>
      </c>
      <c r="Q841">
        <f>IF(P841&lt;-(O841),1,0)</f>
        <v>0</v>
      </c>
    </row>
    <row r="842" spans="1:17">
      <c r="A842" s="64">
        <v>42513</v>
      </c>
      <c r="B842">
        <v>2048.040039</v>
      </c>
      <c r="C842" s="68">
        <f>LN(B842)-LN(B841)</f>
        <v>-2.0876364235116185E-3</v>
      </c>
      <c r="D842" s="68"/>
      <c r="E842" s="68"/>
      <c r="F842" s="68"/>
      <c r="G842" s="68"/>
      <c r="H842" s="68"/>
      <c r="I842">
        <f>_xlfn.STDEV.S(C822:C842)</f>
        <v>6.481521423537597E-3</v>
      </c>
      <c r="J842">
        <f>_xlfn.NORM.S.INV(0.99)*I842*SQRT(10)</f>
        <v>4.768168770921271E-2</v>
      </c>
      <c r="K842">
        <f>LN(B851)-LN(B842)</f>
        <v>2.9524988536741681E-2</v>
      </c>
      <c r="L842">
        <f>IF(K842&lt;-(J842),1,0)</f>
        <v>0</v>
      </c>
      <c r="M842" s="72">
        <f t="shared" si="12"/>
        <v>4.650403895923861E-2</v>
      </c>
      <c r="N842">
        <f>SQRT((N841^2)*0.72+(1-0.72)*(C841^2))</f>
        <v>6.3233217746817829E-3</v>
      </c>
      <c r="O842">
        <f>_xlfn.NORM.S.INV(0.99)*N842*SQRT(10)</f>
        <v>4.6517882830769068E-2</v>
      </c>
      <c r="P842">
        <f>LN(B851)-LN(B842)</f>
        <v>2.9524988536741681E-2</v>
      </c>
      <c r="Q842">
        <f>IF(P842&lt;-(O842),1,0)</f>
        <v>0</v>
      </c>
    </row>
    <row r="843" spans="1:17">
      <c r="A843" s="64">
        <v>42514</v>
      </c>
      <c r="B843">
        <v>2076.0600589999999</v>
      </c>
      <c r="C843" s="68">
        <f>LN(B843)-LN(B842)</f>
        <v>1.3588637760189926E-2</v>
      </c>
      <c r="D843" s="68"/>
      <c r="E843" s="68"/>
      <c r="F843" s="68"/>
      <c r="G843" s="68"/>
      <c r="H843" s="68"/>
      <c r="I843">
        <f>_xlfn.STDEV.S(C823:C843)</f>
        <v>7.2150035173383711E-3</v>
      </c>
      <c r="J843">
        <f>_xlfn.NORM.S.INV(0.99)*I843*SQRT(10)</f>
        <v>5.3077591209570105E-2</v>
      </c>
      <c r="K843">
        <f>LN(B852)-LN(B843)</f>
        <v>1.7224966546373288E-2</v>
      </c>
      <c r="L843">
        <f>IF(K843&lt;-(J843),1,0)</f>
        <v>0</v>
      </c>
      <c r="M843" s="72">
        <f t="shared" si="12"/>
        <v>4.0287245059062927E-2</v>
      </c>
      <c r="N843">
        <f>SQRT((N842^2)*0.72+(1-0.72)*(C842^2))</f>
        <v>5.4780534851290837E-3</v>
      </c>
      <c r="O843">
        <f>_xlfn.NORM.S.INV(0.99)*N843*SQRT(10)</f>
        <v>4.0299617707616163E-2</v>
      </c>
      <c r="P843">
        <f>LN(B852)-LN(B843)</f>
        <v>1.7224966546373288E-2</v>
      </c>
      <c r="Q843">
        <f>IF(P843&lt;-(O843),1,0)</f>
        <v>0</v>
      </c>
    </row>
    <row r="844" spans="1:17">
      <c r="A844" s="64">
        <v>42515</v>
      </c>
      <c r="B844">
        <v>2090.540039</v>
      </c>
      <c r="C844" s="68">
        <f>LN(B844)-LN(B843)</f>
        <v>6.9505294260041595E-3</v>
      </c>
      <c r="D844" s="68"/>
      <c r="E844" s="68"/>
      <c r="F844" s="68"/>
      <c r="G844" s="68"/>
      <c r="H844" s="68"/>
      <c r="I844">
        <f>_xlfn.STDEV.S(C824:C844)</f>
        <v>7.373709101406457E-3</v>
      </c>
      <c r="J844">
        <f>_xlfn.NORM.S.INV(0.99)*I844*SQRT(10)</f>
        <v>5.4245118029702478E-2</v>
      </c>
      <c r="K844">
        <f>LN(B853)-LN(B844)</f>
        <v>1.3578538915070659E-2</v>
      </c>
      <c r="L844">
        <f>IF(K844&lt;-(J844),1,0)</f>
        <v>0</v>
      </c>
      <c r="M844" s="72">
        <f t="shared" si="12"/>
        <v>6.2980983913377614E-2</v>
      </c>
      <c r="N844">
        <f>SQRT((N843^2)*0.72+(1-0.72)*(C843^2))</f>
        <v>8.5620576802318844E-3</v>
      </c>
      <c r="O844">
        <f>_xlfn.NORM.S.INV(0.99)*N844*SQRT(10)</f>
        <v>6.2987273169307717E-2</v>
      </c>
      <c r="P844">
        <f>LN(B853)-LN(B844)</f>
        <v>1.3578538915070659E-2</v>
      </c>
      <c r="Q844">
        <f>IF(P844&lt;-(O844),1,0)</f>
        <v>0</v>
      </c>
    </row>
    <row r="845" spans="1:17">
      <c r="A845" s="64">
        <v>42516</v>
      </c>
      <c r="B845">
        <v>2090.1000979999999</v>
      </c>
      <c r="C845" s="68">
        <f>LN(B845)-LN(B844)</f>
        <v>-2.1046585556661057E-4</v>
      </c>
      <c r="D845" s="68"/>
      <c r="E845" s="68"/>
      <c r="F845" s="68"/>
      <c r="G845" s="68"/>
      <c r="H845" s="68"/>
      <c r="I845">
        <f>_xlfn.STDEV.S(C825:C845)</f>
        <v>7.3637540785755672E-3</v>
      </c>
      <c r="J845">
        <f>_xlfn.NORM.S.INV(0.99)*I845*SQRT(10)</f>
        <v>5.417188332773315E-2</v>
      </c>
      <c r="K845">
        <f>LN(B854)-LN(B845)</f>
        <v>1.2069769039642964E-2</v>
      </c>
      <c r="L845">
        <f>IF(K845&lt;-(J845),1,0)</f>
        <v>0</v>
      </c>
      <c r="M845" s="72">
        <f t="shared" si="12"/>
        <v>5.9899511175702788E-2</v>
      </c>
      <c r="N845">
        <f>SQRT((N844^2)*0.72+(1-0.72)*(C844^2))</f>
        <v>8.1430411667026917E-3</v>
      </c>
      <c r="O845">
        <f>_xlfn.NORM.S.INV(0.99)*N845*SQRT(10)</f>
        <v>5.9904753921504746E-2</v>
      </c>
      <c r="P845">
        <f>LN(B854)-LN(B845)</f>
        <v>1.2069769039642964E-2</v>
      </c>
      <c r="Q845">
        <f>IF(P845&lt;-(O845),1,0)</f>
        <v>0</v>
      </c>
    </row>
    <row r="846" spans="1:17">
      <c r="A846" s="64">
        <v>42517</v>
      </c>
      <c r="B846">
        <v>2099.0600589999999</v>
      </c>
      <c r="C846" s="68">
        <f>LN(B846)-LN(B845)</f>
        <v>4.2776949685130461E-3</v>
      </c>
      <c r="D846" s="68"/>
      <c r="E846" s="68"/>
      <c r="F846" s="68"/>
      <c r="G846" s="68"/>
      <c r="H846" s="68"/>
      <c r="I846">
        <f>_xlfn.STDEV.S(C826:C846)</f>
        <v>7.1104344295550466E-3</v>
      </c>
      <c r="J846">
        <f>_xlfn.NORM.S.INV(0.99)*I846*SQRT(10)</f>
        <v>5.2308322659501756E-2</v>
      </c>
      <c r="K846">
        <f>LN(B855)-LN(B846)</f>
        <v>-1.4254582889074996E-3</v>
      </c>
      <c r="L846">
        <f>IF(K846&lt;-(J846),1,0)</f>
        <v>0</v>
      </c>
      <c r="M846" s="72">
        <f t="shared" si="12"/>
        <v>5.0815052953222063E-2</v>
      </c>
      <c r="N846">
        <f>SQRT((N845^2)*0.72+(1-0.72)*(C845^2))</f>
        <v>6.9104970041280848E-3</v>
      </c>
      <c r="O846">
        <f>_xlfn.NORM.S.INV(0.99)*N846*SQRT(10)</f>
        <v>5.0837471410600202E-2</v>
      </c>
      <c r="P846">
        <f>LN(B855)-LN(B846)</f>
        <v>-1.4254582889074996E-3</v>
      </c>
      <c r="Q846">
        <f>IF(P846&lt;-(O846),1,0)</f>
        <v>0</v>
      </c>
    </row>
    <row r="847" spans="1:17">
      <c r="A847" s="64">
        <v>42521</v>
      </c>
      <c r="B847">
        <v>2096.9499510000001</v>
      </c>
      <c r="C847" s="68">
        <f>LN(B847)-LN(B846)</f>
        <v>-1.0057688960936062E-3</v>
      </c>
      <c r="D847" s="68"/>
      <c r="E847" s="68"/>
      <c r="F847" s="68"/>
      <c r="G847" s="68"/>
      <c r="H847" s="68"/>
      <c r="I847">
        <f>_xlfn.STDEV.S(C827:C847)</f>
        <v>7.0046606828248047E-3</v>
      </c>
      <c r="J847">
        <f>_xlfn.NORM.S.INV(0.99)*I847*SQRT(10)</f>
        <v>5.1530191966126362E-2</v>
      </c>
      <c r="K847">
        <f>LN(B856)-LN(B847)</f>
        <v>-8.5679878156703637E-3</v>
      </c>
      <c r="L847">
        <f>IF(K847&lt;-(J847),1,0)</f>
        <v>0</v>
      </c>
      <c r="M847" s="72">
        <f t="shared" si="12"/>
        <v>4.621580076332639E-2</v>
      </c>
      <c r="N847">
        <f>SQRT((N846^2)*0.72+(1-0.72)*(C846^2))</f>
        <v>6.2854758257386715E-3</v>
      </c>
      <c r="O847">
        <f>_xlfn.NORM.S.INV(0.99)*N847*SQRT(10)</f>
        <v>4.6239466915639786E-2</v>
      </c>
      <c r="P847">
        <f>LN(B856)-LN(B847)</f>
        <v>-8.5679878156703637E-3</v>
      </c>
      <c r="Q847">
        <f>IF(P847&lt;-(O847),1,0)</f>
        <v>0</v>
      </c>
    </row>
    <row r="848" spans="1:17">
      <c r="A848" s="64">
        <v>42522</v>
      </c>
      <c r="B848">
        <v>2099.330078</v>
      </c>
      <c r="C848" s="68">
        <f>LN(B848)-LN(B847)</f>
        <v>1.1343986763474589E-3</v>
      </c>
      <c r="D848" s="68"/>
      <c r="E848" s="68"/>
      <c r="F848" s="68"/>
      <c r="G848" s="68"/>
      <c r="H848" s="68"/>
      <c r="I848">
        <f>_xlfn.STDEV.S(C828:C848)</f>
        <v>6.8175957256258529E-3</v>
      </c>
      <c r="J848">
        <f>_xlfn.NORM.S.INV(0.99)*I848*SQRT(10)</f>
        <v>5.0154037775212747E-2</v>
      </c>
      <c r="K848">
        <f>LN(B857)-LN(B848)</f>
        <v>-1.1502891932556381E-2</v>
      </c>
      <c r="L848">
        <f>IF(K848&lt;-(J848),1,0)</f>
        <v>0</v>
      </c>
      <c r="M848" s="72">
        <f t="shared" si="12"/>
        <v>3.9394051783028218E-2</v>
      </c>
      <c r="N848">
        <f>SQRT((N847^2)*0.72+(1-0.72)*(C847^2))</f>
        <v>5.359890714980893E-3</v>
      </c>
      <c r="O848">
        <f>_xlfn.NORM.S.INV(0.99)*N848*SQRT(10)</f>
        <v>3.9430346445995253E-2</v>
      </c>
      <c r="P848">
        <f>LN(B857)-LN(B848)</f>
        <v>-1.1502891932556381E-2</v>
      </c>
      <c r="Q848">
        <f>IF(P848&lt;-(O848),1,0)</f>
        <v>0</v>
      </c>
    </row>
    <row r="849" spans="1:17">
      <c r="A849" s="64">
        <v>42523</v>
      </c>
      <c r="B849">
        <v>2105.26001</v>
      </c>
      <c r="C849" s="68">
        <f>LN(B849)-LN(B848)</f>
        <v>2.8206963378574201E-3</v>
      </c>
      <c r="D849" s="68"/>
      <c r="E849" s="68"/>
      <c r="F849" s="68"/>
      <c r="G849" s="68"/>
      <c r="H849" s="68"/>
      <c r="I849">
        <f>_xlfn.STDEV.S(C829:C849)</f>
        <v>6.5033161773105398E-3</v>
      </c>
      <c r="J849">
        <f>_xlfn.NORM.S.INV(0.99)*I849*SQRT(10)</f>
        <v>4.784202207751808E-2</v>
      </c>
      <c r="K849">
        <f>LN(B858)-LN(B849)</f>
        <v>-1.6165997161058598E-2</v>
      </c>
      <c r="L849">
        <f>IF(K849&lt;-(J849),1,0)</f>
        <v>0</v>
      </c>
      <c r="M849" s="72">
        <f t="shared" si="12"/>
        <v>3.3693454929698038E-2</v>
      </c>
      <c r="N849">
        <f>SQRT((N848^2)*0.72+(1-0.72)*(C848^2))</f>
        <v>4.5874600165057922E-3</v>
      </c>
      <c r="O849">
        <f>_xlfn.NORM.S.INV(0.99)*N849*SQRT(10)</f>
        <v>3.3747915279765041E-2</v>
      </c>
      <c r="P849">
        <f>LN(B858)-LN(B849)</f>
        <v>-1.6165997161058598E-2</v>
      </c>
      <c r="Q849">
        <f>IF(P849&lt;-(O849),1,0)</f>
        <v>0</v>
      </c>
    </row>
    <row r="850" spans="1:17">
      <c r="A850" s="64">
        <v>42524</v>
      </c>
      <c r="B850">
        <v>2099.1298830000001</v>
      </c>
      <c r="C850" s="68">
        <f>LN(B850)-LN(B849)</f>
        <v>-2.916062258700336E-3</v>
      </c>
      <c r="D850" s="68"/>
      <c r="E850" s="68"/>
      <c r="F850" s="68"/>
      <c r="G850" s="68"/>
      <c r="H850" s="68"/>
      <c r="I850">
        <f>_xlfn.STDEV.S(C830:C850)</f>
        <v>6.3743745649819002E-3</v>
      </c>
      <c r="J850">
        <f>_xlfn.NORM.S.INV(0.99)*I850*SQRT(10)</f>
        <v>4.6893455639173902E-2</v>
      </c>
      <c r="K850">
        <f>LN(B859)-LN(B850)</f>
        <v>-1.0121841904101814E-2</v>
      </c>
      <c r="L850">
        <f>IF(K850&lt;-(J850),1,0)</f>
        <v>0</v>
      </c>
      <c r="M850" s="72">
        <f t="shared" si="12"/>
        <v>3.0613571444736472E-2</v>
      </c>
      <c r="N850">
        <f>SQRT((N849^2)*0.72+(1-0.72)*(C849^2))</f>
        <v>4.1689351353434304E-3</v>
      </c>
      <c r="O850">
        <f>_xlfn.NORM.S.INV(0.99)*N850*SQRT(10)</f>
        <v>3.0669012753939993E-2</v>
      </c>
      <c r="P850">
        <f>LN(B859)-LN(B850)</f>
        <v>-1.0121841904101814E-2</v>
      </c>
      <c r="Q850">
        <f>IF(P850&lt;-(O850),1,0)</f>
        <v>0</v>
      </c>
    </row>
    <row r="851" spans="1:17">
      <c r="A851" s="64">
        <v>42527</v>
      </c>
      <c r="B851">
        <v>2109.4099120000001</v>
      </c>
      <c r="C851" s="68">
        <f>LN(B851)-LN(B850)</f>
        <v>4.8853283781902235E-3</v>
      </c>
      <c r="D851" s="68"/>
      <c r="E851" s="68"/>
      <c r="F851" s="68"/>
      <c r="G851" s="68"/>
      <c r="H851" s="68"/>
      <c r="I851">
        <f>_xlfn.STDEV.S(C831:C851)</f>
        <v>6.4184121233757776E-3</v>
      </c>
      <c r="J851">
        <f>_xlfn.NORM.S.INV(0.99)*I851*SQRT(10)</f>
        <v>4.7217420487795356E-2</v>
      </c>
      <c r="K851">
        <f>LN(B860)-LN(B851)</f>
        <v>-1.8270454170778549E-2</v>
      </c>
      <c r="L851">
        <f>IF(K851&lt;-(J851),1,0)</f>
        <v>0</v>
      </c>
      <c r="M851" s="72">
        <f t="shared" si="12"/>
        <v>2.8348386712401908E-2</v>
      </c>
      <c r="N851">
        <f>SQRT((N850^2)*0.72+(1-0.72)*(C850^2))</f>
        <v>3.8593486321136239E-3</v>
      </c>
      <c r="O851">
        <f>_xlfn.NORM.S.INV(0.99)*N851*SQRT(10)</f>
        <v>2.8391521714199831E-2</v>
      </c>
      <c r="P851">
        <f>LN(B860)-LN(B851)</f>
        <v>-1.8270454170778549E-2</v>
      </c>
      <c r="Q851">
        <f>IF(P851&lt;-(O851),1,0)</f>
        <v>0</v>
      </c>
    </row>
    <row r="852" spans="1:17">
      <c r="A852" s="64">
        <v>42528</v>
      </c>
      <c r="B852">
        <v>2112.1298830000001</v>
      </c>
      <c r="C852" s="68">
        <f>LN(B852)-LN(B851)</f>
        <v>1.2886157698215328E-3</v>
      </c>
      <c r="D852" s="68"/>
      <c r="E852" s="68"/>
      <c r="F852" s="68"/>
      <c r="G852" s="68"/>
      <c r="H852" s="68"/>
      <c r="I852">
        <f>_xlfn.STDEV.S(C832:C852)</f>
        <v>6.4047977528901611E-3</v>
      </c>
      <c r="J852">
        <f>_xlfn.NORM.S.INV(0.99)*I852*SQRT(10)</f>
        <v>4.7117265582884406E-2</v>
      </c>
      <c r="K852">
        <f>LN(B861)-LN(B852)</f>
        <v>-1.3767687305509924E-2</v>
      </c>
      <c r="L852">
        <f>IF(K852&lt;-(J852),1,0)</f>
        <v>0</v>
      </c>
      <c r="M852" s="72">
        <f t="shared" si="12"/>
        <v>3.0660337299285183E-2</v>
      </c>
      <c r="N852">
        <f>SQRT((N851^2)*0.72+(1-0.72)*(C851^2))</f>
        <v>4.1721329178002293E-3</v>
      </c>
      <c r="O852">
        <f>_xlfn.NORM.S.INV(0.99)*N852*SQRT(10)</f>
        <v>3.0692537425772964E-2</v>
      </c>
      <c r="P852">
        <f>LN(B861)-LN(B852)</f>
        <v>-1.3767687305509924E-2</v>
      </c>
      <c r="Q852">
        <f>IF(P852&lt;-(O852),1,0)</f>
        <v>0</v>
      </c>
    </row>
    <row r="853" spans="1:17">
      <c r="A853" s="64">
        <v>42529</v>
      </c>
      <c r="B853">
        <v>2119.1201169999999</v>
      </c>
      <c r="C853" s="68">
        <f>LN(B853)-LN(B852)</f>
        <v>3.3041017947015305E-3</v>
      </c>
      <c r="D853" s="68"/>
      <c r="E853" s="68"/>
      <c r="F853" s="68"/>
      <c r="G853" s="68"/>
      <c r="H853" s="68"/>
      <c r="I853">
        <f>_xlfn.STDEV.S(C833:C853)</f>
        <v>6.4189552154554274E-3</v>
      </c>
      <c r="J853">
        <f>_xlfn.NORM.S.INV(0.99)*I853*SQRT(10)</f>
        <v>4.7221415776130773E-2</v>
      </c>
      <c r="K853">
        <f>LN(B862)-LN(B853)</f>
        <v>-1.4363398660561799E-2</v>
      </c>
      <c r="L853">
        <f>IF(K853&lt;-(J853),1,0)</f>
        <v>0</v>
      </c>
      <c r="M853" s="72">
        <f t="shared" si="12"/>
        <v>2.6495112747709937E-2</v>
      </c>
      <c r="N853">
        <f>SQRT((N852^2)*0.72+(1-0.72)*(C852^2))</f>
        <v>3.6052416824611899E-3</v>
      </c>
      <c r="O853">
        <f>_xlfn.NORM.S.INV(0.99)*N853*SQRT(10)</f>
        <v>2.6522169223275716E-2</v>
      </c>
      <c r="P853">
        <f>LN(B862)-LN(B853)</f>
        <v>-1.4363398660561799E-2</v>
      </c>
      <c r="Q853">
        <f>IF(P853&lt;-(O853),1,0)</f>
        <v>0</v>
      </c>
    </row>
    <row r="854" spans="1:17">
      <c r="A854" s="64">
        <v>42530</v>
      </c>
      <c r="B854">
        <v>2115.4799800000001</v>
      </c>
      <c r="C854" s="68">
        <f>LN(B854)-LN(B853)</f>
        <v>-1.7192357309943063E-3</v>
      </c>
      <c r="D854" s="68"/>
      <c r="E854" s="68"/>
      <c r="F854" s="68"/>
      <c r="G854" s="68"/>
      <c r="H854" s="68"/>
      <c r="I854">
        <f>_xlfn.STDEV.S(C834:C854)</f>
        <v>5.9267063015416774E-3</v>
      </c>
      <c r="J854">
        <f>_xlfn.NORM.S.INV(0.99)*I854*SQRT(10)</f>
        <v>4.3600158133874301E-2</v>
      </c>
      <c r="K854">
        <f>LN(B863)-LN(B854)</f>
        <v>-1.4297091843999965E-2</v>
      </c>
      <c r="L854">
        <f>IF(K854&lt;-(J854),1,0)</f>
        <v>0</v>
      </c>
      <c r="M854" s="72">
        <f t="shared" si="12"/>
        <v>2.5837845311150839E-2</v>
      </c>
      <c r="N854">
        <f>SQRT((N853^2)*0.72+(1-0.72)*(C853^2))</f>
        <v>3.5235177722807063E-3</v>
      </c>
      <c r="O854">
        <f>_xlfn.NORM.S.INV(0.99)*N854*SQRT(10)</f>
        <v>2.5920962545249379E-2</v>
      </c>
      <c r="P854">
        <f>LN(B863)-LN(B854)</f>
        <v>-1.4297091843999965E-2</v>
      </c>
      <c r="Q854">
        <f>IF(P854&lt;-(O854),1,0)</f>
        <v>0</v>
      </c>
    </row>
    <row r="855" spans="1:17">
      <c r="A855" s="64">
        <v>42531</v>
      </c>
      <c r="B855">
        <v>2096.070068</v>
      </c>
      <c r="C855" s="68">
        <f>LN(B855)-LN(B854)</f>
        <v>-9.217532360037417E-3</v>
      </c>
      <c r="D855" s="68"/>
      <c r="E855" s="68"/>
      <c r="F855" s="68"/>
      <c r="G855" s="68"/>
      <c r="H855" s="68"/>
      <c r="I855">
        <f>_xlfn.STDEV.S(C835:C855)</f>
        <v>5.8932936724091162E-3</v>
      </c>
      <c r="J855">
        <f>_xlfn.NORM.S.INV(0.99)*I855*SQRT(10)</f>
        <v>4.3354356192673131E-2</v>
      </c>
      <c r="K855">
        <f>LN(B864)-LN(B855)</f>
        <v>8.1960075003566502E-3</v>
      </c>
      <c r="L855">
        <f>IF(K855&lt;-(J855),1,0)</f>
        <v>0</v>
      </c>
      <c r="M855" s="72">
        <f t="shared" si="12"/>
        <v>2.2880056937671537E-2</v>
      </c>
      <c r="N855">
        <f>SQRT((N854^2)*0.72+(1-0.72)*(C854^2))</f>
        <v>3.1251470067150222E-3</v>
      </c>
      <c r="O855">
        <f>_xlfn.NORM.S.INV(0.99)*N855*SQRT(10)</f>
        <v>2.2990324937973598E-2</v>
      </c>
      <c r="P855">
        <f>LN(B864)-LN(B855)</f>
        <v>8.1960075003566502E-3</v>
      </c>
      <c r="Q855">
        <f>IF(P855&lt;-(O855),1,0)</f>
        <v>0</v>
      </c>
    </row>
    <row r="856" spans="1:17">
      <c r="A856" s="64">
        <v>42534</v>
      </c>
      <c r="B856">
        <v>2079.0600589999999</v>
      </c>
      <c r="C856" s="68">
        <f>LN(B856)-LN(B855)</f>
        <v>-8.1482984228564703E-3</v>
      </c>
      <c r="D856" s="68"/>
      <c r="E856" s="68"/>
      <c r="F856" s="68"/>
      <c r="G856" s="68"/>
      <c r="H856" s="68"/>
      <c r="I856">
        <f>_xlfn.STDEV.S(C836:C856)</f>
        <v>6.202820471321438E-3</v>
      </c>
      <c r="J856">
        <f>_xlfn.NORM.S.INV(0.99)*I856*SQRT(10)</f>
        <v>4.5631408014144136E-2</v>
      </c>
      <c r="K856">
        <f>LN(B865)-LN(B856)</f>
        <v>-2.0236486800510711E-2</v>
      </c>
      <c r="L856">
        <f>IF(K856&lt;-(J856),1,0)</f>
        <v>0</v>
      </c>
      <c r="M856" s="72">
        <f t="shared" si="12"/>
        <v>4.0796886687654008E-2</v>
      </c>
      <c r="N856">
        <f>SQRT((N855^2)*0.72+(1-0.72)*(C855^2))</f>
        <v>5.5517136392389558E-3</v>
      </c>
      <c r="O856">
        <f>_xlfn.NORM.S.INV(0.99)*N856*SQRT(10)</f>
        <v>4.0841502897121941E-2</v>
      </c>
      <c r="P856">
        <f>LN(B865)-LN(B856)</f>
        <v>-2.0236486800510711E-2</v>
      </c>
      <c r="Q856">
        <f>IF(P856&lt;-(O856),1,0)</f>
        <v>0</v>
      </c>
    </row>
    <row r="857" spans="1:17">
      <c r="A857" s="64">
        <v>42535</v>
      </c>
      <c r="B857">
        <v>2075.320068</v>
      </c>
      <c r="C857" s="68">
        <f>LN(B857)-LN(B856)</f>
        <v>-1.8005054405385579E-3</v>
      </c>
      <c r="D857" s="68"/>
      <c r="E857" s="68"/>
      <c r="F857" s="68"/>
      <c r="G857" s="68"/>
      <c r="H857" s="68"/>
      <c r="I857">
        <f>_xlfn.STDEV.S(C837:C857)</f>
        <v>5.8884838171427631E-3</v>
      </c>
      <c r="J857">
        <f>_xlfn.NORM.S.INV(0.99)*I857*SQRT(10)</f>
        <v>4.3318972213858539E-2</v>
      </c>
      <c r="K857">
        <f>LN(B866)-LN(B857)</f>
        <v>-3.6698227814722983E-2</v>
      </c>
      <c r="L857">
        <f>IF(K857&lt;-(J857),1,0)</f>
        <v>0</v>
      </c>
      <c r="M857" s="72">
        <f t="shared" ref="M857:M920" si="13">EWMAV(B836:B856,0.72,0.99)*SQRT(10)</f>
        <v>4.6935255360755282E-2</v>
      </c>
      <c r="N857">
        <f>SQRT((N856^2)*0.72+(1-0.72)*(C856^2))</f>
        <v>6.3860811403974186E-3</v>
      </c>
      <c r="O857">
        <f>_xlfn.NORM.S.INV(0.99)*N857*SQRT(10)</f>
        <v>4.6979575739167716E-2</v>
      </c>
      <c r="P857">
        <f>LN(B866)-LN(B857)</f>
        <v>-3.6698227814722983E-2</v>
      </c>
      <c r="Q857">
        <f>IF(P857&lt;-(O857),1,0)</f>
        <v>0</v>
      </c>
    </row>
    <row r="858" spans="1:17">
      <c r="A858" s="64">
        <v>42536</v>
      </c>
      <c r="B858">
        <v>2071.5</v>
      </c>
      <c r="C858" s="68">
        <f>LN(B858)-LN(B857)</f>
        <v>-1.8424088906447977E-3</v>
      </c>
      <c r="D858" s="68"/>
      <c r="E858" s="68"/>
      <c r="F858" s="68"/>
      <c r="G858" s="68"/>
      <c r="H858" s="68"/>
      <c r="I858">
        <f>_xlfn.STDEV.S(C838:C858)</f>
        <v>5.5263788266669868E-3</v>
      </c>
      <c r="J858">
        <f>_xlfn.NORM.S.INV(0.99)*I858*SQRT(10)</f>
        <v>4.0655125881250136E-2</v>
      </c>
      <c r="K858">
        <f>LN(B867)-LN(B858)</f>
        <v>-1.7241697200497619E-2</v>
      </c>
      <c r="L858">
        <f>IF(K858&lt;-(J858),1,0)</f>
        <v>0</v>
      </c>
      <c r="M858" s="72">
        <f t="shared" si="13"/>
        <v>4.0412951728262245E-2</v>
      </c>
      <c r="N858">
        <f>SQRT((N857^2)*0.72+(1-0.72)*(C857^2))</f>
        <v>5.5018881154061117E-3</v>
      </c>
      <c r="O858">
        <f>_xlfn.NORM.S.INV(0.99)*N858*SQRT(10)</f>
        <v>4.0474958545556883E-2</v>
      </c>
      <c r="P858">
        <f>LN(B867)-LN(B858)</f>
        <v>-1.7241697200497619E-2</v>
      </c>
      <c r="Q858">
        <f>IF(P858&lt;-(O858),1,0)</f>
        <v>0</v>
      </c>
    </row>
    <row r="859" spans="1:17">
      <c r="A859" s="64">
        <v>42537</v>
      </c>
      <c r="B859">
        <v>2077.98999</v>
      </c>
      <c r="C859" s="68">
        <f>LN(B859)-LN(B858)</f>
        <v>3.1280929982564487E-3</v>
      </c>
      <c r="D859" s="68"/>
      <c r="E859" s="68"/>
      <c r="F859" s="68"/>
      <c r="G859" s="68"/>
      <c r="H859" s="68"/>
      <c r="I859">
        <f>_xlfn.STDEV.S(C839:C859)</f>
        <v>5.10315876579737E-3</v>
      </c>
      <c r="J859">
        <f>_xlfn.NORM.S.INV(0.99)*I859*SQRT(10)</f>
        <v>3.7541682994002082E-2</v>
      </c>
      <c r="K859">
        <f>LN(B868)-LN(B859)</f>
        <v>-3.4805470893859436E-3</v>
      </c>
      <c r="L859">
        <f>IF(K859&lt;-(J859),1,0)</f>
        <v>0</v>
      </c>
      <c r="M859" s="72">
        <f t="shared" si="13"/>
        <v>3.5006386472934747E-2</v>
      </c>
      <c r="N859">
        <f>SQRT((N858^2)*0.72+(1-0.72)*(C858^2))</f>
        <v>4.7692146299462565E-3</v>
      </c>
      <c r="O859">
        <f>_xlfn.NORM.S.INV(0.99)*N859*SQRT(10)</f>
        <v>3.5085003619287472E-2</v>
      </c>
      <c r="P859">
        <f>LN(B868)-LN(B859)</f>
        <v>-3.4805470893859436E-3</v>
      </c>
      <c r="Q859">
        <f>IF(P859&lt;-(O859),1,0)</f>
        <v>0</v>
      </c>
    </row>
    <row r="860" spans="1:17">
      <c r="A860" s="64">
        <v>42538</v>
      </c>
      <c r="B860">
        <v>2071.219971</v>
      </c>
      <c r="C860" s="68">
        <f>LN(B860)-LN(B859)</f>
        <v>-3.2632838884865123E-3</v>
      </c>
      <c r="D860" s="68"/>
      <c r="E860" s="68"/>
      <c r="F860" s="68"/>
      <c r="G860" s="68"/>
      <c r="H860" s="68"/>
      <c r="I860">
        <f>_xlfn.STDEV.S(C840:C860)</f>
        <v>5.1759453593609034E-3</v>
      </c>
      <c r="J860">
        <f>_xlfn.NORM.S.INV(0.99)*I860*SQRT(10)</f>
        <v>3.8077141784759197E-2</v>
      </c>
      <c r="K860">
        <f>LN(B869)-LN(B860)</f>
        <v>1.3256599521199952E-2</v>
      </c>
      <c r="L860">
        <f>IF(K860&lt;-(J860),1,0)</f>
        <v>0</v>
      </c>
      <c r="M860" s="72">
        <f t="shared" si="13"/>
        <v>3.2102890509702268E-2</v>
      </c>
      <c r="N860">
        <f>SQRT((N859^2)*0.72+(1-0.72)*(C859^2))</f>
        <v>4.3722401946694033E-3</v>
      </c>
      <c r="O860">
        <f>_xlfn.NORM.S.INV(0.99)*N860*SQRT(10)</f>
        <v>3.2164638196645556E-2</v>
      </c>
      <c r="P860">
        <f>LN(B869)-LN(B860)</f>
        <v>1.3256599521199952E-2</v>
      </c>
      <c r="Q860">
        <f>IF(P860&lt;-(O860),1,0)</f>
        <v>0</v>
      </c>
    </row>
    <row r="861" spans="1:17">
      <c r="A861" s="64">
        <v>42541</v>
      </c>
      <c r="B861">
        <v>2083.25</v>
      </c>
      <c r="C861" s="68">
        <f>LN(B861)-LN(B860)</f>
        <v>5.7913826350901587E-3</v>
      </c>
      <c r="D861" s="68"/>
      <c r="E861" s="68"/>
      <c r="F861" s="68"/>
      <c r="G861" s="68"/>
      <c r="H861" s="68"/>
      <c r="I861">
        <f>_xlfn.STDEV.S(C841:C861)</f>
        <v>5.200414162469239E-3</v>
      </c>
      <c r="J861">
        <f>_xlfn.NORM.S.INV(0.99)*I861*SQRT(10)</f>
        <v>3.8257147951859555E-2</v>
      </c>
      <c r="K861">
        <f>LN(B870)-LN(B861)</f>
        <v>9.4119232984128942E-3</v>
      </c>
      <c r="L861">
        <f>IF(K861&lt;-(J861),1,0)</f>
        <v>0</v>
      </c>
      <c r="M861" s="72">
        <f t="shared" si="13"/>
        <v>3.0051684924723095E-2</v>
      </c>
      <c r="N861">
        <f>SQRT((N860^2)*0.72+(1-0.72)*(C860^2))</f>
        <v>4.0921381692991697E-3</v>
      </c>
      <c r="O861">
        <f>_xlfn.NORM.S.INV(0.99)*N861*SQRT(10)</f>
        <v>3.0104051425780275E-2</v>
      </c>
      <c r="P861">
        <f>LN(B870)-LN(B861)</f>
        <v>9.4119232984128942E-3</v>
      </c>
      <c r="Q861">
        <f>IF(P861&lt;-(O861),1,0)</f>
        <v>0</v>
      </c>
    </row>
    <row r="862" spans="1:17">
      <c r="A862" s="64">
        <v>42542</v>
      </c>
      <c r="B862">
        <v>2088.8999020000001</v>
      </c>
      <c r="C862" s="68">
        <f>LN(B862)-LN(B861)</f>
        <v>2.708390439649655E-3</v>
      </c>
      <c r="D862" s="68"/>
      <c r="E862" s="68"/>
      <c r="F862" s="68"/>
      <c r="G862" s="68"/>
      <c r="H862" s="68"/>
      <c r="I862">
        <f>_xlfn.STDEV.S(C842:C862)</f>
        <v>5.0904868737859923E-3</v>
      </c>
      <c r="J862">
        <f>_xlfn.NORM.S.INV(0.99)*I862*SQRT(10)</f>
        <v>3.7448461486567552E-2</v>
      </c>
      <c r="K862">
        <f>LN(B871)-LN(B862)</f>
        <v>-1.6749596281062651E-4</v>
      </c>
      <c r="L862">
        <f>IF(K862&lt;-(J862),1,0)</f>
        <v>0</v>
      </c>
      <c r="M862" s="72">
        <f t="shared" si="13"/>
        <v>3.4025185301467128E-2</v>
      </c>
      <c r="N862">
        <f>SQRT((N861^2)*0.72+(1-0.72)*(C861^2))</f>
        <v>4.6312050100231995E-3</v>
      </c>
      <c r="O862">
        <f>_xlfn.NORM.S.INV(0.99)*N862*SQRT(10)</f>
        <v>3.4069727857929777E-2</v>
      </c>
      <c r="P862">
        <f>LN(B871)-LN(B862)</f>
        <v>-1.6749596281062651E-4</v>
      </c>
      <c r="Q862">
        <f>IF(P862&lt;-(O862),1,0)</f>
        <v>0</v>
      </c>
    </row>
    <row r="863" spans="1:17">
      <c r="A863" s="64">
        <v>42543</v>
      </c>
      <c r="B863">
        <v>2085.4499510000001</v>
      </c>
      <c r="C863" s="68">
        <f>LN(B863)-LN(B862)</f>
        <v>-1.6529289144324721E-3</v>
      </c>
      <c r="D863" s="68"/>
      <c r="E863" s="68"/>
      <c r="F863" s="68"/>
      <c r="G863" s="68"/>
      <c r="H863" s="68"/>
      <c r="I863">
        <f>_xlfn.STDEV.S(C843:C863)</f>
        <v>5.078851587651618E-3</v>
      </c>
      <c r="J863">
        <f>_xlfn.NORM.S.INV(0.99)*I863*SQRT(10)</f>
        <v>3.7362865830298964E-2</v>
      </c>
      <c r="K863">
        <f>LN(B872)-LN(B863)</f>
        <v>6.8241197043610313E-3</v>
      </c>
      <c r="L863">
        <f>IF(K863&lt;-(J863),1,0)</f>
        <v>0</v>
      </c>
      <c r="M863" s="72">
        <f t="shared" si="13"/>
        <v>3.0734608948967491E-2</v>
      </c>
      <c r="N863">
        <f>SQRT((N862^2)*0.72+(1-0.72)*(C862^2))</f>
        <v>4.1828828748730288E-3</v>
      </c>
      <c r="O863">
        <f>_xlfn.NORM.S.INV(0.99)*N863*SQRT(10)</f>
        <v>3.0771620107529016E-2</v>
      </c>
      <c r="P863">
        <f>LN(B872)-LN(B863)</f>
        <v>6.8241197043610313E-3</v>
      </c>
      <c r="Q863">
        <f>IF(P863&lt;-(O863),1,0)</f>
        <v>0</v>
      </c>
    </row>
    <row r="864" spans="1:17">
      <c r="A864" s="64">
        <v>42544</v>
      </c>
      <c r="B864">
        <v>2113.320068</v>
      </c>
      <c r="C864" s="68">
        <f>LN(B864)-LN(B863)</f>
        <v>1.3275566984319198E-2</v>
      </c>
      <c r="D864" s="68"/>
      <c r="E864" s="68"/>
      <c r="F864" s="68"/>
      <c r="G864" s="68"/>
      <c r="H864" s="68"/>
      <c r="I864">
        <f>_xlfn.STDEV.S(C844:C864)</f>
        <v>5.0399371015538482E-3</v>
      </c>
      <c r="J864">
        <f>_xlfn.NORM.S.INV(0.99)*I864*SQRT(10)</f>
        <v>3.7076589159710474E-2</v>
      </c>
      <c r="K864">
        <f>LN(B873)-LN(B864)</f>
        <v>-7.3234051073027828E-3</v>
      </c>
      <c r="L864">
        <f>IF(K864&lt;-(J864),1,0)</f>
        <v>0</v>
      </c>
      <c r="M864" s="72">
        <f t="shared" si="13"/>
        <v>2.6788115000052876E-2</v>
      </c>
      <c r="N864">
        <f>SQRT((N863^2)*0.72+(1-0.72)*(C863^2))</f>
        <v>3.6554747028613253E-3</v>
      </c>
      <c r="O864">
        <f>_xlfn.NORM.S.INV(0.99)*N864*SQRT(10)</f>
        <v>2.6891711346936936E-2</v>
      </c>
      <c r="P864">
        <f>LN(B873)-LN(B864)</f>
        <v>-7.3234051073027828E-3</v>
      </c>
      <c r="Q864">
        <f>IF(P864&lt;-(O864),1,0)</f>
        <v>0</v>
      </c>
    </row>
    <row r="865" spans="1:17">
      <c r="A865" s="64">
        <v>42545</v>
      </c>
      <c r="B865">
        <v>2037.410034</v>
      </c>
      <c r="C865" s="68">
        <f>LN(B865)-LN(B864)</f>
        <v>-3.6580792723723832E-2</v>
      </c>
      <c r="D865" s="68"/>
      <c r="E865" s="68"/>
      <c r="F865" s="68"/>
      <c r="G865" s="68"/>
      <c r="H865" s="68"/>
      <c r="I865">
        <f>_xlfn.STDEV.S(C845:C865)</f>
        <v>9.4376225433783715E-3</v>
      </c>
      <c r="J865">
        <f>_xlfn.NORM.S.INV(0.99)*I865*SQRT(10)</f>
        <v>6.9428416790634245E-2</v>
      </c>
      <c r="K865">
        <f>LN(B874)-LN(B865)</f>
        <v>4.4395574184875386E-2</v>
      </c>
      <c r="L865">
        <f>IF(K865&lt;-(J865),1,0)</f>
        <v>0</v>
      </c>
      <c r="M865" s="72">
        <f t="shared" si="13"/>
        <v>5.6447114912164593E-2</v>
      </c>
      <c r="N865">
        <f>SQRT((N864^2)*0.72+(1-0.72)*(C864^2))</f>
        <v>7.6790876196191045E-3</v>
      </c>
      <c r="O865">
        <f>_xlfn.NORM.S.INV(0.99)*N865*SQRT(10)</f>
        <v>5.6491652783971669E-2</v>
      </c>
      <c r="P865">
        <f>LN(B874)-LN(B865)</f>
        <v>4.4395574184875386E-2</v>
      </c>
      <c r="Q865">
        <f>IF(P865&lt;-(O865),1,0)</f>
        <v>0</v>
      </c>
    </row>
    <row r="866" spans="1:17">
      <c r="A866" s="64">
        <v>42548</v>
      </c>
      <c r="B866">
        <v>2000.540039</v>
      </c>
      <c r="C866" s="68">
        <f>LN(B866)-LN(B865)</f>
        <v>-1.826224645475083E-2</v>
      </c>
      <c r="D866" s="68"/>
      <c r="E866" s="68"/>
      <c r="F866" s="68"/>
      <c r="G866" s="68"/>
      <c r="H866" s="68"/>
      <c r="I866">
        <f>_xlfn.STDEV.S(C846:C866)</f>
        <v>1.0136726385136696E-2</v>
      </c>
      <c r="J866">
        <f>_xlfn.NORM.S.INV(0.99)*I866*SQRT(10)</f>
        <v>7.4571414688932858E-2</v>
      </c>
      <c r="K866">
        <f>LN(B875)-LN(B866)</f>
        <v>6.6060640061839315E-2</v>
      </c>
      <c r="L866">
        <f>IF(K866&lt;-(J866),1,0)</f>
        <v>0</v>
      </c>
      <c r="M866" s="72">
        <f t="shared" si="13"/>
        <v>0.15023840804767113</v>
      </c>
      <c r="N866">
        <f>SQRT((N865^2)*0.72+(1-0.72)*(C865^2))</f>
        <v>2.0424016974266837E-2</v>
      </c>
      <c r="O866">
        <f>_xlfn.NORM.S.INV(0.99)*N866*SQRT(10)</f>
        <v>0.15025046366399653</v>
      </c>
      <c r="P866">
        <f>LN(B875)-LN(B866)</f>
        <v>6.6060640061839315E-2</v>
      </c>
      <c r="Q866">
        <f>IF(P866&lt;-(O866),1,0)</f>
        <v>0</v>
      </c>
    </row>
    <row r="867" spans="1:17">
      <c r="A867" s="64">
        <v>42549</v>
      </c>
      <c r="B867">
        <v>2036.089966</v>
      </c>
      <c r="C867" s="68">
        <f>LN(B867)-LN(B866)</f>
        <v>1.7614121723580567E-2</v>
      </c>
      <c r="D867" s="68"/>
      <c r="E867" s="68"/>
      <c r="F867" s="68"/>
      <c r="G867" s="68"/>
      <c r="H867" s="68"/>
      <c r="I867">
        <f>_xlfn.STDEV.S(C847:C867)</f>
        <v>1.0941158187010712E-2</v>
      </c>
      <c r="J867">
        <f>_xlfn.NORM.S.INV(0.99)*I867*SQRT(10)</f>
        <v>8.0489263825560584E-2</v>
      </c>
      <c r="K867">
        <f>LN(B876)-LN(B867)</f>
        <v>5.5431360892807646E-2</v>
      </c>
      <c r="L867">
        <f>IF(K867&lt;-(J867),1,0)</f>
        <v>0</v>
      </c>
      <c r="M867" s="72">
        <f t="shared" si="13"/>
        <v>0.14596205526665698</v>
      </c>
      <c r="N867">
        <f>SQRT((N866^2)*0.72+(1-0.72)*(C866^2))</f>
        <v>1.9842475619328285E-2</v>
      </c>
      <c r="O867">
        <f>_xlfn.NORM.S.INV(0.99)*N867*SQRT(10)</f>
        <v>0.14597232100824981</v>
      </c>
      <c r="P867">
        <f>LN(B876)-LN(B867)</f>
        <v>5.5431360892807646E-2</v>
      </c>
      <c r="Q867">
        <f>IF(P867&lt;-(O867),1,0)</f>
        <v>0</v>
      </c>
    </row>
    <row r="868" spans="1:17">
      <c r="A868" s="64">
        <v>42550</v>
      </c>
      <c r="B868">
        <v>2070.7700199999999</v>
      </c>
      <c r="C868" s="68">
        <f>LN(B868)-LN(B867)</f>
        <v>1.6889243109368124E-2</v>
      </c>
      <c r="D868" s="68"/>
      <c r="E868" s="68"/>
      <c r="F868" s="68"/>
      <c r="G868" s="68"/>
      <c r="H868" s="68"/>
      <c r="I868">
        <f>_xlfn.STDEV.S(C848:C868)</f>
        <v>1.165134003240114E-2</v>
      </c>
      <c r="J868">
        <f>_xlfn.NORM.S.INV(0.99)*I868*SQRT(10)</f>
        <v>8.5713757699126564E-2</v>
      </c>
      <c r="K868">
        <f>LN(B877)-LN(B868)</f>
        <v>3.8676876429358131E-2</v>
      </c>
      <c r="L868">
        <f>IF(K868&lt;-(J868),1,0)</f>
        <v>0</v>
      </c>
      <c r="M868" s="72">
        <f t="shared" si="13"/>
        <v>0.141566045082678</v>
      </c>
      <c r="N868">
        <f>SQRT((N867^2)*0.72+(1-0.72)*(C867^2))</f>
        <v>1.9244562957175478E-2</v>
      </c>
      <c r="O868">
        <f>_xlfn.NORM.S.INV(0.99)*N868*SQRT(10)</f>
        <v>0.14157374188288857</v>
      </c>
      <c r="P868">
        <f>LN(B877)-LN(B868)</f>
        <v>3.8676876429358131E-2</v>
      </c>
      <c r="Q868">
        <f>IF(P868&lt;-(O868),1,0)</f>
        <v>0</v>
      </c>
    </row>
    <row r="869" spans="1:17">
      <c r="A869" s="64">
        <v>42551</v>
      </c>
      <c r="B869">
        <v>2098.860107</v>
      </c>
      <c r="C869" s="68">
        <f>LN(B869)-LN(B868)</f>
        <v>1.3473862722099383E-2</v>
      </c>
      <c r="D869" s="68"/>
      <c r="E869" s="68"/>
      <c r="F869" s="68"/>
      <c r="G869" s="68"/>
      <c r="H869" s="68"/>
      <c r="I869">
        <f>_xlfn.STDEV.S(C849:C869)</f>
        <v>1.2047502462549127E-2</v>
      </c>
      <c r="J869">
        <f>_xlfn.NORM.S.INV(0.99)*I869*SQRT(10)</f>
        <v>8.8628149559013242E-2</v>
      </c>
      <c r="K869">
        <f>LN(B878)-LN(B869)</f>
        <v>3.0448436341992569E-2</v>
      </c>
      <c r="L869">
        <f>IF(K869&lt;-(J869),1,0)</f>
        <v>0</v>
      </c>
      <c r="M869" s="72">
        <f t="shared" si="13"/>
        <v>0.13693750653572512</v>
      </c>
      <c r="N869">
        <f>SQRT((N868^2)*0.72+(1-0.72)*(C868^2))</f>
        <v>1.8615137271671998E-2</v>
      </c>
      <c r="O869">
        <f>_xlfn.NORM.S.INV(0.99)*N869*SQRT(10)</f>
        <v>0.13694333537627029</v>
      </c>
      <c r="P869">
        <f>LN(B878)-LN(B869)</f>
        <v>3.0448436341992569E-2</v>
      </c>
      <c r="Q869">
        <f>IF(P869&lt;-(O869),1,0)</f>
        <v>0</v>
      </c>
    </row>
    <row r="870" spans="1:17">
      <c r="A870" s="64">
        <v>42552</v>
      </c>
      <c r="B870">
        <v>2102.9499510000001</v>
      </c>
      <c r="C870" s="68">
        <f>LN(B870)-LN(B869)</f>
        <v>1.9467064123031008E-3</v>
      </c>
      <c r="D870" s="68"/>
      <c r="E870" s="68"/>
      <c r="F870" s="68"/>
      <c r="G870" s="68"/>
      <c r="H870" s="68"/>
      <c r="I870">
        <f>_xlfn.STDEV.S(C850:C870)</f>
        <v>1.2038738803076503E-2</v>
      </c>
      <c r="J870">
        <f>_xlfn.NORM.S.INV(0.99)*I870*SQRT(10)</f>
        <v>8.8563679190583069E-2</v>
      </c>
      <c r="K870">
        <f>LN(B879)-LN(B870)</f>
        <v>2.7572350761398745E-2</v>
      </c>
      <c r="L870">
        <f>IF(K870&lt;-(J870),1,0)</f>
        <v>0</v>
      </c>
      <c r="M870" s="72">
        <f t="shared" si="13"/>
        <v>0.1274840829381915</v>
      </c>
      <c r="N870">
        <f>SQRT((N869^2)*0.72+(1-0.72)*(C869^2))</f>
        <v>1.7330014285228172E-2</v>
      </c>
      <c r="O870">
        <f>_xlfn.NORM.S.INV(0.99)*N870*SQRT(10)</f>
        <v>0.12748925370263439</v>
      </c>
      <c r="P870">
        <f>LN(B879)-LN(B870)</f>
        <v>2.7572350761398745E-2</v>
      </c>
      <c r="Q870">
        <f>IF(P870&lt;-(O870),1,0)</f>
        <v>0</v>
      </c>
    </row>
    <row r="871" spans="1:17">
      <c r="A871" s="64">
        <v>42556</v>
      </c>
      <c r="B871">
        <v>2088.5500489999999</v>
      </c>
      <c r="C871" s="68">
        <f>LN(B871)-LN(B870)</f>
        <v>-6.8710288215738657E-3</v>
      </c>
      <c r="D871" s="68"/>
      <c r="E871" s="68"/>
      <c r="F871" s="68"/>
      <c r="G871" s="68"/>
      <c r="H871" s="68"/>
      <c r="I871">
        <f>_xlfn.STDEV.S(C851:C871)</f>
        <v>1.2116463757020933E-2</v>
      </c>
      <c r="J871">
        <f>_xlfn.NORM.S.INV(0.99)*I871*SQRT(10)</f>
        <v>8.9135467315471881E-2</v>
      </c>
      <c r="K871">
        <f>LN(B880)-LN(B871)</f>
        <v>3.6822841707953025E-2</v>
      </c>
      <c r="L871">
        <f>IF(K871&lt;-(J871),1,0)</f>
        <v>0</v>
      </c>
      <c r="M871" s="72">
        <f t="shared" si="13"/>
        <v>0.10843810749181806</v>
      </c>
      <c r="N871">
        <f>SQRT((N870^2)*0.72+(1-0.72)*(C870^2))</f>
        <v>1.4741040361198037E-2</v>
      </c>
      <c r="O871">
        <f>_xlfn.NORM.S.INV(0.99)*N871*SQRT(10)</f>
        <v>0.10844331709821245</v>
      </c>
      <c r="P871">
        <f>LN(B880)-LN(B871)</f>
        <v>3.6822841707953025E-2</v>
      </c>
      <c r="Q871">
        <f>IF(P871&lt;-(O871),1,0)</f>
        <v>0</v>
      </c>
    </row>
    <row r="872" spans="1:17">
      <c r="A872" s="64">
        <v>42557</v>
      </c>
      <c r="B872">
        <v>2099.7299800000001</v>
      </c>
      <c r="C872" s="68">
        <f>LN(B872)-LN(B871)</f>
        <v>5.3386867527391857E-3</v>
      </c>
      <c r="D872" s="68"/>
      <c r="E872" s="68"/>
      <c r="F872" s="68"/>
      <c r="G872" s="68"/>
      <c r="H872" s="68"/>
      <c r="I872">
        <f>_xlfn.STDEV.S(C852:C872)</f>
        <v>1.2126453318773205E-2</v>
      </c>
      <c r="J872">
        <f>_xlfn.NORM.S.INV(0.99)*I872*SQRT(10)</f>
        <v>8.9208956105016557E-2</v>
      </c>
      <c r="K872">
        <f>LN(B881)-LN(B872)</f>
        <v>3.004795012290451E-2</v>
      </c>
      <c r="L872">
        <f>IF(K872&lt;-(J872),1,0)</f>
        <v>0</v>
      </c>
      <c r="M872" s="72">
        <f t="shared" si="13"/>
        <v>9.5818834069222106E-2</v>
      </c>
      <c r="N872">
        <f>SQRT((N871^2)*0.72+(1-0.72)*(C871^2))</f>
        <v>1.3025891349488131E-2</v>
      </c>
      <c r="O872">
        <f>_xlfn.NORM.S.INV(0.99)*N872*SQRT(10)</f>
        <v>9.5825724066099821E-2</v>
      </c>
      <c r="P872">
        <f>LN(B881)-LN(B872)</f>
        <v>3.004795012290451E-2</v>
      </c>
      <c r="Q872">
        <f>IF(P872&lt;-(O872),1,0)</f>
        <v>0</v>
      </c>
    </row>
    <row r="873" spans="1:17">
      <c r="A873" s="64">
        <v>42558</v>
      </c>
      <c r="B873">
        <v>2097.8999020000001</v>
      </c>
      <c r="C873" s="68">
        <f>LN(B873)-LN(B872)</f>
        <v>-8.7195782734461602E-4</v>
      </c>
      <c r="D873" s="68"/>
      <c r="E873" s="68"/>
      <c r="F873" s="68"/>
      <c r="G873" s="68"/>
      <c r="H873" s="68"/>
      <c r="I873">
        <f>_xlfn.STDEV.S(C853:C873)</f>
        <v>1.2122187220405943E-2</v>
      </c>
      <c r="J873">
        <f>_xlfn.NORM.S.INV(0.99)*I873*SQRT(10)</f>
        <v>8.9177572305320113E-2</v>
      </c>
      <c r="K873">
        <f>LN(B882)-LN(B873)</f>
        <v>3.5181116618928421E-2</v>
      </c>
      <c r="L873">
        <f>IF(K873&lt;-(J873),1,0)</f>
        <v>0</v>
      </c>
      <c r="M873" s="72">
        <f t="shared" si="13"/>
        <v>8.3918752635654681E-2</v>
      </c>
      <c r="N873">
        <f>SQRT((N872^2)*0.72+(1-0.72)*(C872^2))</f>
        <v>1.1408137887987092E-2</v>
      </c>
      <c r="O873">
        <f>_xlfn.NORM.S.INV(0.99)*N873*SQRT(10)</f>
        <v>8.392462703945619E-2</v>
      </c>
      <c r="P873">
        <f>LN(B882)-LN(B873)</f>
        <v>3.5181116618928421E-2</v>
      </c>
      <c r="Q873">
        <f>IF(P873&lt;-(O873),1,0)</f>
        <v>0</v>
      </c>
    </row>
    <row r="874" spans="1:17">
      <c r="A874" s="64">
        <v>42559</v>
      </c>
      <c r="B874">
        <v>2129.8999020000001</v>
      </c>
      <c r="C874" s="68">
        <f>LN(B874)-LN(B873)</f>
        <v>1.5138186568454337E-2</v>
      </c>
      <c r="D874" s="68"/>
      <c r="E874" s="68"/>
      <c r="F874" s="68"/>
      <c r="G874" s="68"/>
      <c r="H874" s="68"/>
      <c r="I874">
        <f>_xlfn.STDEV.S(C854:C874)</f>
        <v>1.256611753136625E-2</v>
      </c>
      <c r="J874">
        <f>_xlfn.NORM.S.INV(0.99)*I874*SQRT(10)</f>
        <v>9.2443371346729433E-2</v>
      </c>
      <c r="K874">
        <f>LN(B883)-LN(B874)</f>
        <v>1.6423860035968296E-2</v>
      </c>
      <c r="L874">
        <f>IF(K874&lt;-(J874),1,0)</f>
        <v>0</v>
      </c>
      <c r="M874" s="72">
        <f t="shared" si="13"/>
        <v>7.1286649570024313E-2</v>
      </c>
      <c r="N874">
        <f>SQRT((N873^2)*0.72+(1-0.72)*(C873^2))</f>
        <v>9.6911158376165353E-3</v>
      </c>
      <c r="O874">
        <f>_xlfn.NORM.S.INV(0.99)*N874*SQRT(10)</f>
        <v>7.1293254889965352E-2</v>
      </c>
      <c r="P874">
        <f>LN(B883)-LN(B874)</f>
        <v>1.6423860035968296E-2</v>
      </c>
      <c r="Q874">
        <f>IF(P874&lt;-(O874),1,0)</f>
        <v>0</v>
      </c>
    </row>
    <row r="875" spans="1:17">
      <c r="A875" s="64">
        <v>42562</v>
      </c>
      <c r="B875">
        <v>2137.1599120000001</v>
      </c>
      <c r="C875" s="68">
        <f>LN(B875)-LN(B874)</f>
        <v>3.4028194222130992E-3</v>
      </c>
      <c r="D875" s="68"/>
      <c r="E875" s="68"/>
      <c r="F875" s="68"/>
      <c r="G875" s="68"/>
      <c r="H875" s="68"/>
      <c r="I875">
        <f>_xlfn.STDEV.S(C855:C875)</f>
        <v>1.2575860040792279E-2</v>
      </c>
      <c r="J875">
        <f>_xlfn.NORM.S.INV(0.99)*I875*SQRT(10)</f>
        <v>9.2515042681528853E-2</v>
      </c>
      <c r="K875">
        <f>LN(B884)-LN(B875)</f>
        <v>1.7564667209041041E-2</v>
      </c>
      <c r="L875">
        <f>IF(K875&lt;-(J875),1,0)</f>
        <v>0</v>
      </c>
      <c r="M875" s="72">
        <f t="shared" si="13"/>
        <v>8.4447769526532088E-2</v>
      </c>
      <c r="N875">
        <f>SQRT((N874^2)*0.72+(1-0.72)*(C874^2))</f>
        <v>1.1479846548234267E-2</v>
      </c>
      <c r="O875">
        <f>_xlfn.NORM.S.INV(0.99)*N875*SQRT(10)</f>
        <v>8.4452155951346392E-2</v>
      </c>
      <c r="P875">
        <f>LN(B884)-LN(B875)</f>
        <v>1.7564667209041041E-2</v>
      </c>
      <c r="Q875">
        <f>IF(P875&lt;-(O875),1,0)</f>
        <v>0</v>
      </c>
    </row>
    <row r="876" spans="1:17">
      <c r="A876" s="64">
        <v>42563</v>
      </c>
      <c r="B876">
        <v>2152.139893</v>
      </c>
      <c r="C876" s="68">
        <f>LN(B876)-LN(B875)</f>
        <v>6.9848425545488979E-3</v>
      </c>
      <c r="D876" s="68"/>
      <c r="E876" s="68"/>
      <c r="F876" s="68"/>
      <c r="G876" s="68"/>
      <c r="H876" s="68"/>
      <c r="I876">
        <f>_xlfn.STDEV.S(C856:C876)</f>
        <v>1.2447160390709916E-2</v>
      </c>
      <c r="J876">
        <f>_xlfn.NORM.S.INV(0.99)*I876*SQRT(10)</f>
        <v>9.1568256252461899E-2</v>
      </c>
      <c r="K876">
        <f>LN(B885)-LN(B876)</f>
        <v>7.5638058348896919E-3</v>
      </c>
      <c r="L876">
        <f>IF(K876&lt;-(J876),1,0)</f>
        <v>0</v>
      </c>
      <c r="M876" s="72">
        <f t="shared" si="13"/>
        <v>7.2857976751026565E-2</v>
      </c>
      <c r="N876">
        <f>SQRT((N875^2)*0.72+(1-0.72)*(C875^2))</f>
        <v>9.9059942297973231E-3</v>
      </c>
      <c r="O876">
        <f>_xlfn.NORM.S.INV(0.99)*N876*SQRT(10)</f>
        <v>7.2874020226050593E-2</v>
      </c>
      <c r="P876">
        <f>LN(B885)-LN(B876)</f>
        <v>7.5638058348896919E-3</v>
      </c>
      <c r="Q876">
        <f>IF(P876&lt;-(O876),1,0)</f>
        <v>0</v>
      </c>
    </row>
    <row r="877" spans="1:17">
      <c r="A877" s="64">
        <v>42564</v>
      </c>
      <c r="B877">
        <v>2152.429932</v>
      </c>
      <c r="C877" s="68">
        <f>LN(B877)-LN(B876)</f>
        <v>1.3475864591860898E-4</v>
      </c>
      <c r="D877" s="68"/>
      <c r="E877" s="68"/>
      <c r="F877" s="68"/>
      <c r="G877" s="68"/>
      <c r="H877" s="68"/>
      <c r="I877">
        <f>_xlfn.STDEV.S(C857:C877)</f>
        <v>1.2264109387981805E-2</v>
      </c>
      <c r="J877">
        <f>_xlfn.NORM.S.INV(0.99)*I877*SQRT(10)</f>
        <v>9.022163095006859E-2</v>
      </c>
      <c r="K877">
        <f>LN(B886)-LN(B877)</f>
        <v>7.7517797315280745E-3</v>
      </c>
      <c r="L877">
        <f>IF(K877&lt;-(J877),1,0)</f>
        <v>0</v>
      </c>
      <c r="M877" s="72">
        <f t="shared" si="13"/>
        <v>6.7526695514200513E-2</v>
      </c>
      <c r="N877">
        <f>SQRT((N876^2)*0.72+(1-0.72)*(C876^2))</f>
        <v>9.1822288554290823E-3</v>
      </c>
      <c r="O877">
        <f>_xlfn.NORM.S.INV(0.99)*N877*SQRT(10)</f>
        <v>6.7549598334911906E-2</v>
      </c>
      <c r="P877">
        <f>LN(B886)-LN(B877)</f>
        <v>7.7517797315280745E-3</v>
      </c>
      <c r="Q877">
        <f>IF(P877&lt;-(O877),1,0)</f>
        <v>0</v>
      </c>
    </row>
    <row r="878" spans="1:17">
      <c r="A878" s="64">
        <v>42565</v>
      </c>
      <c r="B878">
        <v>2163.75</v>
      </c>
      <c r="C878" s="68">
        <f>LN(B878)-LN(B877)</f>
        <v>5.2454226347338206E-3</v>
      </c>
      <c r="D878" s="68"/>
      <c r="E878" s="68"/>
      <c r="F878" s="68"/>
      <c r="G878" s="68"/>
      <c r="H878" s="68"/>
      <c r="I878">
        <f>_xlfn.STDEV.S(C858:C878)</f>
        <v>1.226132835805388E-2</v>
      </c>
      <c r="J878">
        <f>_xlfn.NORM.S.INV(0.99)*I878*SQRT(10)</f>
        <v>9.0201172142349184E-2</v>
      </c>
      <c r="K878">
        <f>LN(B887)-LN(B878)</f>
        <v>1.3070959266183735E-3</v>
      </c>
      <c r="L878">
        <f>IF(K878&lt;-(J878),1,0)</f>
        <v>0</v>
      </c>
      <c r="M878" s="72">
        <f t="shared" si="13"/>
        <v>5.7300101594834174E-2</v>
      </c>
      <c r="N878">
        <f>SQRT((N877^2)*0.72+(1-0.72)*(C877^2))</f>
        <v>7.7917058486857401E-3</v>
      </c>
      <c r="O878">
        <f>_xlfn.NORM.S.INV(0.99)*N878*SQRT(10)</f>
        <v>5.7320135308031442E-2</v>
      </c>
      <c r="P878">
        <f>LN(B887)-LN(B878)</f>
        <v>1.3070959266183735E-3</v>
      </c>
      <c r="Q878">
        <f>IF(P878&lt;-(O878),1,0)</f>
        <v>0</v>
      </c>
    </row>
    <row r="879" spans="1:17">
      <c r="A879" s="64">
        <v>42566</v>
      </c>
      <c r="B879">
        <v>2161.73999</v>
      </c>
      <c r="C879" s="68">
        <f>LN(B879)-LN(B878)</f>
        <v>-9.2937916829072265E-4</v>
      </c>
      <c r="D879" s="68"/>
      <c r="E879" s="68"/>
      <c r="F879" s="68"/>
      <c r="G879" s="68"/>
      <c r="H879" s="68"/>
      <c r="I879">
        <f>_xlfn.STDEV.S(C859:C879)</f>
        <v>1.2248682832892297E-2</v>
      </c>
      <c r="J879">
        <f>_xlfn.NORM.S.INV(0.99)*I879*SQRT(10)</f>
        <v>9.010814460417213E-2</v>
      </c>
      <c r="K879">
        <f>LN(B888)-LN(B879)</f>
        <v>3.8413957879024352E-3</v>
      </c>
      <c r="L879">
        <f>IF(K879&lt;-(J879),1,0)</f>
        <v>0</v>
      </c>
      <c r="M879" s="72">
        <f t="shared" si="13"/>
        <v>5.2733670939954388E-2</v>
      </c>
      <c r="N879">
        <f>SQRT((N878^2)*0.72+(1-0.72)*(C878^2))</f>
        <v>7.1704768346403007E-3</v>
      </c>
      <c r="O879">
        <f>_xlfn.NORM.S.INV(0.99)*N879*SQRT(10)</f>
        <v>5.2750028089678748E-2</v>
      </c>
      <c r="P879">
        <f>LN(B888)-LN(B879)</f>
        <v>3.8413957879024352E-3</v>
      </c>
      <c r="Q879">
        <f>IF(P879&lt;-(O879),1,0)</f>
        <v>0</v>
      </c>
    </row>
    <row r="880" spans="1:17">
      <c r="A880" s="64">
        <v>42569</v>
      </c>
      <c r="B880">
        <v>2166.889893</v>
      </c>
      <c r="C880" s="68">
        <f>LN(B880)-LN(B879)</f>
        <v>2.3794621249804138E-3</v>
      </c>
      <c r="D880" s="68"/>
      <c r="E880" s="68"/>
      <c r="F880" s="68"/>
      <c r="G880" s="68"/>
      <c r="H880" s="68"/>
      <c r="I880">
        <f>_xlfn.STDEV.S(C860:C880)</f>
        <v>1.2246417836542676E-2</v>
      </c>
      <c r="J880">
        <f>_xlfn.NORM.S.INV(0.99)*I880*SQRT(10)</f>
        <v>9.0091482027355993E-2</v>
      </c>
      <c r="K880">
        <f>LN(B889)-LN(B880)</f>
        <v>3.0919137515210693E-3</v>
      </c>
      <c r="L880">
        <f>IF(K880&lt;-(J880),1,0)</f>
        <v>0</v>
      </c>
      <c r="M880" s="72">
        <f t="shared" si="13"/>
        <v>4.488970486839635E-2</v>
      </c>
      <c r="N880">
        <f>SQRT((N879^2)*0.72+(1-0.72)*(C879^2))</f>
        <v>6.1041936539372888E-3</v>
      </c>
      <c r="O880">
        <f>_xlfn.NORM.S.INV(0.99)*N880*SQRT(10)</f>
        <v>4.4905854120395244E-2</v>
      </c>
      <c r="P880">
        <f>LN(B889)-LN(B880)</f>
        <v>3.0919137515210693E-3</v>
      </c>
      <c r="Q880">
        <f>IF(P880&lt;-(O880),1,0)</f>
        <v>0</v>
      </c>
    </row>
    <row r="881" spans="1:17">
      <c r="A881" s="64">
        <v>42570</v>
      </c>
      <c r="B881">
        <v>2163.780029</v>
      </c>
      <c r="C881" s="68">
        <f>LN(B881)-LN(B880)</f>
        <v>-1.436204832309329E-3</v>
      </c>
      <c r="D881" s="68"/>
      <c r="E881" s="68"/>
      <c r="F881" s="68"/>
      <c r="G881" s="68"/>
      <c r="H881" s="68"/>
      <c r="I881">
        <f>_xlfn.STDEV.S(C861:C881)</f>
        <v>1.2213640328916791E-2</v>
      </c>
      <c r="J881">
        <f>_xlfn.NORM.S.INV(0.99)*I881*SQRT(10)</f>
        <v>8.985035239429974E-2</v>
      </c>
      <c r="K881">
        <f>LN(B890)-LN(B881)</f>
        <v>3.2575243285748456E-3</v>
      </c>
      <c r="L881">
        <f>IF(K881&lt;-(J881),1,0)</f>
        <v>0</v>
      </c>
      <c r="M881" s="72">
        <f t="shared" si="13"/>
        <v>3.9197334510267516E-2</v>
      </c>
      <c r="N881">
        <f>SQRT((N880^2)*0.72+(1-0.72)*(C880^2))</f>
        <v>5.3304188315566456E-3</v>
      </c>
      <c r="O881">
        <f>_xlfn.NORM.S.INV(0.99)*N881*SQRT(10)</f>
        <v>3.92135348288132E-2</v>
      </c>
      <c r="P881">
        <f>LN(B890)-LN(B881)</f>
        <v>3.2575243285748456E-3</v>
      </c>
      <c r="Q881">
        <f>IF(P881&lt;-(O881),1,0)</f>
        <v>0</v>
      </c>
    </row>
    <row r="882" spans="1:17">
      <c r="A882" s="64">
        <v>42571</v>
      </c>
      <c r="B882">
        <v>2173.0200199999999</v>
      </c>
      <c r="C882" s="68">
        <f>LN(B882)-LN(B881)</f>
        <v>4.2612086686792949E-3</v>
      </c>
      <c r="D882" s="68"/>
      <c r="E882" s="68"/>
      <c r="F882" s="68"/>
      <c r="G882" s="68"/>
      <c r="H882" s="68"/>
      <c r="I882">
        <f>_xlfn.STDEV.S(C862:C882)</f>
        <v>1.2194953230874567E-2</v>
      </c>
      <c r="J882">
        <f>_xlfn.NORM.S.INV(0.99)*I882*SQRT(10)</f>
        <v>8.9712879675347537E-2</v>
      </c>
      <c r="K882">
        <f>LN(B891)-LN(B882)</f>
        <v>-7.3856253407864614E-3</v>
      </c>
      <c r="L882">
        <f>IF(K882&lt;-(J882),1,0)</f>
        <v>0</v>
      </c>
      <c r="M882" s="72">
        <f t="shared" si="13"/>
        <v>3.3716085633160718E-2</v>
      </c>
      <c r="N882">
        <f>SQRT((N881^2)*0.72+(1-0.72)*(C881^2))</f>
        <v>4.5864119256738703E-3</v>
      </c>
      <c r="O882">
        <f>_xlfn.NORM.S.INV(0.99)*N882*SQRT(10)</f>
        <v>3.3740204938863129E-2</v>
      </c>
      <c r="P882">
        <f>LN(B891)-LN(B882)</f>
        <v>-7.3856253407864614E-3</v>
      </c>
      <c r="Q882">
        <f>IF(P882&lt;-(O882),1,0)</f>
        <v>0</v>
      </c>
    </row>
    <row r="883" spans="1:17">
      <c r="A883" s="64">
        <v>42572</v>
      </c>
      <c r="B883">
        <v>2165.169922</v>
      </c>
      <c r="C883" s="68">
        <f>LN(B883)-LN(B882)</f>
        <v>-3.6190700145057875E-3</v>
      </c>
      <c r="D883" s="68"/>
      <c r="E883" s="68"/>
      <c r="F883" s="68"/>
      <c r="G883" s="68"/>
      <c r="H883" s="68"/>
      <c r="I883">
        <f>_xlfn.STDEV.S(C863:C883)</f>
        <v>1.2254829746506778E-2</v>
      </c>
      <c r="J883">
        <f>_xlfn.NORM.S.INV(0.99)*I883*SQRT(10)</f>
        <v>9.0153364730156255E-2</v>
      </c>
      <c r="K883">
        <f>LN(B892)-LN(B883)</f>
        <v>-6.3751250146282246E-4</v>
      </c>
      <c r="L883">
        <f>IF(K883&lt;-(J883),1,0)</f>
        <v>0</v>
      </c>
      <c r="M883" s="72">
        <f t="shared" si="13"/>
        <v>3.3067717810948312E-2</v>
      </c>
      <c r="N883">
        <f>SQRT((N882^2)*0.72+(1-0.72)*(C882^2))</f>
        <v>4.4977257967178741E-3</v>
      </c>
      <c r="O883">
        <f>_xlfn.NORM.S.INV(0.99)*N883*SQRT(10)</f>
        <v>3.3087780295219693E-2</v>
      </c>
      <c r="P883">
        <f>LN(B892)-LN(B883)</f>
        <v>-6.3751250146282246E-4</v>
      </c>
      <c r="Q883">
        <f>IF(P883&lt;-(O883),1,0)</f>
        <v>0</v>
      </c>
    </row>
    <row r="884" spans="1:17">
      <c r="A884" s="64">
        <v>42573</v>
      </c>
      <c r="B884">
        <v>2175.030029</v>
      </c>
      <c r="C884" s="68">
        <f>LN(B884)-LN(B883)</f>
        <v>4.5436265952858435E-3</v>
      </c>
      <c r="D884" s="68"/>
      <c r="E884" s="68"/>
      <c r="F884" s="68"/>
      <c r="G884" s="68"/>
      <c r="H884" s="68"/>
      <c r="I884">
        <f>_xlfn.STDEV.S(C864:C884)</f>
        <v>1.2244463035434576E-2</v>
      </c>
      <c r="J884">
        <f>_xlfn.NORM.S.INV(0.99)*I884*SQRT(10)</f>
        <v>9.0077101419798078E-2</v>
      </c>
      <c r="K884">
        <f>LN(B893)-LN(B884)</f>
        <v>-4.9685897683753311E-3</v>
      </c>
      <c r="L884">
        <f>IF(K884&lt;-(J884),1,0)</f>
        <v>0</v>
      </c>
      <c r="M884" s="72">
        <f t="shared" si="13"/>
        <v>3.1396117070030448E-2</v>
      </c>
      <c r="N884">
        <f>SQRT((N883^2)*0.72+(1-0.72)*(C883^2))</f>
        <v>4.2699664942646579E-3</v>
      </c>
      <c r="O884">
        <f>_xlfn.NORM.S.INV(0.99)*N884*SQRT(10)</f>
        <v>3.1412255796757868E-2</v>
      </c>
      <c r="P884">
        <f>LN(B893)-LN(B884)</f>
        <v>-4.9685897683753311E-3</v>
      </c>
      <c r="Q884">
        <f>IF(P884&lt;-(O884),1,0)</f>
        <v>0</v>
      </c>
    </row>
    <row r="885" spans="1:17">
      <c r="A885" s="64">
        <v>42576</v>
      </c>
      <c r="B885">
        <v>2168.4799800000001</v>
      </c>
      <c r="C885" s="68">
        <f>LN(B885)-LN(B884)</f>
        <v>-3.0160188196024507E-3</v>
      </c>
      <c r="D885" s="68"/>
      <c r="E885" s="68"/>
      <c r="F885" s="68"/>
      <c r="G885" s="68"/>
      <c r="H885" s="68"/>
      <c r="I885">
        <f>_xlfn.STDEV.S(C865:C885)</f>
        <v>1.2008352143680859E-2</v>
      </c>
      <c r="J885">
        <f>_xlfn.NORM.S.INV(0.99)*I885*SQRT(10)</f>
        <v>8.8340137970991051E-2</v>
      </c>
      <c r="K885">
        <f>LN(B894)-LN(B885)</f>
        <v>6.6141262547114721E-3</v>
      </c>
      <c r="L885">
        <f>IF(K885&lt;-(J885),1,0)</f>
        <v>0</v>
      </c>
      <c r="M885" s="72">
        <f t="shared" si="13"/>
        <v>3.1918729664275676E-2</v>
      </c>
      <c r="N885">
        <f>SQRT((N884^2)*0.72+(1-0.72)*(C884^2))</f>
        <v>4.3483277152500475E-3</v>
      </c>
      <c r="O885">
        <f>_xlfn.NORM.S.INV(0.99)*N885*SQRT(10)</f>
        <v>3.1988724656980917E-2</v>
      </c>
      <c r="P885">
        <f>LN(B894)-LN(B885)</f>
        <v>6.6141262547114721E-3</v>
      </c>
      <c r="Q885">
        <f>IF(P885&lt;-(O885),1,0)</f>
        <v>0</v>
      </c>
    </row>
    <row r="886" spans="1:17">
      <c r="A886" s="64">
        <v>42577</v>
      </c>
      <c r="B886">
        <v>2169.179932</v>
      </c>
      <c r="C886" s="68">
        <f>LN(B886)-LN(B885)</f>
        <v>3.2273254255699158E-4</v>
      </c>
      <c r="D886" s="68"/>
      <c r="E886" s="68"/>
      <c r="F886" s="68"/>
      <c r="G886" s="68"/>
      <c r="H886" s="68"/>
      <c r="I886">
        <f>_xlfn.STDEV.S(C866:C886)</f>
        <v>8.3383170089534348E-3</v>
      </c>
      <c r="J886">
        <f>_xlfn.NORM.S.INV(0.99)*I886*SQRT(10)</f>
        <v>6.1341311963809486E-2</v>
      </c>
      <c r="K886">
        <f>LN(B895)-LN(B886)</f>
        <v>5.3838166999504722E-3</v>
      </c>
      <c r="L886">
        <f>IF(K886&lt;-(J886),1,0)</f>
        <v>0</v>
      </c>
      <c r="M886" s="72">
        <f t="shared" si="13"/>
        <v>2.9033726845062838E-2</v>
      </c>
      <c r="N886">
        <f>SQRT((N885^2)*0.72+(1-0.72)*(C885^2))</f>
        <v>4.0200385927858136E-3</v>
      </c>
      <c r="O886">
        <f>_xlfn.NORM.S.INV(0.99)*N886*SQRT(10)</f>
        <v>2.9573646715739223E-2</v>
      </c>
      <c r="P886">
        <f>LN(B895)-LN(B886)</f>
        <v>5.3838166999504722E-3</v>
      </c>
      <c r="Q886">
        <f>IF(P886&lt;-(O886),1,0)</f>
        <v>0</v>
      </c>
    </row>
    <row r="887" spans="1:17">
      <c r="A887" s="64">
        <v>42578</v>
      </c>
      <c r="B887">
        <v>2166.580078</v>
      </c>
      <c r="C887" s="68">
        <f>LN(B887)-LN(B886)</f>
        <v>-1.1992611701758804E-3</v>
      </c>
      <c r="D887" s="68"/>
      <c r="E887" s="68"/>
      <c r="F887" s="68"/>
      <c r="G887" s="68"/>
      <c r="H887" s="68"/>
      <c r="I887">
        <f>_xlfn.STDEV.S(C867:C887)</f>
        <v>6.8657623127238634E-3</v>
      </c>
      <c r="J887">
        <f>_xlfn.NORM.S.INV(0.99)*I887*SQRT(10)</f>
        <v>5.0508378062615891E-2</v>
      </c>
      <c r="K887">
        <f>LN(B896)-LN(B887)</f>
        <v>6.9727955558152033E-3</v>
      </c>
      <c r="L887">
        <f>IF(K887&lt;-(J887),1,0)</f>
        <v>0</v>
      </c>
      <c r="M887" s="72">
        <f t="shared" si="13"/>
        <v>2.4523942874790615E-2</v>
      </c>
      <c r="N887">
        <f>SQRT((N886^2)*0.72+(1-0.72)*(C886^2))</f>
        <v>3.4153879968925886E-3</v>
      </c>
      <c r="O887">
        <f>_xlfn.NORM.S.INV(0.99)*N887*SQRT(10)</f>
        <v>2.5125499590610327E-2</v>
      </c>
      <c r="P887">
        <f>LN(B896)-LN(B887)</f>
        <v>6.9727955558152033E-3</v>
      </c>
      <c r="Q887">
        <f>IF(P887&lt;-(O887),1,0)</f>
        <v>0</v>
      </c>
    </row>
    <row r="888" spans="1:17">
      <c r="A888" s="64">
        <v>42579</v>
      </c>
      <c r="B888">
        <v>2170.0600589999999</v>
      </c>
      <c r="C888" s="68">
        <f>LN(B888)-LN(B887)</f>
        <v>1.6049206929933391E-3</v>
      </c>
      <c r="D888" s="68"/>
      <c r="E888" s="68"/>
      <c r="F888" s="68"/>
      <c r="G888" s="68"/>
      <c r="H888" s="68"/>
      <c r="I888">
        <f>_xlfn.STDEV.S(C868:C888)</f>
        <v>6.1010459590292764E-3</v>
      </c>
      <c r="J888">
        <f>_xlfn.NORM.S.INV(0.99)*I888*SQRT(10)</f>
        <v>4.4882697920515587E-2</v>
      </c>
      <c r="K888">
        <f>LN(B897)-LN(B888)</f>
        <v>2.4990777990243629E-3</v>
      </c>
      <c r="L888">
        <f>IF(K888&lt;-(J888),1,0)</f>
        <v>0</v>
      </c>
      <c r="M888" s="72">
        <f t="shared" si="13"/>
        <v>2.1171421955657247E-2</v>
      </c>
      <c r="N888">
        <f>SQRT((N887^2)*0.72+(1-0.72)*(C887^2))</f>
        <v>2.966717678025766E-3</v>
      </c>
      <c r="O888">
        <f>_xlfn.NORM.S.INV(0.99)*N888*SQRT(10)</f>
        <v>2.1824830406534053E-2</v>
      </c>
      <c r="P888">
        <f>LN(B897)-LN(B888)</f>
        <v>2.4990777990243629E-3</v>
      </c>
      <c r="Q888">
        <f>IF(P888&lt;-(O888),1,0)</f>
        <v>0</v>
      </c>
    </row>
    <row r="889" spans="1:17">
      <c r="A889" s="64">
        <v>42580</v>
      </c>
      <c r="B889">
        <v>2173.6000979999999</v>
      </c>
      <c r="C889" s="68">
        <f>LN(B889)-LN(B888)</f>
        <v>1.6299800885990479E-3</v>
      </c>
      <c r="D889" s="68"/>
      <c r="E889" s="68"/>
      <c r="F889" s="68"/>
      <c r="G889" s="68"/>
      <c r="H889" s="68"/>
      <c r="I889">
        <f>_xlfn.STDEV.S(C869:C889)</f>
        <v>5.2124119912696481E-3</v>
      </c>
      <c r="J889">
        <f>_xlfn.NORM.S.INV(0.99)*I889*SQRT(10)</f>
        <v>3.8345410674246343E-2</v>
      </c>
      <c r="K889">
        <f>LN(B898)-LN(B889)</f>
        <v>5.5925128920097933E-3</v>
      </c>
      <c r="L889">
        <f>IF(K889&lt;-(J889),1,0)</f>
        <v>0</v>
      </c>
      <c r="M889" s="72">
        <f t="shared" si="13"/>
        <v>1.8859950052844493E-2</v>
      </c>
      <c r="N889">
        <f>SQRT((N888^2)*0.72+(1-0.72)*(C888^2))</f>
        <v>2.6567336417155423E-3</v>
      </c>
      <c r="O889">
        <f>_xlfn.NORM.S.INV(0.99)*N889*SQRT(10)</f>
        <v>1.9544414891665918E-2</v>
      </c>
      <c r="P889">
        <f>LN(B898)-LN(B889)</f>
        <v>5.5925128920097933E-3</v>
      </c>
      <c r="Q889">
        <f>IF(P889&lt;-(O889),1,0)</f>
        <v>0</v>
      </c>
    </row>
    <row r="890" spans="1:17">
      <c r="A890" s="64">
        <v>42583</v>
      </c>
      <c r="B890">
        <v>2170.8400879999999</v>
      </c>
      <c r="C890" s="68">
        <f>LN(B890)-LN(B889)</f>
        <v>-1.2705942552555527E-3</v>
      </c>
      <c r="D890" s="68"/>
      <c r="E890" s="68"/>
      <c r="F890" s="68"/>
      <c r="G890" s="68"/>
      <c r="H890" s="68"/>
      <c r="I890">
        <f>_xlfn.STDEV.S(C870:C890)</f>
        <v>4.5888837769302547E-3</v>
      </c>
      <c r="J890">
        <f>_xlfn.NORM.S.INV(0.99)*I890*SQRT(10)</f>
        <v>3.3758389255780216E-2</v>
      </c>
      <c r="K890">
        <f>LN(B899)-LN(B890)</f>
        <v>6.0667438676409446E-3</v>
      </c>
      <c r="L890">
        <f>IF(K890&lt;-(J890),1,0)</f>
        <v>0</v>
      </c>
      <c r="M890" s="72">
        <f t="shared" si="13"/>
        <v>1.7102811071259324E-2</v>
      </c>
      <c r="N890">
        <f>SQRT((N889^2)*0.72+(1-0.72)*(C889^2))</f>
        <v>2.413678116062884E-3</v>
      </c>
      <c r="O890">
        <f>_xlfn.NORM.S.INV(0.99)*N890*SQRT(10)</f>
        <v>1.7756362841404673E-2</v>
      </c>
      <c r="P890">
        <f>LN(B899)-LN(B890)</f>
        <v>6.0667438676409446E-3</v>
      </c>
      <c r="Q890">
        <f>IF(P890&lt;-(O890),1,0)</f>
        <v>0</v>
      </c>
    </row>
    <row r="891" spans="1:17">
      <c r="A891" s="64">
        <v>42584</v>
      </c>
      <c r="B891">
        <v>2157.030029</v>
      </c>
      <c r="C891" s="68">
        <f>LN(B891)-LN(B890)</f>
        <v>-6.3819410006820121E-3</v>
      </c>
      <c r="D891" s="68"/>
      <c r="E891" s="68"/>
      <c r="F891" s="68"/>
      <c r="G891" s="68"/>
      <c r="H891" s="68"/>
      <c r="I891">
        <f>_xlfn.STDEV.S(C871:C891)</f>
        <v>4.9068327843462866E-3</v>
      </c>
      <c r="J891">
        <f>_xlfn.NORM.S.INV(0.99)*I891*SQRT(10)</f>
        <v>3.6097399541854515E-2</v>
      </c>
      <c r="K891">
        <f>LN(B900)-LN(B891)</f>
        <v>1.5237700927196229E-2</v>
      </c>
      <c r="L891">
        <f>IF(K891&lt;-(J891),1,0)</f>
        <v>0</v>
      </c>
      <c r="M891" s="72">
        <f t="shared" si="13"/>
        <v>1.5329304454102216E-2</v>
      </c>
      <c r="N891">
        <f>SQRT((N890^2)*0.72+(1-0.72)*(C890^2))</f>
        <v>2.155606876902322E-3</v>
      </c>
      <c r="O891">
        <f>_xlfn.NORM.S.INV(0.99)*N891*SQRT(10)</f>
        <v>1.585784682513464E-2</v>
      </c>
      <c r="P891">
        <f>LN(B900)-LN(B891)</f>
        <v>1.5237700927196229E-2</v>
      </c>
      <c r="Q891">
        <f>IF(P891&lt;-(O891),1,0)</f>
        <v>0</v>
      </c>
    </row>
    <row r="892" spans="1:17">
      <c r="A892" s="64">
        <v>42585</v>
      </c>
      <c r="B892">
        <v>2163.790039</v>
      </c>
      <c r="C892" s="68">
        <f>LN(B892)-LN(B891)</f>
        <v>3.1290428248178515E-3</v>
      </c>
      <c r="D892" s="68"/>
      <c r="E892" s="68"/>
      <c r="F892" s="68"/>
      <c r="G892" s="68"/>
      <c r="H892" s="68"/>
      <c r="I892">
        <f>_xlfn.STDEV.S(C872:C892)</f>
        <v>4.5561815049456672E-3</v>
      </c>
      <c r="J892">
        <f>_xlfn.NORM.S.INV(0.99)*I892*SQRT(10)</f>
        <v>3.3517813098076221E-2</v>
      </c>
      <c r="K892">
        <f>LN(B901)-LN(B892)</f>
        <v>6.6145158850359209E-3</v>
      </c>
      <c r="L892">
        <f>IF(K892&lt;-(J892),1,0)</f>
        <v>0</v>
      </c>
      <c r="M892" s="72">
        <f t="shared" si="13"/>
        <v>2.8024450229461609E-2</v>
      </c>
      <c r="N892">
        <f>SQRT((N891^2)*0.72+(1-0.72)*(C891^2))</f>
        <v>3.8405402468547432E-3</v>
      </c>
      <c r="O892">
        <f>_xlfn.NORM.S.INV(0.99)*N892*SQRT(10)</f>
        <v>2.8253156738814306E-2</v>
      </c>
      <c r="P892">
        <f>LN(B901)-LN(B892)</f>
        <v>6.6145158850359209E-3</v>
      </c>
      <c r="Q892">
        <f>IF(P892&lt;-(O892),1,0)</f>
        <v>0</v>
      </c>
    </row>
    <row r="893" spans="1:17">
      <c r="A893" s="64">
        <v>42586</v>
      </c>
      <c r="B893">
        <v>2164.25</v>
      </c>
      <c r="C893" s="68">
        <f>LN(B893)-LN(B892)</f>
        <v>2.1254932837333484E-4</v>
      </c>
      <c r="D893" s="68"/>
      <c r="E893" s="68"/>
      <c r="F893" s="68"/>
      <c r="G893" s="68"/>
      <c r="H893" s="68"/>
      <c r="I893">
        <f>_xlfn.STDEV.S(C873:C893)</f>
        <v>4.4874616464407498E-3</v>
      </c>
      <c r="J893">
        <f>_xlfn.NORM.S.INV(0.99)*I893*SQRT(10)</f>
        <v>3.3012271479289999E-2</v>
      </c>
      <c r="K893">
        <f>LN(B902)-LN(B893)</f>
        <v>8.2688128566781316E-3</v>
      </c>
      <c r="L893">
        <f>IF(K893&lt;-(J893),1,0)</f>
        <v>0</v>
      </c>
      <c r="M893" s="72">
        <f t="shared" si="13"/>
        <v>2.6706282235395885E-2</v>
      </c>
      <c r="N893">
        <f>SQRT((N892^2)*0.72+(1-0.72)*(C892^2))</f>
        <v>3.6553076586006172E-3</v>
      </c>
      <c r="O893">
        <f>_xlfn.NORM.S.INV(0.99)*N893*SQRT(10)</f>
        <v>2.6890482476159196E-2</v>
      </c>
      <c r="P893">
        <f>LN(B902)-LN(B893)</f>
        <v>8.2688128566781316E-3</v>
      </c>
      <c r="Q893">
        <f>IF(P893&lt;-(O893),1,0)</f>
        <v>0</v>
      </c>
    </row>
    <row r="894" spans="1:17">
      <c r="A894" s="64">
        <v>42587</v>
      </c>
      <c r="B894">
        <v>2182.8701169999999</v>
      </c>
      <c r="C894" s="68">
        <f>LN(B894)-LN(B893)</f>
        <v>8.5666972034843525E-3</v>
      </c>
      <c r="D894" s="68"/>
      <c r="E894" s="68"/>
      <c r="F894" s="68"/>
      <c r="G894" s="68"/>
      <c r="H894" s="68"/>
      <c r="I894">
        <f>_xlfn.STDEV.S(C874:C894)</f>
        <v>4.7112950610607362E-3</v>
      </c>
      <c r="J894">
        <f>_xlfn.NORM.S.INV(0.99)*I894*SQRT(10)</f>
        <v>3.4658914956551198E-2</v>
      </c>
      <c r="K894">
        <f>LN(B903)-LN(B894)</f>
        <v>1.8993174278660874E-3</v>
      </c>
      <c r="L894">
        <f>IF(K894&lt;-(J894),1,0)</f>
        <v>0</v>
      </c>
      <c r="M894" s="72">
        <f t="shared" si="13"/>
        <v>2.2675775683026155E-2</v>
      </c>
      <c r="N894">
        <f>SQRT((N893^2)*0.72+(1-0.72)*(C893^2))</f>
        <v>3.1036699176386754E-3</v>
      </c>
      <c r="O894">
        <f>_xlfn.NORM.S.INV(0.99)*N894*SQRT(10)</f>
        <v>2.2832327488405288E-2</v>
      </c>
      <c r="P894">
        <f>LN(B903)-LN(B894)</f>
        <v>1.8993174278660874E-3</v>
      </c>
      <c r="Q894">
        <f>IF(P894&lt;-(O894),1,0)</f>
        <v>0</v>
      </c>
    </row>
    <row r="895" spans="1:17">
      <c r="A895" s="64">
        <v>42590</v>
      </c>
      <c r="B895">
        <v>2180.889893</v>
      </c>
      <c r="C895" s="68">
        <f>LN(B895)-LN(B894)</f>
        <v>-9.0757701220400833E-4</v>
      </c>
      <c r="D895" s="68"/>
      <c r="E895" s="68"/>
      <c r="F895" s="68"/>
      <c r="G895" s="68"/>
      <c r="H895" s="68"/>
      <c r="I895">
        <f>_xlfn.STDEV.S(C875:C895)</f>
        <v>3.6331718997274962E-3</v>
      </c>
      <c r="J895">
        <f>_xlfn.NORM.S.INV(0.99)*I895*SQRT(10)</f>
        <v>2.6727639484086116E-2</v>
      </c>
      <c r="K895">
        <f>LN(B904)-LN(B895)</f>
        <v>1.3655845711122439E-3</v>
      </c>
      <c r="L895">
        <f>IF(K895&lt;-(J895),1,0)</f>
        <v>0</v>
      </c>
      <c r="M895" s="72">
        <f t="shared" si="13"/>
        <v>3.8437288582694976E-2</v>
      </c>
      <c r="N895">
        <f>SQRT((N894^2)*0.72+(1-0.72)*(C894^2))</f>
        <v>5.2425486628970884E-3</v>
      </c>
      <c r="O895">
        <f>_xlfn.NORM.S.INV(0.99)*N895*SQRT(10)</f>
        <v>3.8567112844344303E-2</v>
      </c>
      <c r="P895">
        <f>LN(B904)-LN(B895)</f>
        <v>1.3655845711122439E-3</v>
      </c>
      <c r="Q895">
        <f>IF(P895&lt;-(O895),1,0)</f>
        <v>0</v>
      </c>
    </row>
    <row r="896" spans="1:17">
      <c r="A896" s="64">
        <v>42591</v>
      </c>
      <c r="B896">
        <v>2181.73999</v>
      </c>
      <c r="C896" s="68">
        <f>LN(B896)-LN(B895)</f>
        <v>3.8971768568885068E-4</v>
      </c>
      <c r="D896" s="68"/>
      <c r="E896" s="68"/>
      <c r="F896" s="68"/>
      <c r="G896" s="68"/>
      <c r="H896" s="68"/>
      <c r="I896">
        <f>_xlfn.STDEV.S(C876:C896)</f>
        <v>3.5981112511093488E-3</v>
      </c>
      <c r="J896">
        <f>_xlfn.NORM.S.INV(0.99)*I896*SQRT(10)</f>
        <v>2.6469713792099357E-2</v>
      </c>
      <c r="K896">
        <f>LN(B905)-LN(B896)</f>
        <v>4.1238528124409868E-4</v>
      </c>
      <c r="L896">
        <f>IF(K896&lt;-(J896),1,0)</f>
        <v>0</v>
      </c>
      <c r="M896" s="72">
        <f t="shared" si="13"/>
        <v>3.2802162793992867E-2</v>
      </c>
      <c r="N896">
        <f>SQRT((N895^2)*0.72+(1-0.72)*(C895^2))</f>
        <v>4.4742980183387921E-3</v>
      </c>
      <c r="O896">
        <f>_xlfn.NORM.S.INV(0.99)*N896*SQRT(10)</f>
        <v>3.291543248682776E-2</v>
      </c>
      <c r="P896">
        <f>LN(B905)-LN(B896)</f>
        <v>4.1238528124409868E-4</v>
      </c>
      <c r="Q896">
        <f>IF(P896&lt;-(O896),1,0)</f>
        <v>0</v>
      </c>
    </row>
    <row r="897" spans="1:17">
      <c r="A897" s="64">
        <v>42592</v>
      </c>
      <c r="B897">
        <v>2175.48999</v>
      </c>
      <c r="C897" s="68">
        <f>LN(B897)-LN(B896)</f>
        <v>-2.8687970637975013E-3</v>
      </c>
      <c r="D897" s="68"/>
      <c r="E897" s="68"/>
      <c r="F897" s="68"/>
      <c r="G897" s="68"/>
      <c r="H897" s="68"/>
      <c r="I897">
        <f>_xlfn.STDEV.S(C877:C897)</f>
        <v>3.4140927162679639E-3</v>
      </c>
      <c r="J897">
        <f>_xlfn.NORM.S.INV(0.99)*I897*SQRT(10)</f>
        <v>2.5115970783683165E-2</v>
      </c>
      <c r="K897">
        <f>LN(B906)-LN(B897)</f>
        <v>5.2310491729308239E-3</v>
      </c>
      <c r="L897">
        <f>IF(K897&lt;-(J897),1,0)</f>
        <v>0</v>
      </c>
      <c r="M897" s="72">
        <f t="shared" si="13"/>
        <v>2.785627710533704E-2</v>
      </c>
      <c r="N897">
        <f>SQRT((N896^2)*0.72+(1-0.72)*(C896^2))</f>
        <v>3.8021642718123511E-3</v>
      </c>
      <c r="O897">
        <f>_xlfn.NORM.S.INV(0.99)*N897*SQRT(10)</f>
        <v>2.7970841655990869E-2</v>
      </c>
      <c r="P897">
        <f>LN(B906)-LN(B897)</f>
        <v>5.2310491729308239E-3</v>
      </c>
      <c r="Q897">
        <f>IF(P897&lt;-(O897),1,0)</f>
        <v>0</v>
      </c>
    </row>
    <row r="898" spans="1:17">
      <c r="A898" s="64">
        <v>42593</v>
      </c>
      <c r="B898">
        <v>2185.790039</v>
      </c>
      <c r="C898" s="68">
        <f>LN(B898)-LN(B897)</f>
        <v>4.7234151815844783E-3</v>
      </c>
      <c r="D898" s="68"/>
      <c r="E898" s="68"/>
      <c r="F898" s="68"/>
      <c r="G898" s="68"/>
      <c r="H898" s="68"/>
      <c r="I898">
        <f>_xlfn.STDEV.S(C878:C898)</f>
        <v>3.5333728120208324E-3</v>
      </c>
      <c r="J898">
        <f>_xlfn.NORM.S.INV(0.99)*I898*SQRT(10)</f>
        <v>2.5993461715821297E-2</v>
      </c>
      <c r="K898">
        <f>LN(B907)-LN(B898)</f>
        <v>-4.7464212978836073E-3</v>
      </c>
      <c r="L898">
        <f>IF(K898&lt;-(J898),1,0)</f>
        <v>0</v>
      </c>
      <c r="M898" s="72">
        <f t="shared" si="13"/>
        <v>2.6142135018567884E-2</v>
      </c>
      <c r="N898">
        <f>SQRT((N897^2)*0.72+(1-0.72)*(C897^2))</f>
        <v>3.5655357681560642E-3</v>
      </c>
      <c r="O898">
        <f>_xlfn.NORM.S.INV(0.99)*N898*SQRT(10)</f>
        <v>2.6230070365246726E-2</v>
      </c>
      <c r="P898">
        <f>LN(B907)-LN(B898)</f>
        <v>-4.7464212978836073E-3</v>
      </c>
      <c r="Q898">
        <f>IF(P898&lt;-(O898),1,0)</f>
        <v>0</v>
      </c>
    </row>
    <row r="899" spans="1:17">
      <c r="A899" s="64">
        <v>42594</v>
      </c>
      <c r="B899">
        <v>2184.0500489999999</v>
      </c>
      <c r="C899" s="68">
        <f>LN(B899)-LN(B898)</f>
        <v>-7.9636327962440134E-4</v>
      </c>
      <c r="D899" s="68"/>
      <c r="E899" s="68"/>
      <c r="F899" s="68"/>
      <c r="G899" s="68"/>
      <c r="H899" s="68"/>
      <c r="I899">
        <f>_xlfn.STDEV.S(C879:C899)</f>
        <v>3.3906171765385163E-3</v>
      </c>
      <c r="J899">
        <f>_xlfn.NORM.S.INV(0.99)*I899*SQRT(10)</f>
        <v>2.494327161615132E-2</v>
      </c>
      <c r="K899">
        <f>LN(B908)-LN(B899)</f>
        <v>-5.3162180915080626E-3</v>
      </c>
      <c r="L899">
        <f>IF(K899&lt;-(J899),1,0)</f>
        <v>0</v>
      </c>
      <c r="M899" s="72">
        <f t="shared" si="13"/>
        <v>2.8801940138779555E-2</v>
      </c>
      <c r="N899">
        <f>SQRT((N898^2)*0.72+(1-0.72)*(C898^2))</f>
        <v>3.9243311404383993E-3</v>
      </c>
      <c r="O899">
        <f>_xlfn.NORM.S.INV(0.99)*N899*SQRT(10)</f>
        <v>2.8869569299948935E-2</v>
      </c>
      <c r="P899">
        <f>LN(B908)-LN(B899)</f>
        <v>-5.3162180915080626E-3</v>
      </c>
      <c r="Q899">
        <f>IF(P899&lt;-(O899),1,0)</f>
        <v>0</v>
      </c>
    </row>
    <row r="900" spans="1:17">
      <c r="A900" s="64">
        <v>42597</v>
      </c>
      <c r="B900">
        <v>2190.1499020000001</v>
      </c>
      <c r="C900" s="68">
        <f>LN(B900)-LN(B899)</f>
        <v>2.7890160588732726E-3</v>
      </c>
      <c r="D900" s="68"/>
      <c r="E900" s="68"/>
      <c r="F900" s="68"/>
      <c r="G900" s="68"/>
      <c r="H900" s="68"/>
      <c r="I900">
        <f>_xlfn.STDEV.S(C880:C900)</f>
        <v>3.4122955180705557E-3</v>
      </c>
      <c r="J900">
        <f>_xlfn.NORM.S.INV(0.99)*I900*SQRT(10)</f>
        <v>2.510274959106484E-2</v>
      </c>
      <c r="K900">
        <f>LN(B909)-LN(B900)</f>
        <v>-9.6852985545625714E-3</v>
      </c>
      <c r="L900">
        <f>IF(K900&lt;-(J900),1,0)</f>
        <v>0</v>
      </c>
      <c r="M900" s="72">
        <f t="shared" si="13"/>
        <v>2.4634712500375293E-2</v>
      </c>
      <c r="N900">
        <f>SQRT((N899^2)*0.72+(1-0.72)*(C899^2))</f>
        <v>3.3564630759691113E-3</v>
      </c>
      <c r="O900">
        <f>_xlfn.NORM.S.INV(0.99)*N900*SQRT(10)</f>
        <v>2.4692014997385024E-2</v>
      </c>
      <c r="P900">
        <f>LN(B909)-LN(B900)</f>
        <v>-9.6852985545625714E-3</v>
      </c>
      <c r="Q900">
        <f>IF(P900&lt;-(O900),1,0)</f>
        <v>0</v>
      </c>
    </row>
    <row r="901" spans="1:17">
      <c r="A901" s="64">
        <v>42598</v>
      </c>
      <c r="B901">
        <v>2178.1499020000001</v>
      </c>
      <c r="C901" s="68">
        <f>LN(B901)-LN(B900)</f>
        <v>-5.494142217342457E-3</v>
      </c>
      <c r="D901" s="68"/>
      <c r="E901" s="68"/>
      <c r="F901" s="68"/>
      <c r="G901" s="68"/>
      <c r="H901" s="68"/>
      <c r="I901">
        <f>_xlfn.STDEV.S(C881:C901)</f>
        <v>3.6348147483177538E-3</v>
      </c>
      <c r="J901">
        <f>_xlfn.NORM.S.INV(0.99)*I901*SQRT(10)</f>
        <v>2.6739725194880767E-2</v>
      </c>
      <c r="K901">
        <f>LN(B910)-LN(B901)</f>
        <v>1.0232722062637478E-3</v>
      </c>
      <c r="L901">
        <f>IF(K901&lt;-(J901),1,0)</f>
        <v>0</v>
      </c>
      <c r="M901" s="72">
        <f t="shared" si="13"/>
        <v>2.3552008807466992E-2</v>
      </c>
      <c r="N901">
        <f>SQRT((N900^2)*0.72+(1-0.72)*(C900^2))</f>
        <v>3.2077124115653726E-3</v>
      </c>
      <c r="O901">
        <f>_xlfn.NORM.S.INV(0.99)*N901*SQRT(10)</f>
        <v>2.3597722120271333E-2</v>
      </c>
      <c r="P901">
        <f>LN(B910)-LN(B901)</f>
        <v>1.0232722062637478E-3</v>
      </c>
      <c r="Q901">
        <f>IF(P901&lt;-(O901),1,0)</f>
        <v>0</v>
      </c>
    </row>
    <row r="902" spans="1:17">
      <c r="A902" s="64">
        <v>42599</v>
      </c>
      <c r="B902">
        <v>2182.219971</v>
      </c>
      <c r="C902" s="68">
        <f>LN(B902)-LN(B901)</f>
        <v>1.8668463000155455E-3</v>
      </c>
      <c r="D902" s="68"/>
      <c r="E902" s="68"/>
      <c r="F902" s="68"/>
      <c r="G902" s="68"/>
      <c r="H902" s="68"/>
      <c r="I902">
        <f>_xlfn.STDEV.S(C882:C902)</f>
        <v>3.6298074045300623E-3</v>
      </c>
      <c r="J902">
        <f>_xlfn.NORM.S.INV(0.99)*I902*SQRT(10)</f>
        <v>2.6702888380322025E-2</v>
      </c>
      <c r="K902">
        <f>LN(B911)-LN(B902)</f>
        <v>-2.7991656730312897E-3</v>
      </c>
      <c r="L902">
        <f>IF(K902&lt;-(J902),1,0)</f>
        <v>0</v>
      </c>
      <c r="M902" s="72">
        <f t="shared" si="13"/>
        <v>2.9270286636180462E-2</v>
      </c>
      <c r="N902">
        <f>SQRT((N901^2)*0.72+(1-0.72)*(C901^2))</f>
        <v>3.9825053994001439E-3</v>
      </c>
      <c r="O902">
        <f>_xlfn.NORM.S.INV(0.99)*N902*SQRT(10)</f>
        <v>2.9297531604980526E-2</v>
      </c>
      <c r="P902">
        <f>LN(B911)-LN(B902)</f>
        <v>-2.7991656730312897E-3</v>
      </c>
      <c r="Q902">
        <f>IF(P902&lt;-(O902),1,0)</f>
        <v>0</v>
      </c>
    </row>
    <row r="903" spans="1:17">
      <c r="A903" s="64">
        <v>42600</v>
      </c>
      <c r="B903">
        <v>2187.0200199999999</v>
      </c>
      <c r="C903" s="68">
        <f>LN(B903)-LN(B902)</f>
        <v>2.1972017746723083E-3</v>
      </c>
      <c r="D903" s="68"/>
      <c r="E903" s="68"/>
      <c r="F903" s="68"/>
      <c r="G903" s="68"/>
      <c r="H903" s="68"/>
      <c r="I903">
        <f>_xlfn.STDEV.S(C883:C903)</f>
        <v>3.5471472872776627E-3</v>
      </c>
      <c r="J903">
        <f>_xlfn.NORM.S.INV(0.99)*I903*SQRT(10)</f>
        <v>2.6094794440753643E-2</v>
      </c>
      <c r="K903">
        <f>LN(B912)-LN(B903)</f>
        <v>-7.3750585462741824E-3</v>
      </c>
      <c r="L903">
        <f>IF(K903&lt;-(J903),1,0)</f>
        <v>0</v>
      </c>
      <c r="M903" s="72">
        <f t="shared" si="13"/>
        <v>2.5870545091227753E-2</v>
      </c>
      <c r="N903">
        <f>SQRT((N902^2)*0.72+(1-0.72)*(C902^2))</f>
        <v>3.5206936382917247E-3</v>
      </c>
      <c r="O903">
        <f>_xlfn.NORM.S.INV(0.99)*N903*SQRT(10)</f>
        <v>2.5900186640008586E-2</v>
      </c>
      <c r="P903">
        <f>LN(B912)-LN(B903)</f>
        <v>-7.3750585462741824E-3</v>
      </c>
      <c r="Q903">
        <f>IF(P903&lt;-(O903),1,0)</f>
        <v>0</v>
      </c>
    </row>
    <row r="904" spans="1:17">
      <c r="A904" s="64">
        <v>42601</v>
      </c>
      <c r="B904">
        <v>2183.8701169999999</v>
      </c>
      <c r="C904" s="68">
        <f>LN(B904)-LN(B903)</f>
        <v>-1.4413098689578518E-3</v>
      </c>
      <c r="D904" s="68"/>
      <c r="E904" s="68"/>
      <c r="F904" s="68"/>
      <c r="G904" s="68"/>
      <c r="H904" s="68"/>
      <c r="I904">
        <f>_xlfn.STDEV.S(C884:C904)</f>
        <v>3.4573616257157413E-3</v>
      </c>
      <c r="J904">
        <f>_xlfn.NORM.S.INV(0.99)*I904*SQRT(10)</f>
        <v>2.5434281021818748E-2</v>
      </c>
      <c r="K904">
        <f>LN(B913)-LN(B904)</f>
        <v>-5.9751341818934378E-3</v>
      </c>
      <c r="L904">
        <f>IF(K904&lt;-(J904),1,0)</f>
        <v>0</v>
      </c>
      <c r="M904" s="72">
        <f t="shared" si="13"/>
        <v>2.3553399324741573E-2</v>
      </c>
      <c r="N904">
        <f>SQRT((N903^2)*0.72+(1-0.72)*(C903^2))</f>
        <v>3.2056760658251342E-3</v>
      </c>
      <c r="O904">
        <f>_xlfn.NORM.S.INV(0.99)*N904*SQRT(10)</f>
        <v>2.3582741624904698E-2</v>
      </c>
      <c r="P904">
        <f>LN(B913)-LN(B904)</f>
        <v>-5.9751341818934378E-3</v>
      </c>
      <c r="Q904">
        <f>IF(P904&lt;-(O904),1,0)</f>
        <v>0</v>
      </c>
    </row>
    <row r="905" spans="1:17">
      <c r="A905" s="64">
        <v>42604</v>
      </c>
      <c r="B905">
        <v>2182.639893</v>
      </c>
      <c r="C905" s="68">
        <f>LN(B905)-LN(B904)</f>
        <v>-5.6348160417929449E-4</v>
      </c>
      <c r="D905" s="68"/>
      <c r="E905" s="68"/>
      <c r="F905" s="68"/>
      <c r="G905" s="68"/>
      <c r="H905" s="68"/>
      <c r="I905">
        <f>_xlfn.STDEV.S(C885:C905)</f>
        <v>3.3292699637755508E-3</v>
      </c>
      <c r="J905">
        <f>_xlfn.NORM.S.INV(0.99)*I905*SQRT(10)</f>
        <v>2.4491967292729396E-2</v>
      </c>
      <c r="K905">
        <f>LN(B914)-LN(B905)</f>
        <v>-1.2194109993686197E-3</v>
      </c>
      <c r="L905">
        <f>IF(K905&lt;-(J905),1,0)</f>
        <v>0</v>
      </c>
      <c r="M905" s="72">
        <f t="shared" si="13"/>
        <v>2.0747763157265099E-2</v>
      </c>
      <c r="N905">
        <f>SQRT((N904^2)*0.72+(1-0.72)*(C904^2))</f>
        <v>2.8250032330640689E-3</v>
      </c>
      <c r="O905">
        <f>_xlfn.NORM.S.INV(0.99)*N905*SQRT(10)</f>
        <v>2.0782299885226296E-2</v>
      </c>
      <c r="P905">
        <f>LN(B914)-LN(B905)</f>
        <v>-1.2194109993686197E-3</v>
      </c>
      <c r="Q905">
        <f>IF(P905&lt;-(O905),1,0)</f>
        <v>0</v>
      </c>
    </row>
    <row r="906" spans="1:17">
      <c r="A906" s="64">
        <v>42605</v>
      </c>
      <c r="B906">
        <v>2186.8999020000001</v>
      </c>
      <c r="C906" s="68">
        <f>LN(B906)-LN(B905)</f>
        <v>1.9498668278892239E-3</v>
      </c>
      <c r="D906" s="68"/>
      <c r="E906" s="68"/>
      <c r="F906" s="68"/>
      <c r="G906" s="68"/>
      <c r="H906" s="68"/>
      <c r="I906">
        <f>_xlfn.STDEV.S(C886:C906)</f>
        <v>3.2677230837449252E-3</v>
      </c>
      <c r="J906">
        <f>_xlfn.NORM.S.INV(0.99)*I906*SQRT(10)</f>
        <v>2.4039194105489832E-2</v>
      </c>
      <c r="K906">
        <f>LN(B915)-LN(B906)</f>
        <v>-1.9203545661294896E-4</v>
      </c>
      <c r="L906">
        <f>IF(K906&lt;-(J906),1,0)</f>
        <v>0</v>
      </c>
      <c r="M906" s="72">
        <f t="shared" si="13"/>
        <v>1.7735735319183474E-2</v>
      </c>
      <c r="N906">
        <f>SQRT((N905^2)*0.72+(1-0.72)*(C905^2))</f>
        <v>2.4155675062439734E-3</v>
      </c>
      <c r="O906">
        <f>_xlfn.NORM.S.INV(0.99)*N906*SQRT(10)</f>
        <v>1.7770262249689955E-2</v>
      </c>
      <c r="P906">
        <f>LN(B915)-LN(B906)</f>
        <v>-1.9203545661294896E-4</v>
      </c>
      <c r="Q906">
        <f>IF(P906&lt;-(O906),1,0)</f>
        <v>0</v>
      </c>
    </row>
    <row r="907" spans="1:17">
      <c r="A907" s="64">
        <v>42606</v>
      </c>
      <c r="B907">
        <v>2175.4399410000001</v>
      </c>
      <c r="C907" s="68">
        <f>LN(B907)-LN(B906)</f>
        <v>-5.254055289229953E-3</v>
      </c>
      <c r="D907" s="68"/>
      <c r="E907" s="68"/>
      <c r="F907" s="68"/>
      <c r="G907" s="68"/>
      <c r="H907" s="68"/>
      <c r="I907">
        <f>_xlfn.STDEV.S(C887:C907)</f>
        <v>3.4933705472869792E-3</v>
      </c>
      <c r="J907">
        <f>_xlfn.NORM.S.INV(0.99)*I907*SQRT(10)</f>
        <v>2.5699182738701167E-2</v>
      </c>
      <c r="K907">
        <f>LN(B916)-LN(B907)</f>
        <v>4.9156240586780697E-3</v>
      </c>
      <c r="L907">
        <f>IF(K907&lt;-(J907),1,0)</f>
        <v>0</v>
      </c>
      <c r="M907" s="72">
        <f t="shared" si="13"/>
        <v>1.6854996263920147E-2</v>
      </c>
      <c r="N907">
        <f>SQRT((N906^2)*0.72+(1-0.72)*(C906^2))</f>
        <v>2.2947179287704238E-3</v>
      </c>
      <c r="O907">
        <f>_xlfn.NORM.S.INV(0.99)*N907*SQRT(10)</f>
        <v>1.6881225334382029E-2</v>
      </c>
      <c r="P907">
        <f>LN(B916)-LN(B907)</f>
        <v>4.9156240586780697E-3</v>
      </c>
      <c r="Q907">
        <f>IF(P907&lt;-(O907),1,0)</f>
        <v>0</v>
      </c>
    </row>
    <row r="908" spans="1:17">
      <c r="A908" s="64">
        <v>42607</v>
      </c>
      <c r="B908">
        <v>2172.469971</v>
      </c>
      <c r="C908" s="68">
        <f>LN(B908)-LN(B907)</f>
        <v>-1.3661600732488566E-3</v>
      </c>
      <c r="D908" s="68"/>
      <c r="E908" s="68"/>
      <c r="F908" s="68"/>
      <c r="G908" s="68"/>
      <c r="H908" s="68"/>
      <c r="I908">
        <f>_xlfn.STDEV.S(C888:C908)</f>
        <v>3.4967513542350516E-3</v>
      </c>
      <c r="J908">
        <f>_xlfn.NORM.S.INV(0.99)*I908*SQRT(10)</f>
        <v>2.5724053840803479E-2</v>
      </c>
      <c r="K908">
        <f>LN(B917)-LN(B908)</f>
        <v>4.0562960682821725E-3</v>
      </c>
      <c r="L908">
        <f>IF(K908&lt;-(J908),1,0)</f>
        <v>0</v>
      </c>
      <c r="M908" s="72">
        <f t="shared" si="13"/>
        <v>2.4956428769626036E-2</v>
      </c>
      <c r="N908">
        <f>SQRT((N907^2)*0.72+(1-0.72)*(C907^2))</f>
        <v>3.3942234786953221E-3</v>
      </c>
      <c r="O908">
        <f>_xlfn.NORM.S.INV(0.99)*N908*SQRT(10)</f>
        <v>2.496980158681553E-2</v>
      </c>
      <c r="P908">
        <f>LN(B917)-LN(B908)</f>
        <v>4.0562960682821725E-3</v>
      </c>
      <c r="Q908">
        <f>IF(P908&lt;-(O908),1,0)</f>
        <v>0</v>
      </c>
    </row>
    <row r="909" spans="1:17">
      <c r="A909" s="64">
        <v>42608</v>
      </c>
      <c r="B909">
        <v>2169.040039</v>
      </c>
      <c r="C909" s="68">
        <f>LN(B909)-LN(B908)</f>
        <v>-1.5800644041812362E-3</v>
      </c>
      <c r="D909" s="68"/>
      <c r="E909" s="68"/>
      <c r="F909" s="68"/>
      <c r="G909" s="68"/>
      <c r="H909" s="68"/>
      <c r="I909">
        <f>_xlfn.STDEV.S(C889:C909)</f>
        <v>3.4986188362207873E-3</v>
      </c>
      <c r="J909">
        <f>_xlfn.NORM.S.INV(0.99)*I909*SQRT(10)</f>
        <v>2.5737792080180899E-2</v>
      </c>
      <c r="K909">
        <f>LN(B918)-LN(B909)</f>
        <v>-1.9191381826243692E-2</v>
      </c>
      <c r="L909">
        <f>IF(K909&lt;-(J909),1,0)</f>
        <v>0</v>
      </c>
      <c r="M909" s="72">
        <f t="shared" si="13"/>
        <v>2.1832547249256498E-2</v>
      </c>
      <c r="N909">
        <f>SQRT((N908^2)*0.72+(1-0.72)*(C908^2))</f>
        <v>2.9694329953043465E-3</v>
      </c>
      <c r="O909">
        <f>_xlfn.NORM.S.INV(0.99)*N909*SQRT(10)</f>
        <v>2.1844805795343005E-2</v>
      </c>
      <c r="P909">
        <f>LN(B918)-LN(B909)</f>
        <v>-1.9191381826243692E-2</v>
      </c>
      <c r="Q909">
        <f>IF(P909&lt;-(O909),1,0)</f>
        <v>0</v>
      </c>
    </row>
    <row r="910" spans="1:17">
      <c r="A910" s="64">
        <v>42611</v>
      </c>
      <c r="B910">
        <v>2180.3798830000001</v>
      </c>
      <c r="C910" s="68">
        <f>LN(B910)-LN(B909)</f>
        <v>5.2144285434838622E-3</v>
      </c>
      <c r="D910" s="68"/>
      <c r="E910" s="68"/>
      <c r="F910" s="68"/>
      <c r="G910" s="68"/>
      <c r="H910" s="68"/>
      <c r="I910">
        <f>_xlfn.STDEV.S(C890:C910)</f>
        <v>3.6666659355220127E-3</v>
      </c>
      <c r="J910">
        <f>_xlfn.NORM.S.INV(0.99)*I910*SQRT(10)</f>
        <v>2.6974040298110378E-2</v>
      </c>
      <c r="K910">
        <f>LN(B919)-LN(B910)</f>
        <v>-9.8354233561650517E-3</v>
      </c>
      <c r="L910">
        <f>IF(K910&lt;-(J910),1,0)</f>
        <v>0</v>
      </c>
      <c r="M910" s="72">
        <f t="shared" si="13"/>
        <v>1.9518469396132065E-2</v>
      </c>
      <c r="N910">
        <f>SQRT((N909^2)*0.72+(1-0.72)*(C909^2))</f>
        <v>2.6547452329318748E-3</v>
      </c>
      <c r="O910">
        <f>_xlfn.NORM.S.INV(0.99)*N910*SQRT(10)</f>
        <v>1.952978704729642E-2</v>
      </c>
      <c r="P910">
        <f>LN(B919)-LN(B910)</f>
        <v>-9.8354233561650517E-3</v>
      </c>
      <c r="Q910">
        <f>IF(P910&lt;-(O910),1,0)</f>
        <v>0</v>
      </c>
    </row>
    <row r="911" spans="1:17">
      <c r="A911" s="64">
        <v>42612</v>
      </c>
      <c r="B911">
        <v>2176.1201169999999</v>
      </c>
      <c r="C911" s="68">
        <f>LN(B911)-LN(B910)</f>
        <v>-1.955591579279492E-3</v>
      </c>
      <c r="D911" s="68"/>
      <c r="E911" s="68"/>
      <c r="F911" s="68"/>
      <c r="G911" s="68"/>
      <c r="H911" s="68"/>
      <c r="I911">
        <f>_xlfn.STDEV.S(C891:C911)</f>
        <v>3.6829304661366606E-3</v>
      </c>
      <c r="J911">
        <f>_xlfn.NORM.S.INV(0.99)*I911*SQRT(10)</f>
        <v>2.7093691259486248E-2</v>
      </c>
      <c r="K911">
        <f>LN(B920)-LN(B911)</f>
        <v>-2.2821579805770043E-2</v>
      </c>
      <c r="L911">
        <f>IF(K911&lt;-(J911),1,0)</f>
        <v>0</v>
      </c>
      <c r="M911" s="72">
        <f t="shared" si="13"/>
        <v>2.6197078824740556E-2</v>
      </c>
      <c r="N911">
        <f>SQRT((N910^2)*0.72+(1-0.72)*(C910^2))</f>
        <v>3.56196550111107E-3</v>
      </c>
      <c r="O911">
        <f>_xlfn.NORM.S.INV(0.99)*N911*SQRT(10)</f>
        <v>2.6203805488969421E-2</v>
      </c>
      <c r="P911">
        <f>LN(B920)-LN(B911)</f>
        <v>-2.2821579805770043E-2</v>
      </c>
      <c r="Q911">
        <f>IF(P911&lt;-(O911),1,0)</f>
        <v>0</v>
      </c>
    </row>
    <row r="912" spans="1:17">
      <c r="A912" s="64">
        <v>42613</v>
      </c>
      <c r="B912">
        <v>2170.9499510000001</v>
      </c>
      <c r="C912" s="68">
        <f>LN(B912)-LN(B911)</f>
        <v>-2.3786910985705845E-3</v>
      </c>
      <c r="D912" s="68"/>
      <c r="E912" s="68"/>
      <c r="F912" s="68"/>
      <c r="G912" s="68"/>
      <c r="H912" s="68"/>
      <c r="I912">
        <f>_xlfn.STDEV.S(C892:C912)</f>
        <v>3.4243188706891536E-3</v>
      </c>
      <c r="J912">
        <f>_xlfn.NORM.S.INV(0.99)*I912*SQRT(10)</f>
        <v>2.5191200080898264E-2</v>
      </c>
      <c r="K912">
        <f>LN(B921)-LN(B912)</f>
        <v>-2.1030738106882829E-2</v>
      </c>
      <c r="L912">
        <f>IF(K912&lt;-(J912),1,0)</f>
        <v>0</v>
      </c>
      <c r="M912" s="72">
        <f t="shared" si="13"/>
        <v>2.3477922975767944E-2</v>
      </c>
      <c r="N912">
        <f>SQRT((N911^2)*0.72+(1-0.72)*(C911^2))</f>
        <v>3.1946651601351891E-3</v>
      </c>
      <c r="O912">
        <f>_xlfn.NORM.S.INV(0.99)*N912*SQRT(10)</f>
        <v>2.3501739259534592E-2</v>
      </c>
      <c r="P912">
        <f>LN(B921)-LN(B912)</f>
        <v>-2.1030738106882829E-2</v>
      </c>
      <c r="Q912">
        <f>IF(P912&lt;-(O912),1,0)</f>
        <v>0</v>
      </c>
    </row>
    <row r="913" spans="1:17">
      <c r="A913" s="64">
        <v>42614</v>
      </c>
      <c r="B913">
        <v>2170.860107</v>
      </c>
      <c r="C913" s="68">
        <f>LN(B913)-LN(B912)</f>
        <v>-4.1385504577107213E-5</v>
      </c>
      <c r="D913" s="68"/>
      <c r="E913" s="68"/>
      <c r="F913" s="68"/>
      <c r="G913" s="68"/>
      <c r="H913" s="68"/>
      <c r="I913">
        <f>_xlfn.STDEV.S(C893:C913)</f>
        <v>3.3629869855649986E-3</v>
      </c>
      <c r="J913">
        <f>_xlfn.NORM.S.INV(0.99)*I913*SQRT(10)</f>
        <v>2.4740008516138903E-2</v>
      </c>
      <c r="K913">
        <f>LN(B922)-LN(B913)</f>
        <v>-1.0930836264223309E-2</v>
      </c>
      <c r="L913">
        <f>IF(K913&lt;-(J913),1,0)</f>
        <v>0</v>
      </c>
      <c r="M913" s="72">
        <f t="shared" si="13"/>
        <v>2.1963726845235936E-2</v>
      </c>
      <c r="N913">
        <f>SQRT((N912^2)*0.72+(1-0.72)*(C912^2))</f>
        <v>2.9887330970416294E-3</v>
      </c>
      <c r="O913">
        <f>_xlfn.NORM.S.INV(0.99)*N913*SQRT(10)</f>
        <v>2.1986788111478108E-2</v>
      </c>
      <c r="P913">
        <f>LN(B922)-LN(B913)</f>
        <v>-1.0930836264223309E-2</v>
      </c>
      <c r="Q913">
        <f>IF(P913&lt;-(O913),1,0)</f>
        <v>0</v>
      </c>
    </row>
    <row r="914" spans="1:17">
      <c r="A914" s="64">
        <v>42615</v>
      </c>
      <c r="B914">
        <v>2179.9799800000001</v>
      </c>
      <c r="C914" s="68">
        <f>LN(B914)-LN(B913)</f>
        <v>4.1922415783455236E-3</v>
      </c>
      <c r="D914" s="68"/>
      <c r="E914" s="68"/>
      <c r="F914" s="68"/>
      <c r="G914" s="68"/>
      <c r="H914" s="68"/>
      <c r="I914">
        <f>_xlfn.STDEV.S(C894:C914)</f>
        <v>3.4765841730640761E-3</v>
      </c>
      <c r="J914">
        <f>_xlfn.NORM.S.INV(0.99)*I914*SQRT(10)</f>
        <v>2.5575692804600238E-2</v>
      </c>
      <c r="K914">
        <f>LN(B923)-LN(B914)</f>
        <v>-1.8902505798421565E-2</v>
      </c>
      <c r="L914">
        <f>IF(K914&lt;-(J914),1,0)</f>
        <v>0</v>
      </c>
      <c r="M914" s="72">
        <f t="shared" si="13"/>
        <v>1.863751078321442E-2</v>
      </c>
      <c r="N914">
        <f>SQRT((N913^2)*0.72+(1-0.72)*(C913^2))</f>
        <v>2.5361186784238674E-3</v>
      </c>
      <c r="O914">
        <f>_xlfn.NORM.S.INV(0.99)*N914*SQRT(10)</f>
        <v>1.8657103929173899E-2</v>
      </c>
      <c r="P914">
        <f>LN(B923)-LN(B914)</f>
        <v>-1.8902505798421565E-2</v>
      </c>
      <c r="Q914">
        <f>IF(P914&lt;-(O914),1,0)</f>
        <v>1</v>
      </c>
    </row>
    <row r="915" spans="1:17">
      <c r="A915" s="64">
        <v>42619</v>
      </c>
      <c r="B915">
        <v>2186.4799800000001</v>
      </c>
      <c r="C915" s="68">
        <f>LN(B915)-LN(B914)</f>
        <v>2.9772423706448947E-3</v>
      </c>
      <c r="D915" s="68"/>
      <c r="E915" s="68"/>
      <c r="F915" s="68"/>
      <c r="G915" s="68"/>
      <c r="H915" s="68"/>
      <c r="I915">
        <f>_xlfn.STDEV.S(C895:C915)</f>
        <v>2.9964623618542879E-3</v>
      </c>
      <c r="J915">
        <f>_xlfn.NORM.S.INV(0.99)*I915*SQRT(10)</f>
        <v>2.2043648895688526E-2</v>
      </c>
      <c r="K915">
        <f>LN(B924)-LN(B915)</f>
        <v>-2.1898351439413766E-2</v>
      </c>
      <c r="L915">
        <f>IF(K915&lt;-(J915),1,0)</f>
        <v>0</v>
      </c>
      <c r="M915" s="72">
        <f t="shared" si="13"/>
        <v>2.2690433540148224E-2</v>
      </c>
      <c r="N915">
        <f>SQRT((N914^2)*0.72+(1-0.72)*(C914^2))</f>
        <v>3.0906205802548482E-3</v>
      </c>
      <c r="O915">
        <f>_xlfn.NORM.S.INV(0.99)*N915*SQRT(10)</f>
        <v>2.273632928222977E-2</v>
      </c>
      <c r="P915">
        <f>LN(B924)-LN(B915)</f>
        <v>-2.1898351439413766E-2</v>
      </c>
      <c r="Q915">
        <f>IF(P915&lt;-(O915),1,0)</f>
        <v>0</v>
      </c>
    </row>
    <row r="916" spans="1:17">
      <c r="A916" s="64">
        <v>42620</v>
      </c>
      <c r="B916">
        <v>2186.1599120000001</v>
      </c>
      <c r="C916" s="68">
        <f>LN(B916)-LN(B915)</f>
        <v>-1.4639577393893433E-4</v>
      </c>
      <c r="D916" s="68"/>
      <c r="E916" s="68"/>
      <c r="F916" s="68"/>
      <c r="G916" s="68"/>
      <c r="H916" s="68"/>
      <c r="I916">
        <f>_xlfn.STDEV.S(C896:C916)</f>
        <v>2.9885288521022497E-3</v>
      </c>
      <c r="J916">
        <f>_xlfn.NORM.S.INV(0.99)*I916*SQRT(10)</f>
        <v>2.1985285571753353E-2</v>
      </c>
      <c r="K916">
        <f>LN(B925)-LN(B916)</f>
        <v>-2.1452861984054827E-2</v>
      </c>
      <c r="L916">
        <f>IF(K916&lt;-(J916),1,0)</f>
        <v>0</v>
      </c>
      <c r="M916" s="72">
        <f t="shared" si="13"/>
        <v>2.2472141198208524E-2</v>
      </c>
      <c r="N916">
        <f>SQRT((N915^2)*0.72+(1-0.72)*(C915^2))</f>
        <v>3.0592982542710628E-3</v>
      </c>
      <c r="O916">
        <f>_xlfn.NORM.S.INV(0.99)*N916*SQRT(10)</f>
        <v>2.2505904777195909E-2</v>
      </c>
      <c r="P916">
        <f>LN(B925)-LN(B916)</f>
        <v>-2.1452861984054827E-2</v>
      </c>
      <c r="Q916">
        <f>IF(P916&lt;-(O916),1,0)</f>
        <v>0</v>
      </c>
    </row>
    <row r="917" spans="1:17">
      <c r="A917" s="64">
        <v>42621</v>
      </c>
      <c r="B917">
        <v>2181.3000489999999</v>
      </c>
      <c r="C917" s="68">
        <f>LN(B917)-LN(B916)</f>
        <v>-2.2254880636447538E-3</v>
      </c>
      <c r="D917" s="68"/>
      <c r="E917" s="68"/>
      <c r="F917" s="68"/>
      <c r="G917" s="68"/>
      <c r="H917" s="68"/>
      <c r="I917">
        <f>_xlfn.STDEV.S(C897:C917)</f>
        <v>3.0306968139782388E-3</v>
      </c>
      <c r="J917">
        <f>_xlfn.NORM.S.INV(0.99)*I917*SQRT(10)</f>
        <v>2.2295496625319156E-2</v>
      </c>
      <c r="K917">
        <f>LN(B926)-LN(B917)</f>
        <v>-8.3693737829877435E-3</v>
      </c>
      <c r="L917">
        <f>IF(K917&lt;-(J917),1,0)</f>
        <v>0</v>
      </c>
      <c r="M917" s="72">
        <f t="shared" si="13"/>
        <v>1.9076673428327764E-2</v>
      </c>
      <c r="N917">
        <f>SQRT((N916^2)*0.72+(1-0.72)*(C916^2))</f>
        <v>2.5970562305266919E-3</v>
      </c>
      <c r="O917">
        <f>_xlfn.NORM.S.INV(0.99)*N917*SQRT(10)</f>
        <v>1.9105394560225284E-2</v>
      </c>
      <c r="P917">
        <f>LN(B926)-LN(B917)</f>
        <v>-8.3693737829877435E-3</v>
      </c>
      <c r="Q917">
        <f>IF(P917&lt;-(O917),1,0)</f>
        <v>0</v>
      </c>
    </row>
    <row r="918" spans="1:17">
      <c r="A918" s="64">
        <v>42622</v>
      </c>
      <c r="B918">
        <v>2127.8100589999999</v>
      </c>
      <c r="C918" s="68">
        <f>LN(B918)-LN(B917)</f>
        <v>-2.4827742298707101E-2</v>
      </c>
      <c r="D918" s="68"/>
      <c r="E918" s="68"/>
      <c r="F918" s="68"/>
      <c r="G918" s="68"/>
      <c r="H918" s="68"/>
      <c r="I918">
        <f>_xlfn.STDEV.S(C898:C918)</f>
        <v>6.1988136871782744E-3</v>
      </c>
      <c r="J918">
        <f>_xlfn.NORM.S.INV(0.99)*I918*SQRT(10)</f>
        <v>4.5601931874554628E-2</v>
      </c>
      <c r="K918">
        <f>LN(B927)-LN(B918)</f>
        <v>2.2937120685106116E-2</v>
      </c>
      <c r="L918">
        <f>IF(K918&lt;-(J918),1,0)</f>
        <v>0</v>
      </c>
      <c r="M918" s="72">
        <f t="shared" si="13"/>
        <v>1.8354793759459923E-2</v>
      </c>
      <c r="N918">
        <f>SQRT((N917^2)*0.72+(1-0.72)*(C917^2))</f>
        <v>2.4985931962709907E-3</v>
      </c>
      <c r="O918">
        <f>_xlfn.NORM.S.INV(0.99)*N918*SQRT(10)</f>
        <v>1.8381045546545807E-2</v>
      </c>
      <c r="P918">
        <f>LN(B927)-LN(B918)</f>
        <v>2.2937120685106116E-2</v>
      </c>
      <c r="Q918">
        <f>IF(P918&lt;-(O918),1,0)</f>
        <v>0</v>
      </c>
    </row>
    <row r="919" spans="1:17">
      <c r="A919" s="64">
        <v>42625</v>
      </c>
      <c r="B919">
        <v>2159.040039</v>
      </c>
      <c r="C919" s="68">
        <f>LN(B919)-LN(B918)</f>
        <v>1.4570387013562502E-2</v>
      </c>
      <c r="D919" s="68"/>
      <c r="E919" s="68"/>
      <c r="F919" s="68"/>
      <c r="G919" s="68"/>
      <c r="H919" s="68"/>
      <c r="I919">
        <f>_xlfn.STDEV.S(C899:C919)</f>
        <v>6.9808897873816457E-3</v>
      </c>
      <c r="J919">
        <f>_xlfn.NORM.S.INV(0.99)*I919*SQRT(10)</f>
        <v>5.1355319997182E-2</v>
      </c>
      <c r="K919">
        <f>LN(B928)-LN(B919)</f>
        <v>2.6134403590898359E-3</v>
      </c>
      <c r="L919">
        <f>IF(K919&lt;-(J919),1,0)</f>
        <v>0</v>
      </c>
      <c r="M919" s="72">
        <f t="shared" si="13"/>
        <v>9.7892002893160288E-2</v>
      </c>
      <c r="N919">
        <f>SQRT((N918^2)*0.72+(1-0.72)*(C918^2))</f>
        <v>1.3307578197170511E-2</v>
      </c>
      <c r="O919">
        <f>_xlfn.NORM.S.INV(0.99)*N919*SQRT(10)</f>
        <v>9.7897969674084429E-2</v>
      </c>
      <c r="P919">
        <f>LN(B928)-LN(B919)</f>
        <v>2.6134403590898359E-3</v>
      </c>
      <c r="Q919">
        <f>IF(P919&lt;-(O919),1,0)</f>
        <v>0</v>
      </c>
    </row>
    <row r="920" spans="1:17">
      <c r="A920" s="64">
        <v>42626</v>
      </c>
      <c r="B920">
        <v>2127.0200199999999</v>
      </c>
      <c r="C920" s="68">
        <f>LN(B920)-LN(B919)</f>
        <v>-1.4941748028884483E-2</v>
      </c>
      <c r="D920" s="68"/>
      <c r="E920" s="68"/>
      <c r="F920" s="68"/>
      <c r="G920" s="68"/>
      <c r="H920" s="68"/>
      <c r="I920">
        <f>_xlfn.STDEV.S(C900:C920)</f>
        <v>7.6523238751730503E-3</v>
      </c>
      <c r="J920">
        <f>_xlfn.NORM.S.INV(0.99)*I920*SQRT(10)</f>
        <v>5.6294763748016063E-2</v>
      </c>
      <c r="K920">
        <f>LN(B929)-LN(B920)</f>
        <v>8.9303386179029332E-3</v>
      </c>
      <c r="L920">
        <f>IF(K920&lt;-(J920),1,0)</f>
        <v>0</v>
      </c>
      <c r="M920" s="72">
        <f t="shared" si="13"/>
        <v>0.10058142463216391</v>
      </c>
      <c r="N920">
        <f>SQRT((N919^2)*0.72+(1-0.72)*(C919^2))</f>
        <v>1.3672926122236568E-2</v>
      </c>
      <c r="O920">
        <f>_xlfn.NORM.S.INV(0.99)*N920*SQRT(10)</f>
        <v>0.1005856728428106</v>
      </c>
      <c r="P920">
        <f>LN(B929)-LN(B920)</f>
        <v>8.9303386179029332E-3</v>
      </c>
      <c r="Q920">
        <f>IF(P920&lt;-(O920),1,0)</f>
        <v>0</v>
      </c>
    </row>
    <row r="921" spans="1:17">
      <c r="A921" s="64">
        <v>42627</v>
      </c>
      <c r="B921">
        <v>2125.7700199999999</v>
      </c>
      <c r="C921" s="68">
        <f>LN(B921)-LN(B920)</f>
        <v>-5.8784939968337113E-4</v>
      </c>
      <c r="D921" s="68"/>
      <c r="E921" s="68"/>
      <c r="F921" s="68"/>
      <c r="G921" s="68"/>
      <c r="H921" s="68"/>
      <c r="I921">
        <f>_xlfn.STDEV.S(C901:C921)</f>
        <v>7.5982753706393845E-3</v>
      </c>
      <c r="J921">
        <f>_xlfn.NORM.S.INV(0.99)*I921*SQRT(10)</f>
        <v>5.5897152794364753E-2</v>
      </c>
      <c r="K921">
        <f>LN(B930)-LN(B921)</f>
        <v>1.5941683189093503E-2</v>
      </c>
      <c r="L921">
        <f>IF(K921&lt;-(J921),1,0)</f>
        <v>0</v>
      </c>
      <c r="M921" s="72">
        <f t="shared" ref="M921:M984" si="14">EWMAV(B900:B920,0.72,0.99)*SQRT(10)</f>
        <v>0.10328052547910375</v>
      </c>
      <c r="N921">
        <f>SQRT((N920^2)*0.72+(1-0.72)*(C920^2))</f>
        <v>1.4039759537122019E-2</v>
      </c>
      <c r="O921">
        <f>_xlfn.NORM.S.INV(0.99)*N921*SQRT(10)</f>
        <v>0.10328430410342061</v>
      </c>
      <c r="P921">
        <f>LN(B930)-LN(B921)</f>
        <v>1.5941683189093503E-2</v>
      </c>
      <c r="Q921">
        <f>IF(P921&lt;-(O921),1,0)</f>
        <v>0</v>
      </c>
    </row>
    <row r="922" spans="1:17">
      <c r="A922" s="64">
        <v>42628</v>
      </c>
      <c r="B922">
        <v>2147.26001</v>
      </c>
      <c r="C922" s="68">
        <f>LN(B922)-LN(B921)</f>
        <v>1.0058516338082413E-2</v>
      </c>
      <c r="D922" s="68"/>
      <c r="E922" s="68"/>
      <c r="F922" s="68"/>
      <c r="G922" s="68"/>
      <c r="H922" s="68"/>
      <c r="I922">
        <f>_xlfn.STDEV.S(C902:C922)</f>
        <v>7.9320195093075443E-3</v>
      </c>
      <c r="J922">
        <f>_xlfn.NORM.S.INV(0.99)*I922*SQRT(10)</f>
        <v>5.8352360878220745E-2</v>
      </c>
      <c r="K922">
        <f>LN(B931)-LN(B922)</f>
        <v>1.1165743201919653E-2</v>
      </c>
      <c r="L922">
        <f>IF(K922&lt;-(J922),1,0)</f>
        <v>0</v>
      </c>
      <c r="M922" s="72">
        <f t="shared" si="14"/>
        <v>8.7662646170519942E-2</v>
      </c>
      <c r="N922">
        <f>SQRT((N921^2)*0.72+(1-0.72)*(C921^2))</f>
        <v>1.1917191330008448E-2</v>
      </c>
      <c r="O922">
        <f>_xlfn.NORM.S.INV(0.99)*N922*SQRT(10)</f>
        <v>8.7669508165917731E-2</v>
      </c>
      <c r="P922">
        <f>LN(B931)-LN(B922)</f>
        <v>1.1165743201919653E-2</v>
      </c>
      <c r="Q922">
        <f>IF(P922&lt;-(O922),1,0)</f>
        <v>0</v>
      </c>
    </row>
    <row r="923" spans="1:17">
      <c r="A923" s="64">
        <v>42629</v>
      </c>
      <c r="B923">
        <v>2139.1599120000001</v>
      </c>
      <c r="C923" s="68">
        <f>LN(B923)-LN(B922)</f>
        <v>-3.7794279558527322E-3</v>
      </c>
      <c r="D923" s="68"/>
      <c r="E923" s="68"/>
      <c r="F923" s="68"/>
      <c r="G923" s="68"/>
      <c r="H923" s="68"/>
      <c r="I923">
        <f>_xlfn.STDEV.S(C903:C923)</f>
        <v>7.9370613091011896E-3</v>
      </c>
      <c r="J923">
        <f>_xlfn.NORM.S.INV(0.99)*I923*SQRT(10)</f>
        <v>5.8389451170382703E-2</v>
      </c>
      <c r="K923">
        <f>LN(B932)-LN(B923)</f>
        <v>5.5800436012054533E-3</v>
      </c>
      <c r="L923">
        <f>IF(K923&lt;-(J923),1,0)</f>
        <v>0</v>
      </c>
      <c r="M923" s="72">
        <f t="shared" si="14"/>
        <v>8.4059830392556018E-2</v>
      </c>
      <c r="N923">
        <f>SQRT((N922^2)*0.72+(1-0.72)*(C922^2))</f>
        <v>1.1427276739438507E-2</v>
      </c>
      <c r="O923">
        <f>_xlfn.NORM.S.INV(0.99)*N923*SQRT(10)</f>
        <v>8.4065423108524995E-2</v>
      </c>
      <c r="P923">
        <f>LN(B932)-LN(B923)</f>
        <v>5.5800436012054533E-3</v>
      </c>
      <c r="Q923">
        <f>IF(P923&lt;-(O923),1,0)</f>
        <v>0</v>
      </c>
    </row>
    <row r="924" spans="1:17">
      <c r="A924" s="64">
        <v>42632</v>
      </c>
      <c r="B924">
        <v>2139.1201169999999</v>
      </c>
      <c r="C924" s="68">
        <f>LN(B924)-LN(B923)</f>
        <v>-1.8603270347306022E-5</v>
      </c>
      <c r="D924" s="68"/>
      <c r="E924" s="68"/>
      <c r="F924" s="68"/>
      <c r="G924" s="68"/>
      <c r="H924" s="68"/>
      <c r="I924">
        <f>_xlfn.STDEV.S(C904:C924)</f>
        <v>7.907818885292784E-3</v>
      </c>
      <c r="J924">
        <f>_xlfn.NORM.S.INV(0.99)*I924*SQRT(10)</f>
        <v>5.8174327586153027E-2</v>
      </c>
      <c r="K924">
        <f>LN(B933)-LN(B924)</f>
        <v>1.3535039588603581E-2</v>
      </c>
      <c r="L924">
        <f>IF(K924&lt;-(J924),1,0)</f>
        <v>0</v>
      </c>
      <c r="M924" s="72">
        <f t="shared" si="14"/>
        <v>7.2827934665171332E-2</v>
      </c>
      <c r="N924">
        <f>SQRT((N923^2)*0.72+(1-0.72)*(C923^2))</f>
        <v>9.9004571529787248E-3</v>
      </c>
      <c r="O924">
        <f>_xlfn.NORM.S.INV(0.99)*N924*SQRT(10)</f>
        <v>7.2833286399772143E-2</v>
      </c>
      <c r="P924">
        <f>LN(B933)-LN(B924)</f>
        <v>1.3535039588603581E-2</v>
      </c>
      <c r="Q924">
        <f>IF(P924&lt;-(O924),1,0)</f>
        <v>0</v>
      </c>
    </row>
    <row r="925" spans="1:17">
      <c r="A925" s="64">
        <v>42633</v>
      </c>
      <c r="B925">
        <v>2139.76001</v>
      </c>
      <c r="C925" s="68">
        <f>LN(B925)-LN(B924)</f>
        <v>2.9909368142000403E-4</v>
      </c>
      <c r="D925" s="68"/>
      <c r="E925" s="68"/>
      <c r="F925" s="68"/>
      <c r="G925" s="68"/>
      <c r="H925" s="68"/>
      <c r="I925">
        <f>_xlfn.STDEV.S(C905:C925)</f>
        <v>7.9126812163649845E-3</v>
      </c>
      <c r="J925">
        <f>_xlfn.NORM.S.INV(0.99)*I925*SQRT(10)</f>
        <v>5.8210097606272306E-2</v>
      </c>
      <c r="K925">
        <f>LN(B934)-LN(B925)</f>
        <v>9.9699224299421019E-3</v>
      </c>
      <c r="L925">
        <f>IF(K925&lt;-(J925),1,0)</f>
        <v>0</v>
      </c>
      <c r="M925" s="72">
        <f t="shared" si="14"/>
        <v>6.1796237177043183E-2</v>
      </c>
      <c r="N925">
        <f>SQRT((N924^2)*0.72+(1-0.72)*(C924^2))</f>
        <v>8.4008222351269635E-3</v>
      </c>
      <c r="O925">
        <f>_xlfn.NORM.S.INV(0.99)*N925*SQRT(10)</f>
        <v>6.1801135279948925E-2</v>
      </c>
      <c r="P925">
        <f>LN(B934)-LN(B925)</f>
        <v>9.9699224299421019E-3</v>
      </c>
      <c r="Q925">
        <f>IF(P925&lt;-(O925),1,0)</f>
        <v>0</v>
      </c>
    </row>
    <row r="926" spans="1:17">
      <c r="A926" s="64">
        <v>42634</v>
      </c>
      <c r="B926">
        <v>2163.1201169999999</v>
      </c>
      <c r="C926" s="68">
        <f>LN(B926)-LN(B925)</f>
        <v>1.085800013742233E-2</v>
      </c>
      <c r="D926" s="68"/>
      <c r="E926" s="68"/>
      <c r="F926" s="68"/>
      <c r="G926" s="68"/>
      <c r="H926" s="68"/>
      <c r="I926">
        <f>_xlfn.STDEV.S(C906:C926)</f>
        <v>8.3239800148911646E-3</v>
      </c>
      <c r="J926">
        <f>_xlfn.NORM.S.INV(0.99)*I926*SQRT(10)</f>
        <v>6.1235841036708399E-2</v>
      </c>
      <c r="K926">
        <f>LN(B935)-LN(B926)</f>
        <v>-5.8559595233012018E-3</v>
      </c>
      <c r="L926">
        <f>IF(K926&lt;-(J926),1,0)</f>
        <v>0</v>
      </c>
      <c r="M926" s="72">
        <f t="shared" si="14"/>
        <v>5.2448706129676621E-2</v>
      </c>
      <c r="N926">
        <f>SQRT((N925^2)*0.72+(1-0.72)*(C925^2))</f>
        <v>7.1300907575809229E-3</v>
      </c>
      <c r="O926">
        <f>_xlfn.NORM.S.INV(0.99)*N926*SQRT(10)</f>
        <v>5.245292557495862E-2</v>
      </c>
      <c r="P926">
        <f>LN(B935)-LN(B926)</f>
        <v>-5.8559595233012018E-3</v>
      </c>
      <c r="Q926">
        <f>IF(P926&lt;-(O926),1,0)</f>
        <v>0</v>
      </c>
    </row>
    <row r="927" spans="1:17">
      <c r="A927" s="64">
        <v>42635</v>
      </c>
      <c r="B927">
        <v>2177.179932</v>
      </c>
      <c r="C927" s="68">
        <f>LN(B927)-LN(B926)</f>
        <v>6.4787521693867589E-3</v>
      </c>
      <c r="D927" s="68"/>
      <c r="E927" s="68"/>
      <c r="F927" s="68"/>
      <c r="G927" s="68"/>
      <c r="H927" s="68"/>
      <c r="I927">
        <f>_xlfn.STDEV.S(C907:C927)</f>
        <v>8.4464287216704341E-3</v>
      </c>
      <c r="J927">
        <f>_xlfn.NORM.S.INV(0.99)*I927*SQRT(10)</f>
        <v>6.2136642039362408E-2</v>
      </c>
      <c r="K927">
        <f>LN(B936)-LN(B927)</f>
        <v>-8.0472255695447359E-3</v>
      </c>
      <c r="L927">
        <f>IF(K927&lt;-(J927),1,0)</f>
        <v>0</v>
      </c>
      <c r="M927" s="72">
        <f t="shared" si="14"/>
        <v>6.1376378435926804E-2</v>
      </c>
      <c r="N927">
        <f>SQRT((N926^2)*0.72+(1-0.72)*(C926^2))</f>
        <v>8.3435260284701693E-3</v>
      </c>
      <c r="O927">
        <f>_xlfn.NORM.S.INV(0.99)*N927*SQRT(10)</f>
        <v>6.1379632417548353E-2</v>
      </c>
      <c r="P927">
        <f>LN(B936)-LN(B927)</f>
        <v>-8.0472255695447359E-3</v>
      </c>
      <c r="Q927">
        <f>IF(P927&lt;-(O927),1,0)</f>
        <v>0</v>
      </c>
    </row>
    <row r="928" spans="1:17">
      <c r="A928" s="64">
        <v>42636</v>
      </c>
      <c r="B928">
        <v>2164.6899410000001</v>
      </c>
      <c r="C928" s="68">
        <f>LN(B928)-LN(B927)</f>
        <v>-5.7532933124537777E-3</v>
      </c>
      <c r="D928" s="68"/>
      <c r="E928" s="68"/>
      <c r="F928" s="68"/>
      <c r="G928" s="68"/>
      <c r="H928" s="68"/>
      <c r="I928">
        <f>_xlfn.STDEV.S(C908:C928)</f>
        <v>8.4620174418516061E-3</v>
      </c>
      <c r="J928">
        <f>_xlfn.NORM.S.INV(0.99)*I928*SQRT(10)</f>
        <v>6.2251321362146977E-2</v>
      </c>
      <c r="K928">
        <f>LN(B937)-LN(B928)</f>
        <v>-1.8124879705094799E-3</v>
      </c>
      <c r="L928">
        <f>IF(K928&lt;-(J928),1,0)</f>
        <v>0</v>
      </c>
      <c r="M928" s="72">
        <f t="shared" si="14"/>
        <v>5.7859701183260184E-2</v>
      </c>
      <c r="N928">
        <f>SQRT((N927^2)*0.72+(1-0.72)*(C927^2))</f>
        <v>7.8660772594375174E-3</v>
      </c>
      <c r="O928">
        <f>_xlfn.NORM.S.INV(0.99)*N928*SQRT(10)</f>
        <v>5.7867252898213588E-2</v>
      </c>
      <c r="P928">
        <f>LN(B937)-LN(B928)</f>
        <v>-1.8124879705094799E-3</v>
      </c>
      <c r="Q928">
        <f>IF(P928&lt;-(O928),1,0)</f>
        <v>0</v>
      </c>
    </row>
    <row r="929" spans="1:17">
      <c r="A929" s="64">
        <v>42639</v>
      </c>
      <c r="B929">
        <v>2146.1000979999999</v>
      </c>
      <c r="C929" s="68">
        <f>LN(B929)-LN(B928)</f>
        <v>-8.6248497700713855E-3</v>
      </c>
      <c r="D929" s="68"/>
      <c r="E929" s="68"/>
      <c r="F929" s="68"/>
      <c r="G929" s="68"/>
      <c r="H929" s="68"/>
      <c r="I929">
        <f>_xlfn.STDEV.S(C909:C929)</f>
        <v>8.6565087593557903E-3</v>
      </c>
      <c r="J929">
        <f>_xlfn.NORM.S.INV(0.99)*I929*SQRT(10)</f>
        <v>6.3682108002720367E-2</v>
      </c>
      <c r="K929">
        <f>LN(B938)-LN(B929)</f>
        <v>3.553574032189033E-3</v>
      </c>
      <c r="L929">
        <f>IF(K929&lt;-(J929),1,0)</f>
        <v>0</v>
      </c>
      <c r="M929" s="72">
        <f t="shared" si="14"/>
        <v>5.3962180890891956E-2</v>
      </c>
      <c r="N929">
        <f>SQRT((N928^2)*0.72+(1-0.72)*(C928^2))</f>
        <v>7.3360909855311853E-3</v>
      </c>
      <c r="O929">
        <f>_xlfn.NORM.S.INV(0.99)*N929*SQRT(10)</f>
        <v>5.3968378181730996E-2</v>
      </c>
      <c r="P929">
        <f>LN(B938)-LN(B929)</f>
        <v>3.553574032189033E-3</v>
      </c>
      <c r="Q929">
        <f>IF(P929&lt;-(O929),1,0)</f>
        <v>0</v>
      </c>
    </row>
    <row r="930" spans="1:17">
      <c r="A930" s="64">
        <v>42640</v>
      </c>
      <c r="B930">
        <v>2159.929932</v>
      </c>
      <c r="C930" s="68">
        <f>LN(B930)-LN(B929)</f>
        <v>6.4234951715071986E-3</v>
      </c>
      <c r="D930" s="68"/>
      <c r="E930" s="68"/>
      <c r="F930" s="68"/>
      <c r="G930" s="68"/>
      <c r="H930" s="68"/>
      <c r="I930">
        <f>_xlfn.STDEV.S(C910:C930)</f>
        <v>8.7855737180946337E-3</v>
      </c>
      <c r="J930">
        <f>_xlfn.NORM.S.INV(0.99)*I930*SQRT(10)</f>
        <v>6.463158184607444E-2</v>
      </c>
      <c r="K930">
        <f>LN(B939)-LN(B930)</f>
        <v>1.7254092362772866E-3</v>
      </c>
      <c r="L930">
        <f>IF(K930&lt;-(J930),1,0)</f>
        <v>0</v>
      </c>
      <c r="M930" s="72">
        <f t="shared" si="14"/>
        <v>5.6778091764321512E-2</v>
      </c>
      <c r="N930">
        <f>SQRT((N929^2)*0.72+(1-0.72)*(C929^2))</f>
        <v>7.7186641122877157E-3</v>
      </c>
      <c r="O930">
        <f>_xlfn.NORM.S.INV(0.99)*N930*SQRT(10)</f>
        <v>5.6782799544236595E-2</v>
      </c>
      <c r="P930">
        <f>LN(B939)-LN(B930)</f>
        <v>1.7254092362772866E-3</v>
      </c>
      <c r="Q930">
        <f>IF(P930&lt;-(O930),1,0)</f>
        <v>0</v>
      </c>
    </row>
    <row r="931" spans="1:17">
      <c r="A931" s="64">
        <v>42641</v>
      </c>
      <c r="B931">
        <v>2171.3701169999999</v>
      </c>
      <c r="C931" s="68">
        <f>LN(B931)-LN(B930)</f>
        <v>5.2825763509085633E-3</v>
      </c>
      <c r="D931" s="68"/>
      <c r="E931" s="68"/>
      <c r="F931" s="68"/>
      <c r="G931" s="68"/>
      <c r="H931" s="68"/>
      <c r="I931">
        <f>_xlfn.STDEV.S(C911:C931)</f>
        <v>8.7876861425119687E-3</v>
      </c>
      <c r="J931">
        <f>_xlfn.NORM.S.INV(0.99)*I931*SQRT(10)</f>
        <v>6.4647122018634984E-2</v>
      </c>
      <c r="K931">
        <f>LN(B940)-LN(B931)</f>
        <v>-1.6081744981213397E-2</v>
      </c>
      <c r="L931">
        <f>IF(K931&lt;-(J931),1,0)</f>
        <v>0</v>
      </c>
      <c r="M931" s="72">
        <f t="shared" si="14"/>
        <v>5.4274935220267155E-2</v>
      </c>
      <c r="N931">
        <f>SQRT((N930^2)*0.72+(1-0.72)*(C930^2))</f>
        <v>7.378967390464234E-3</v>
      </c>
      <c r="O931">
        <f>_xlfn.NORM.S.INV(0.99)*N931*SQRT(10)</f>
        <v>5.4283800937673314E-2</v>
      </c>
      <c r="P931">
        <f>LN(B940)-LN(B931)</f>
        <v>-1.6081744981213397E-2</v>
      </c>
      <c r="Q931">
        <f>IF(P931&lt;-(O931),1,0)</f>
        <v>0</v>
      </c>
    </row>
    <row r="932" spans="1:17">
      <c r="A932" s="64">
        <v>42642</v>
      </c>
      <c r="B932">
        <v>2151.1298830000001</v>
      </c>
      <c r="C932" s="68">
        <f>LN(B932)-LN(B931)</f>
        <v>-9.3651275565669323E-3</v>
      </c>
      <c r="D932" s="68"/>
      <c r="E932" s="68"/>
      <c r="F932" s="68"/>
      <c r="G932" s="68"/>
      <c r="H932" s="68"/>
      <c r="I932">
        <f>_xlfn.STDEV.S(C912:C932)</f>
        <v>9.0078118185478867E-3</v>
      </c>
      <c r="J932">
        <f>_xlfn.NORM.S.INV(0.99)*I932*SQRT(10)</f>
        <v>6.6266489302280449E-2</v>
      </c>
      <c r="K932">
        <f>LN(B941)-LN(B932)</f>
        <v>-5.570684830873418E-3</v>
      </c>
      <c r="L932">
        <f>IF(K932&lt;-(J932),1,0)</f>
        <v>0</v>
      </c>
      <c r="M932" s="72">
        <f t="shared" si="14"/>
        <v>5.0435447897263661E-2</v>
      </c>
      <c r="N932">
        <f>SQRT((N931^2)*0.72+(1-0.72)*(C931^2))</f>
        <v>6.8568919076032429E-3</v>
      </c>
      <c r="O932">
        <f>_xlfn.NORM.S.INV(0.99)*N932*SQRT(10)</f>
        <v>5.044312241364439E-2</v>
      </c>
      <c r="P932">
        <f>LN(B941)-LN(B932)</f>
        <v>-5.570684830873418E-3</v>
      </c>
      <c r="Q932">
        <f>IF(P932&lt;-(O932),1,0)</f>
        <v>0</v>
      </c>
    </row>
    <row r="933" spans="1:17">
      <c r="A933" s="64">
        <v>42643</v>
      </c>
      <c r="B933">
        <v>2168.2700199999999</v>
      </c>
      <c r="C933" s="68">
        <f>LN(B933)-LN(B932)</f>
        <v>7.9363927170508219E-3</v>
      </c>
      <c r="D933" s="68"/>
      <c r="E933" s="68"/>
      <c r="F933" s="68"/>
      <c r="G933" s="68"/>
      <c r="H933" s="68"/>
      <c r="I933">
        <f>_xlfn.STDEV.S(C913:C933)</f>
        <v>9.1826515921817342E-3</v>
      </c>
      <c r="J933">
        <f>_xlfn.NORM.S.INV(0.99)*I933*SQRT(10)</f>
        <v>6.7552708222314267E-2</v>
      </c>
      <c r="K933">
        <f>LN(B942)-LN(B933)</f>
        <v>-1.6611154047558863E-2</v>
      </c>
      <c r="L933">
        <f>IF(K933&lt;-(J933),1,0)</f>
        <v>0</v>
      </c>
      <c r="M933" s="72">
        <f t="shared" si="14"/>
        <v>5.6217421324811535E-2</v>
      </c>
      <c r="N933">
        <f>SQRT((N932^2)*0.72+(1-0.72)*(C932^2))</f>
        <v>7.6426296480763016E-3</v>
      </c>
      <c r="O933">
        <f>_xlfn.NORM.S.INV(0.99)*N933*SQRT(10)</f>
        <v>5.622344760496812E-2</v>
      </c>
      <c r="P933">
        <f>LN(B942)-LN(B933)</f>
        <v>-1.6611154047558863E-2</v>
      </c>
      <c r="Q933">
        <f>IF(P933&lt;-(O933),1,0)</f>
        <v>0</v>
      </c>
    </row>
    <row r="934" spans="1:17">
      <c r="A934" s="64">
        <v>42646</v>
      </c>
      <c r="B934">
        <v>2161.1999510000001</v>
      </c>
      <c r="C934" s="68">
        <f>LN(B934)-LN(B933)</f>
        <v>-3.2660234772414753E-3</v>
      </c>
      <c r="D934" s="68"/>
      <c r="E934" s="68"/>
      <c r="F934" s="68"/>
      <c r="G934" s="68"/>
      <c r="H934" s="68"/>
      <c r="I934">
        <f>_xlfn.STDEV.S(C914:C934)</f>
        <v>9.2092684313316384E-3</v>
      </c>
      <c r="J934">
        <f>_xlfn.NORM.S.INV(0.99)*I934*SQRT(10)</f>
        <v>6.7748516540951195E-2</v>
      </c>
      <c r="K934">
        <f>LN(B943)-LN(B934)</f>
        <v>-1.3143546711555487E-2</v>
      </c>
      <c r="L934">
        <f>IF(K934&lt;-(J934),1,0)</f>
        <v>0</v>
      </c>
      <c r="M934" s="72">
        <f t="shared" si="14"/>
        <v>5.6832542415188335E-2</v>
      </c>
      <c r="N934">
        <f>SQRT((N933^2)*0.72+(1-0.72)*(C933^2))</f>
        <v>7.7260092891287399E-3</v>
      </c>
      <c r="O934">
        <f>_xlfn.NORM.S.INV(0.99)*N934*SQRT(10)</f>
        <v>5.6836834763040439E-2</v>
      </c>
      <c r="P934">
        <f>LN(B943)-LN(B934)</f>
        <v>-1.3143546711555487E-2</v>
      </c>
      <c r="Q934">
        <f>IF(P934&lt;-(O934),1,0)</f>
        <v>0</v>
      </c>
    </row>
    <row r="935" spans="1:17">
      <c r="A935" s="64">
        <v>42647</v>
      </c>
      <c r="B935">
        <v>2150.48999</v>
      </c>
      <c r="C935" s="68">
        <f>LN(B935)-LN(B934)</f>
        <v>-4.9678818158209737E-3</v>
      </c>
      <c r="D935" s="68"/>
      <c r="E935" s="68"/>
      <c r="F935" s="68"/>
      <c r="G935" s="68"/>
      <c r="H935" s="68"/>
      <c r="I935">
        <f>_xlfn.STDEV.S(C915:C935)</f>
        <v>9.2071469709049895E-3</v>
      </c>
      <c r="J935">
        <f>_xlfn.NORM.S.INV(0.99)*I935*SQRT(10)</f>
        <v>6.7732909894464829E-2</v>
      </c>
      <c r="K935">
        <f>LN(B944)-LN(B935)</f>
        <v>-1.121828278781134E-2</v>
      </c>
      <c r="L935">
        <f>IF(K935&lt;-(J935),1,0)</f>
        <v>0</v>
      </c>
      <c r="M935" s="72">
        <f t="shared" si="14"/>
        <v>4.9868034884108535E-2</v>
      </c>
      <c r="N935">
        <f>SQRT((N934^2)*0.72+(1-0.72)*(C934^2))</f>
        <v>6.7797059438294578E-3</v>
      </c>
      <c r="O935">
        <f>_xlfn.NORM.S.INV(0.99)*N935*SQRT(10)</f>
        <v>4.9875299401159839E-2</v>
      </c>
      <c r="P935">
        <f>LN(B944)-LN(B935)</f>
        <v>-1.121828278781134E-2</v>
      </c>
      <c r="Q935">
        <f>IF(P935&lt;-(O935),1,0)</f>
        <v>0</v>
      </c>
    </row>
    <row r="936" spans="1:17">
      <c r="A936" s="64">
        <v>42648</v>
      </c>
      <c r="B936">
        <v>2159.7299800000001</v>
      </c>
      <c r="C936" s="68">
        <f>LN(B936)-LN(B935)</f>
        <v>4.2874861231432249E-3</v>
      </c>
      <c r="D936" s="68"/>
      <c r="E936" s="68"/>
      <c r="F936" s="68"/>
      <c r="G936" s="68"/>
      <c r="H936" s="68"/>
      <c r="I936">
        <f>_xlfn.STDEV.S(C916:C936)</f>
        <v>9.2373359057542938E-3</v>
      </c>
      <c r="J936">
        <f>_xlfn.NORM.S.INV(0.99)*I936*SQRT(10)</f>
        <v>6.7954996541981089E-2</v>
      </c>
      <c r="K936">
        <f>LN(B945)-LN(B936)</f>
        <v>-9.3642631445955971E-3</v>
      </c>
      <c r="L936">
        <f>IF(K936&lt;-(J936),1,0)</f>
        <v>0</v>
      </c>
      <c r="M936" s="72">
        <f t="shared" si="14"/>
        <v>4.6522081360431282E-2</v>
      </c>
      <c r="N936">
        <f>SQRT((N935^2)*0.72+(1-0.72)*(C935^2))</f>
        <v>6.3249296485513246E-3</v>
      </c>
      <c r="O936">
        <f>_xlfn.NORM.S.INV(0.99)*N936*SQRT(10)</f>
        <v>4.6529711248005312E-2</v>
      </c>
      <c r="P936">
        <f>LN(B945)-LN(B936)</f>
        <v>-9.3642631445955971E-3</v>
      </c>
      <c r="Q936">
        <f>IF(P936&lt;-(O936),1,0)</f>
        <v>0</v>
      </c>
    </row>
    <row r="937" spans="1:17">
      <c r="A937" s="64">
        <v>42649</v>
      </c>
      <c r="B937">
        <v>2160.7700199999999</v>
      </c>
      <c r="C937" s="68">
        <f>LN(B937)-LN(B936)</f>
        <v>4.8144428658147831E-4</v>
      </c>
      <c r="D937" s="68"/>
      <c r="E937" s="68"/>
      <c r="F937" s="68"/>
      <c r="G937" s="68"/>
      <c r="H937" s="68"/>
      <c r="I937">
        <f>_xlfn.STDEV.S(C917:C937)</f>
        <v>9.2398461313273113E-3</v>
      </c>
      <c r="J937">
        <f>_xlfn.NORM.S.INV(0.99)*I937*SQRT(10)</f>
        <v>6.7973463161780823E-2</v>
      </c>
      <c r="K937">
        <f>LN(B946)-LN(B937)</f>
        <v>-7.6561354656341507E-3</v>
      </c>
      <c r="L937">
        <f>IF(K937&lt;-(J937),1,0)</f>
        <v>0</v>
      </c>
      <c r="M937" s="72">
        <f t="shared" si="14"/>
        <v>4.2858542282239488E-2</v>
      </c>
      <c r="N937">
        <f>SQRT((N936^2)*0.72+(1-0.72)*(C936^2))</f>
        <v>5.826707447117092E-3</v>
      </c>
      <c r="O937">
        <f>_xlfn.NORM.S.INV(0.99)*N937*SQRT(10)</f>
        <v>4.2864510770180227E-2</v>
      </c>
      <c r="P937">
        <f>LN(B946)-LN(B937)</f>
        <v>-7.6561354656341507E-3</v>
      </c>
      <c r="Q937">
        <f>IF(P937&lt;-(O937),1,0)</f>
        <v>0</v>
      </c>
    </row>
    <row r="938" spans="1:17">
      <c r="A938" s="64">
        <v>42650</v>
      </c>
      <c r="B938">
        <v>2153.73999</v>
      </c>
      <c r="C938" s="68">
        <f>LN(B938)-LN(B937)</f>
        <v>-3.2587877673728727E-3</v>
      </c>
      <c r="D938" s="68"/>
      <c r="E938" s="68"/>
      <c r="F938" s="68"/>
      <c r="G938" s="68"/>
      <c r="H938" s="68"/>
      <c r="I938">
        <f>_xlfn.STDEV.S(C918:C938)</f>
        <v>9.2519229864800288E-3</v>
      </c>
      <c r="J938">
        <f>_xlfn.NORM.S.INV(0.99)*I938*SQRT(10)</f>
        <v>6.8062307246104931E-2</v>
      </c>
      <c r="K938">
        <f>LN(B947)-LN(B938)</f>
        <v>-5.774018749417742E-3</v>
      </c>
      <c r="L938">
        <f>IF(K938&lt;-(J938),1,0)</f>
        <v>0</v>
      </c>
      <c r="M938" s="72">
        <f t="shared" si="14"/>
        <v>3.6413493524681963E-2</v>
      </c>
      <c r="N938">
        <f>SQRT((N937^2)*0.72+(1-0.72)*(C937^2))</f>
        <v>4.9506842934882835E-3</v>
      </c>
      <c r="O938">
        <f>_xlfn.NORM.S.INV(0.99)*N938*SQRT(10)</f>
        <v>3.641999570838006E-2</v>
      </c>
      <c r="P938">
        <f>LN(B947)-LN(B938)</f>
        <v>-5.774018749417742E-3</v>
      </c>
      <c r="Q938">
        <f>IF(P938&lt;-(O938),1,0)</f>
        <v>0</v>
      </c>
    </row>
    <row r="939" spans="1:17">
      <c r="A939" s="64">
        <v>42653</v>
      </c>
      <c r="B939">
        <v>2163.6599120000001</v>
      </c>
      <c r="C939" s="68">
        <f>LN(B939)-LN(B938)</f>
        <v>4.5953303755954522E-3</v>
      </c>
      <c r="D939" s="68"/>
      <c r="E939" s="68"/>
      <c r="F939" s="68"/>
      <c r="G939" s="68"/>
      <c r="H939" s="68"/>
      <c r="I939">
        <f>_xlfn.STDEV.S(C919:C939)</f>
        <v>7.4534143112902117E-3</v>
      </c>
      <c r="J939">
        <f>_xlfn.NORM.S.INV(0.99)*I939*SQRT(10)</f>
        <v>5.4831474022089238E-2</v>
      </c>
      <c r="K939">
        <f>LN(B948)-LN(B939)</f>
        <v>-1.0453494367327565E-2</v>
      </c>
      <c r="L939">
        <f>IF(K939&lt;-(J939),1,0)</f>
        <v>0</v>
      </c>
      <c r="M939" s="72">
        <f t="shared" si="14"/>
        <v>3.3204056136915655E-2</v>
      </c>
      <c r="N939">
        <f>SQRT((N938^2)*0.72+(1-0.72)*(C938^2))</f>
        <v>4.5409463045391852E-3</v>
      </c>
      <c r="O939">
        <f>_xlfn.NORM.S.INV(0.99)*N939*SQRT(10)</f>
        <v>3.3405734463987147E-2</v>
      </c>
      <c r="P939">
        <f>LN(B948)-LN(B939)</f>
        <v>-1.0453494367327565E-2</v>
      </c>
      <c r="Q939">
        <f>IF(P939&lt;-(O939),1,0)</f>
        <v>0</v>
      </c>
    </row>
    <row r="940" spans="1:17">
      <c r="A940" s="64">
        <v>42654</v>
      </c>
      <c r="B940">
        <v>2136.7299800000001</v>
      </c>
      <c r="C940" s="68">
        <f>LN(B940)-LN(B939)</f>
        <v>-1.2524577866582121E-2</v>
      </c>
      <c r="D940" s="68"/>
      <c r="E940" s="68"/>
      <c r="F940" s="68"/>
      <c r="G940" s="68"/>
      <c r="H940" s="68"/>
      <c r="I940">
        <f>_xlfn.STDEV.S(C920:C940)</f>
        <v>7.2931196898131144E-3</v>
      </c>
      <c r="J940">
        <f>_xlfn.NORM.S.INV(0.99)*I940*SQRT(10)</f>
        <v>5.3652257356233357E-2</v>
      </c>
      <c r="K940">
        <f>LN(B949)-LN(B940)</f>
        <v>6.8096781396604911E-3</v>
      </c>
      <c r="L940">
        <f>IF(K940&lt;-(J940),1,0)</f>
        <v>0</v>
      </c>
      <c r="M940" s="72">
        <f t="shared" si="14"/>
        <v>3.3306017258059373E-2</v>
      </c>
      <c r="N940">
        <f>SQRT((N939^2)*0.72+(1-0.72)*(C939^2))</f>
        <v>4.556239277995997E-3</v>
      </c>
      <c r="O940">
        <f>_xlfn.NORM.S.INV(0.99)*N940*SQRT(10)</f>
        <v>3.3518238108866713E-2</v>
      </c>
      <c r="P940">
        <f>LN(B949)-LN(B940)</f>
        <v>6.8096781396604911E-3</v>
      </c>
      <c r="Q940">
        <f>IF(P940&lt;-(O940),1,0)</f>
        <v>0</v>
      </c>
    </row>
    <row r="941" spans="1:17">
      <c r="A941" s="64">
        <v>42655</v>
      </c>
      <c r="B941">
        <v>2139.179932</v>
      </c>
      <c r="C941" s="68">
        <f>LN(B941)-LN(B940)</f>
        <v>1.1459325937730469E-3</v>
      </c>
      <c r="D941" s="68"/>
      <c r="E941" s="68"/>
      <c r="F941" s="68"/>
      <c r="G941" s="68"/>
      <c r="H941" s="68"/>
      <c r="I941">
        <f>_xlfn.STDEV.S(C921:C941)</f>
        <v>6.5016899580297759E-3</v>
      </c>
      <c r="J941">
        <f>_xlfn.NORM.S.INV(0.99)*I941*SQRT(10)</f>
        <v>4.7830058701201758E-2</v>
      </c>
      <c r="K941">
        <f>LN(B950)-LN(B941)</f>
        <v>1.8587880882501295E-3</v>
      </c>
      <c r="L941">
        <f>IF(K941&lt;-(J941),1,0)</f>
        <v>0</v>
      </c>
      <c r="M941" s="72">
        <f t="shared" si="14"/>
        <v>5.6311377590573967E-2</v>
      </c>
      <c r="N941">
        <f>SQRT((N940^2)*0.72+(1-0.72)*(C940^2))</f>
        <v>7.6726085514716939E-3</v>
      </c>
      <c r="O941">
        <f>_xlfn.NORM.S.INV(0.99)*N941*SQRT(10)</f>
        <v>5.6443989143930361E-2</v>
      </c>
      <c r="P941">
        <f>LN(B950)-LN(B941)</f>
        <v>1.8587880882501295E-3</v>
      </c>
      <c r="Q941">
        <f>IF(P941&lt;-(O941),1,0)</f>
        <v>0</v>
      </c>
    </row>
    <row r="942" spans="1:17">
      <c r="A942" s="64">
        <v>42656</v>
      </c>
      <c r="B942">
        <v>2132.5500489999999</v>
      </c>
      <c r="C942" s="68">
        <f>LN(B942)-LN(B941)</f>
        <v>-3.1040764996346226E-3</v>
      </c>
      <c r="D942" s="68"/>
      <c r="E942" s="68"/>
      <c r="F942" s="68"/>
      <c r="G942" s="68"/>
      <c r="H942" s="68"/>
      <c r="I942">
        <f>_xlfn.STDEV.S(C922:C942)</f>
        <v>6.5413827671376521E-3</v>
      </c>
      <c r="J942">
        <f>_xlfn.NORM.S.INV(0.99)*I942*SQRT(10)</f>
        <v>4.8122061150088241E-2</v>
      </c>
      <c r="K942">
        <f>LN(B951)-LN(B942)</f>
        <v>3.2209368857092358E-3</v>
      </c>
      <c r="L942">
        <f>IF(K942&lt;-(J942),1,0)</f>
        <v>0</v>
      </c>
      <c r="M942" s="72">
        <f t="shared" si="14"/>
        <v>4.7989485238197606E-2</v>
      </c>
      <c r="N942">
        <f>SQRT((N941^2)*0.72+(1-0.72)*(C941^2))</f>
        <v>6.5386014598854333E-3</v>
      </c>
      <c r="O942">
        <f>_xlfn.NORM.S.INV(0.99)*N942*SQRT(10)</f>
        <v>4.8101600302216614E-2</v>
      </c>
      <c r="P942">
        <f>LN(B951)-LN(B942)</f>
        <v>3.2209368857092358E-3</v>
      </c>
      <c r="Q942">
        <f>IF(P942&lt;-(O942),1,0)</f>
        <v>0</v>
      </c>
    </row>
    <row r="943" spans="1:17">
      <c r="A943" s="64">
        <v>42657</v>
      </c>
      <c r="B943">
        <v>2132.9799800000001</v>
      </c>
      <c r="C943" s="68">
        <f>LN(B943)-LN(B942)</f>
        <v>2.015838587619001E-4</v>
      </c>
      <c r="D943" s="68"/>
      <c r="E943" s="68"/>
      <c r="F943" s="68"/>
      <c r="G943" s="68"/>
      <c r="H943" s="68"/>
      <c r="I943">
        <f>_xlfn.STDEV.S(C923:C943)</f>
        <v>6.1360548236352192E-3</v>
      </c>
      <c r="J943">
        <f>_xlfn.NORM.S.INV(0.99)*I943*SQRT(10)</f>
        <v>4.5140242660417648E-2</v>
      </c>
      <c r="K943">
        <f>LN(B952)-LN(B943)</f>
        <v>2.815692366020528E-5</v>
      </c>
      <c r="L943">
        <f>IF(K943&lt;-(J943),1,0)</f>
        <v>0</v>
      </c>
      <c r="M943" s="72">
        <f t="shared" si="14"/>
        <v>4.2450098367559704E-2</v>
      </c>
      <c r="N943">
        <f>SQRT((N942^2)*0.72+(1-0.72)*(C942^2))</f>
        <v>5.7862132671756029E-3</v>
      </c>
      <c r="O943">
        <f>_xlfn.NORM.S.INV(0.99)*N943*SQRT(10)</f>
        <v>4.2566612990347398E-2</v>
      </c>
      <c r="P943">
        <f>LN(B952)-LN(B943)</f>
        <v>2.815692366020528E-5</v>
      </c>
      <c r="Q943">
        <f>IF(P943&lt;-(O943),1,0)</f>
        <v>0</v>
      </c>
    </row>
    <row r="944" spans="1:17">
      <c r="A944" s="64">
        <v>42660</v>
      </c>
      <c r="B944">
        <v>2126.5</v>
      </c>
      <c r="C944" s="68">
        <f>LN(B944)-LN(B943)</f>
        <v>-3.0426178920768265E-3</v>
      </c>
      <c r="D944" s="68"/>
      <c r="E944" s="68"/>
      <c r="F944" s="68"/>
      <c r="G944" s="68"/>
      <c r="H944" s="68"/>
      <c r="I944">
        <f>_xlfn.STDEV.S(C924:C944)</f>
        <v>6.1173491058926178E-3</v>
      </c>
      <c r="J944">
        <f>_xlfn.NORM.S.INV(0.99)*I944*SQRT(10)</f>
        <v>4.5002632964561307E-2</v>
      </c>
      <c r="K944">
        <f>LN(B953)-LN(B944)</f>
        <v>-4.2365346023309769E-5</v>
      </c>
      <c r="L944">
        <f>IF(K944&lt;-(J944),1,0)</f>
        <v>0</v>
      </c>
      <c r="M944" s="72">
        <f t="shared" si="14"/>
        <v>3.6024438757440998E-2</v>
      </c>
      <c r="N944">
        <f>SQRT((N943^2)*0.72+(1-0.72)*(C943^2))</f>
        <v>4.9109233505852832E-3</v>
      </c>
      <c r="O944">
        <f>_xlfn.NORM.S.INV(0.99)*N944*SQRT(10)</f>
        <v>3.6127492029283996E-2</v>
      </c>
      <c r="P944">
        <f>LN(B953)-LN(B944)</f>
        <v>-4.2365346023309769E-5</v>
      </c>
      <c r="Q944">
        <f>IF(P944&lt;-(O944),1,0)</f>
        <v>0</v>
      </c>
    </row>
    <row r="945" spans="1:17">
      <c r="A945" s="64">
        <v>42661</v>
      </c>
      <c r="B945">
        <v>2139.6000979999999</v>
      </c>
      <c r="C945" s="68">
        <f>LN(B945)-LN(B944)</f>
        <v>6.1415057663589678E-3</v>
      </c>
      <c r="D945" s="68"/>
      <c r="E945" s="68"/>
      <c r="F945" s="68"/>
      <c r="G945" s="68"/>
      <c r="H945" s="68"/>
      <c r="I945">
        <f>_xlfn.STDEV.S(C925:C945)</f>
        <v>6.2762740567234585E-3</v>
      </c>
      <c r="J945">
        <f>_xlfn.NORM.S.INV(0.99)*I945*SQRT(10)</f>
        <v>4.6171773568987814E-2</v>
      </c>
      <c r="K945">
        <f>LN(B954)-LN(B945)</f>
        <v>-6.3061551068219757E-3</v>
      </c>
      <c r="L945">
        <f>IF(K945&lt;-(J945),1,0)</f>
        <v>0</v>
      </c>
      <c r="M945" s="72">
        <f t="shared" si="14"/>
        <v>3.2782150655285933E-2</v>
      </c>
      <c r="N945">
        <f>SQRT((N944^2)*0.72+(1-0.72)*(C944^2))</f>
        <v>4.4672662434922334E-3</v>
      </c>
      <c r="O945">
        <f>_xlfn.NORM.S.INV(0.99)*N945*SQRT(10)</f>
        <v>3.2863702827945901E-2</v>
      </c>
      <c r="P945">
        <f>LN(B954)-LN(B945)</f>
        <v>-6.3061551068219757E-3</v>
      </c>
      <c r="Q945">
        <f>IF(P945&lt;-(O945),1,0)</f>
        <v>0</v>
      </c>
    </row>
    <row r="946" spans="1:17">
      <c r="A946" s="64">
        <v>42662</v>
      </c>
      <c r="B946">
        <v>2144.290039</v>
      </c>
      <c r="C946" s="68">
        <f>LN(B946)-LN(B945)</f>
        <v>2.1895719655429247E-3</v>
      </c>
      <c r="D946" s="68"/>
      <c r="E946" s="68"/>
      <c r="F946" s="68"/>
      <c r="G946" s="68"/>
      <c r="H946" s="68"/>
      <c r="I946">
        <f>_xlfn.STDEV.S(C926:C946)</f>
        <v>6.2941500952590299E-3</v>
      </c>
      <c r="J946">
        <f>_xlfn.NORM.S.INV(0.99)*I946*SQRT(10)</f>
        <v>4.6303279681709379E-2</v>
      </c>
      <c r="K946">
        <f>LN(B955)-LN(B946)</f>
        <v>-1.5305745878838373E-2</v>
      </c>
      <c r="L946">
        <f>IF(K946&lt;-(J946),1,0)</f>
        <v>0</v>
      </c>
      <c r="M946" s="72">
        <f t="shared" si="14"/>
        <v>3.6678519805555837E-2</v>
      </c>
      <c r="N946">
        <f>SQRT((N945^2)*0.72+(1-0.72)*(C945^2))</f>
        <v>4.9929673340487896E-3</v>
      </c>
      <c r="O946">
        <f>_xlfn.NORM.S.INV(0.99)*N946*SQRT(10)</f>
        <v>3.6731053344952927E-2</v>
      </c>
      <c r="P946">
        <f>LN(B955)-LN(B946)</f>
        <v>-1.5305745878838373E-2</v>
      </c>
      <c r="Q946">
        <f>IF(P946&lt;-(O946),1,0)</f>
        <v>0</v>
      </c>
    </row>
    <row r="947" spans="1:17">
      <c r="A947" s="64">
        <v>42663</v>
      </c>
      <c r="B947">
        <v>2141.3400879999999</v>
      </c>
      <c r="C947" s="68">
        <f>LN(B947)-LN(B946)</f>
        <v>-1.3766710511564639E-3</v>
      </c>
      <c r="D947" s="68"/>
      <c r="E947" s="68"/>
      <c r="F947" s="68"/>
      <c r="G947" s="68"/>
      <c r="H947" s="68"/>
      <c r="I947">
        <f>_xlfn.STDEV.S(C927:C947)</f>
        <v>5.7950919943231599E-3</v>
      </c>
      <c r="J947">
        <f>_xlfn.NORM.S.INV(0.99)*I947*SQRT(10)</f>
        <v>4.2631929860791999E-2</v>
      </c>
      <c r="K947">
        <f>LN(B956)-LN(B947)</f>
        <v>-2.0475959615362527E-2</v>
      </c>
      <c r="L947">
        <f>IF(K947&lt;-(J947),1,0)</f>
        <v>0</v>
      </c>
      <c r="M947" s="72">
        <f t="shared" si="14"/>
        <v>3.2229957696730142E-2</v>
      </c>
      <c r="N947">
        <f>SQRT((N946^2)*0.72+(1-0.72)*(C946^2))</f>
        <v>4.3922412872056541E-3</v>
      </c>
      <c r="O947">
        <f>_xlfn.NORM.S.INV(0.99)*N947*SQRT(10)</f>
        <v>3.2311777392188948E-2</v>
      </c>
      <c r="P947">
        <f>LN(B956)-LN(B947)</f>
        <v>-2.0475959615362527E-2</v>
      </c>
      <c r="Q947">
        <f>IF(P947&lt;-(O947),1,0)</f>
        <v>0</v>
      </c>
    </row>
    <row r="948" spans="1:17">
      <c r="A948" s="64">
        <v>42664</v>
      </c>
      <c r="B948">
        <v>2141.1599120000001</v>
      </c>
      <c r="C948" s="68">
        <f>LN(B948)-LN(B947)</f>
        <v>-8.4145242314370705E-5</v>
      </c>
      <c r="D948" s="68"/>
      <c r="E948" s="68"/>
      <c r="F948" s="68"/>
      <c r="G948" s="68"/>
      <c r="H948" s="68"/>
      <c r="I948">
        <f>_xlfn.STDEV.S(C928:C948)</f>
        <v>5.5736808541172475E-3</v>
      </c>
      <c r="J948">
        <f>_xlfn.NORM.S.INV(0.99)*I948*SQRT(10)</f>
        <v>4.1003105985536352E-2</v>
      </c>
      <c r="K948">
        <f>LN(B957)-LN(B948)</f>
        <v>-2.4825027254380849E-2</v>
      </c>
      <c r="L948">
        <f>IF(K948&lt;-(J948),1,0)</f>
        <v>0</v>
      </c>
      <c r="M948" s="72">
        <f t="shared" si="14"/>
        <v>2.7852143187845981E-2</v>
      </c>
      <c r="N948">
        <f>SQRT((N947^2)*0.72+(1-0.72)*(C947^2))</f>
        <v>3.7974658167375642E-3</v>
      </c>
      <c r="O948">
        <f>_xlfn.NORM.S.INV(0.99)*N948*SQRT(10)</f>
        <v>2.7936277199136928E-2</v>
      </c>
      <c r="P948">
        <f>LN(B957)-LN(B948)</f>
        <v>-2.4825027254380849E-2</v>
      </c>
      <c r="Q948">
        <f>IF(P948&lt;-(O948),1,0)</f>
        <v>0</v>
      </c>
    </row>
    <row r="949" spans="1:17">
      <c r="A949" s="64">
        <v>42667</v>
      </c>
      <c r="B949">
        <v>2151.330078</v>
      </c>
      <c r="C949" s="68">
        <f>LN(B949)-LN(B948)</f>
        <v>4.7385946404059354E-3</v>
      </c>
      <c r="D949" s="68"/>
      <c r="E949" s="68"/>
      <c r="F949" s="68"/>
      <c r="G949" s="68"/>
      <c r="H949" s="68"/>
      <c r="I949">
        <f>_xlfn.STDEV.S(C929:C949)</f>
        <v>5.5771866284707004E-3</v>
      </c>
      <c r="J949">
        <f>_xlfn.NORM.S.INV(0.99)*I949*SQRT(10)</f>
        <v>4.1028896417593441E-2</v>
      </c>
      <c r="K949">
        <f>LN(B958)-LN(B949)</f>
        <v>-3.1231141941766793E-2</v>
      </c>
      <c r="L949">
        <f>IF(K949&lt;-(J949),1,0)</f>
        <v>0</v>
      </c>
      <c r="M949" s="72">
        <f t="shared" si="14"/>
        <v>2.3620719482486858E-2</v>
      </c>
      <c r="N949">
        <f>SQRT((N948^2)*0.72+(1-0.72)*(C948^2))</f>
        <v>3.2225642105618581E-3</v>
      </c>
      <c r="O949">
        <f>_xlfn.NORM.S.INV(0.99)*N949*SQRT(10)</f>
        <v>2.3706980239684275E-2</v>
      </c>
      <c r="P949">
        <f>LN(B958)-LN(B949)</f>
        <v>-3.1231141941766793E-2</v>
      </c>
      <c r="Q949">
        <f>IF(P949&lt;-(O949),1,0)</f>
        <v>1</v>
      </c>
    </row>
    <row r="950" spans="1:17">
      <c r="A950" s="64">
        <v>42668</v>
      </c>
      <c r="B950">
        <v>2143.1599120000001</v>
      </c>
      <c r="C950" s="68">
        <f>LN(B950)-LN(B949)</f>
        <v>-3.8049574576373146E-3</v>
      </c>
      <c r="D950" s="68"/>
      <c r="E950" s="68"/>
      <c r="F950" s="68"/>
      <c r="G950" s="68"/>
      <c r="H950" s="68"/>
      <c r="I950">
        <f>_xlfn.STDEV.S(C930:C950)</f>
        <v>5.3100162681025903E-3</v>
      </c>
      <c r="J950">
        <f>_xlfn.NORM.S.INV(0.99)*I950*SQRT(10)</f>
        <v>3.9063442189213052E-2</v>
      </c>
      <c r="K950">
        <f>LN(B959)-LN(B950)</f>
        <v>-5.4459847070980061E-3</v>
      </c>
      <c r="L950">
        <f>IF(K950&lt;-(J950),1,0)</f>
        <v>0</v>
      </c>
      <c r="M950" s="72">
        <f t="shared" si="14"/>
        <v>2.7210148024975445E-2</v>
      </c>
      <c r="N950">
        <f>SQRT((N949^2)*0.72+(1-0.72)*(C949^2))</f>
        <v>3.7100324300689451E-3</v>
      </c>
      <c r="O950">
        <f>_xlfn.NORM.S.INV(0.99)*N950*SQRT(10)</f>
        <v>2.7293068426679227E-2</v>
      </c>
      <c r="P950">
        <f>LN(B959)-LN(B950)</f>
        <v>-5.4459847070980061E-3</v>
      </c>
      <c r="Q950">
        <f>IF(P950&lt;-(O950),1,0)</f>
        <v>0</v>
      </c>
    </row>
    <row r="951" spans="1:17">
      <c r="A951" s="64">
        <v>42669</v>
      </c>
      <c r="B951">
        <v>2139.429932</v>
      </c>
      <c r="C951" s="68">
        <f>LN(B951)-LN(B950)</f>
        <v>-1.7419277021755164E-3</v>
      </c>
      <c r="D951" s="68"/>
      <c r="E951" s="68"/>
      <c r="F951" s="68"/>
      <c r="G951" s="68"/>
      <c r="H951" s="68"/>
      <c r="I951">
        <f>_xlfn.STDEV.S(C931:C951)</f>
        <v>5.1061599291470378E-3</v>
      </c>
      <c r="J951">
        <f>_xlfn.NORM.S.INV(0.99)*I951*SQRT(10)</f>
        <v>3.7563761225986862E-2</v>
      </c>
      <c r="K951">
        <f>LN(B960)-LN(B951)</f>
        <v>6.0821362196428197E-5</v>
      </c>
      <c r="L951">
        <f>IF(K951&lt;-(J951),1,0)</f>
        <v>0</v>
      </c>
      <c r="M951" s="72">
        <f t="shared" si="14"/>
        <v>2.7415159507637985E-2</v>
      </c>
      <c r="N951">
        <f>SQRT((N950^2)*0.72+(1-0.72)*(C950^2))</f>
        <v>3.7368545069881853E-3</v>
      </c>
      <c r="O951">
        <f>_xlfn.NORM.S.INV(0.99)*N951*SQRT(10)</f>
        <v>2.7490386588851966E-2</v>
      </c>
      <c r="P951">
        <f>LN(B960)-LN(B951)</f>
        <v>6.0821362196428197E-5</v>
      </c>
      <c r="Q951">
        <f>IF(P951&lt;-(O951),1,0)</f>
        <v>0</v>
      </c>
    </row>
    <row r="952" spans="1:17">
      <c r="A952" s="64">
        <v>42670</v>
      </c>
      <c r="B952">
        <v>2133.040039</v>
      </c>
      <c r="C952" s="68">
        <f>LN(B952)-LN(B951)</f>
        <v>-2.9911961032871304E-3</v>
      </c>
      <c r="D952" s="68"/>
      <c r="E952" s="68"/>
      <c r="F952" s="68"/>
      <c r="G952" s="68"/>
      <c r="H952" s="68"/>
      <c r="I952">
        <f>_xlfn.STDEV.S(C932:C952)</f>
        <v>4.9584513288920178E-3</v>
      </c>
      <c r="J952">
        <f>_xlfn.NORM.S.INV(0.99)*I952*SQRT(10)</f>
        <v>3.6477134354131094E-2</v>
      </c>
      <c r="K952">
        <f>LN(B961)-LN(B952)</f>
        <v>1.4068137263607561E-2</v>
      </c>
      <c r="L952">
        <f>IF(K952&lt;-(J952),1,0)</f>
        <v>0</v>
      </c>
      <c r="M952" s="72">
        <f t="shared" si="14"/>
        <v>2.4218435854138982E-2</v>
      </c>
      <c r="N952">
        <f>SQRT((N951^2)*0.72+(1-0.72)*(C951^2))</f>
        <v>3.3020820931794399E-3</v>
      </c>
      <c r="O952">
        <f>_xlfn.NORM.S.INV(0.99)*N952*SQRT(10)</f>
        <v>2.4291958148188967E-2</v>
      </c>
      <c r="P952">
        <f>LN(B961)-LN(B952)</f>
        <v>1.4068137263607561E-2</v>
      </c>
      <c r="Q952">
        <f>IF(P952&lt;-(O952),1,0)</f>
        <v>0</v>
      </c>
    </row>
    <row r="953" spans="1:17">
      <c r="A953" s="64">
        <v>42671</v>
      </c>
      <c r="B953">
        <v>2126.4099120000001</v>
      </c>
      <c r="C953" s="68">
        <f>LN(B953)-LN(B952)</f>
        <v>-3.1131401617603416E-3</v>
      </c>
      <c r="D953" s="68"/>
      <c r="E953" s="68"/>
      <c r="F953" s="68"/>
      <c r="G953" s="68"/>
      <c r="H953" s="68"/>
      <c r="I953">
        <f>_xlfn.STDEV.S(C933:C953)</f>
        <v>4.5959447700604132E-3</v>
      </c>
      <c r="J953">
        <f>_xlfn.NORM.S.INV(0.99)*I953*SQRT(10)</f>
        <v>3.3810333860657467E-2</v>
      </c>
      <c r="K953">
        <f>LN(B962)-LN(B953)</f>
        <v>1.9130122816855E-2</v>
      </c>
      <c r="L953">
        <f>IF(K953&lt;-(J953),1,0)</f>
        <v>0</v>
      </c>
      <c r="M953" s="72">
        <f t="shared" si="14"/>
        <v>2.3580099314294788E-2</v>
      </c>
      <c r="N953">
        <f>SQRT((N952^2)*0.72+(1-0.72)*(C952^2))</f>
        <v>3.2180628309588636E-3</v>
      </c>
      <c r="O953">
        <f>_xlfn.NORM.S.INV(0.99)*N953*SQRT(10)</f>
        <v>2.3673865579951582E-2</v>
      </c>
      <c r="P953">
        <f>LN(B962)-LN(B953)</f>
        <v>1.9130122816855E-2</v>
      </c>
      <c r="Q953">
        <f>IF(P953&lt;-(O953),1,0)</f>
        <v>0</v>
      </c>
    </row>
    <row r="954" spans="1:17">
      <c r="A954" s="64">
        <v>42674</v>
      </c>
      <c r="B954">
        <v>2126.1499020000001</v>
      </c>
      <c r="C954" s="68">
        <f>LN(B954)-LN(B953)</f>
        <v>-1.2228399443969806E-4</v>
      </c>
      <c r="D954" s="68"/>
      <c r="E954" s="68"/>
      <c r="F954" s="68"/>
      <c r="G954" s="68"/>
      <c r="H954" s="68"/>
      <c r="I954">
        <f>_xlfn.STDEV.S(C934:C954)</f>
        <v>4.1684499149602441E-3</v>
      </c>
      <c r="J954">
        <f>_xlfn.NORM.S.INV(0.99)*I954*SQRT(10)</f>
        <v>3.0665443202091067E-2</v>
      </c>
      <c r="K954">
        <f>LN(B963)-LN(B954)</f>
        <v>1.7853478600354578E-2</v>
      </c>
      <c r="L954">
        <f>IF(K954&lt;-(J954),1,0)</f>
        <v>0</v>
      </c>
      <c r="M954" s="72">
        <f t="shared" si="14"/>
        <v>2.3363598577143031E-2</v>
      </c>
      <c r="N954">
        <f>SQRT((N953^2)*0.72+(1-0.72)*(C953^2))</f>
        <v>3.1890324713262988E-3</v>
      </c>
      <c r="O954">
        <f>_xlfn.NORM.S.INV(0.99)*N954*SQRT(10)</f>
        <v>2.3460302058112507E-2</v>
      </c>
      <c r="P954">
        <f>LN(B963)-LN(B954)</f>
        <v>1.7853478600354578E-2</v>
      </c>
      <c r="Q954">
        <f>IF(P954&lt;-(O954),1,0)</f>
        <v>0</v>
      </c>
    </row>
    <row r="955" spans="1:17">
      <c r="A955" s="64">
        <v>42675</v>
      </c>
      <c r="B955">
        <v>2111.719971</v>
      </c>
      <c r="C955" s="68">
        <f>LN(B955)-LN(B954)</f>
        <v>-6.8100188064734724E-3</v>
      </c>
      <c r="D955" s="68"/>
      <c r="E955" s="68"/>
      <c r="F955" s="68"/>
      <c r="G955" s="68"/>
      <c r="H955" s="68"/>
      <c r="I955">
        <f>_xlfn.STDEV.S(C935:C955)</f>
        <v>4.3359526581611078E-3</v>
      </c>
      <c r="J955">
        <f>_xlfn.NORM.S.INV(0.99)*I955*SQRT(10)</f>
        <v>3.1897686832843559E-2</v>
      </c>
      <c r="K955">
        <f>LN(B964)-LN(B955)</f>
        <v>2.4547987949635086E-2</v>
      </c>
      <c r="L955">
        <f>IF(K955&lt;-(J955),1,0)</f>
        <v>0</v>
      </c>
      <c r="M955" s="72">
        <f t="shared" si="14"/>
        <v>1.9824671451310904E-2</v>
      </c>
      <c r="N955">
        <f>SQRT((N954^2)*0.72+(1-0.72)*(C954^2))</f>
        <v>2.7067573181517122E-3</v>
      </c>
      <c r="O955">
        <f>_xlfn.NORM.S.INV(0.99)*N955*SQRT(10)</f>
        <v>1.9912416964332727E-2</v>
      </c>
      <c r="P955">
        <f>LN(B964)-LN(B955)</f>
        <v>2.4547987949635086E-2</v>
      </c>
      <c r="Q955">
        <f>IF(P955&lt;-(O955),1,0)</f>
        <v>0</v>
      </c>
    </row>
    <row r="956" spans="1:17">
      <c r="A956" s="64">
        <v>42676</v>
      </c>
      <c r="B956">
        <v>2097.9399410000001</v>
      </c>
      <c r="C956" s="68">
        <f>LN(B956)-LN(B955)</f>
        <v>-6.546884787680618E-3</v>
      </c>
      <c r="D956" s="68"/>
      <c r="E956" s="68"/>
      <c r="F956" s="68"/>
      <c r="G956" s="68"/>
      <c r="H956" s="68"/>
      <c r="I956">
        <f>_xlfn.STDEV.S(C936:C956)</f>
        <v>4.4192187030763427E-3</v>
      </c>
      <c r="J956">
        <f>_xlfn.NORM.S.INV(0.99)*I956*SQRT(10)</f>
        <v>3.2510238314353984E-2</v>
      </c>
      <c r="K956">
        <f>LN(B965)-LN(B956)</f>
        <v>3.8547828032308828E-2</v>
      </c>
      <c r="L956">
        <f>IF(K956&lt;-(J956),1,0)</f>
        <v>0</v>
      </c>
      <c r="M956" s="72">
        <f t="shared" si="14"/>
        <v>3.1387951657738056E-2</v>
      </c>
      <c r="N956">
        <f>SQRT((N955^2)*0.72+(1-0.72)*(C955^2))</f>
        <v>4.2732288786830877E-3</v>
      </c>
      <c r="O956">
        <f>_xlfn.NORM.S.INV(0.99)*N956*SQRT(10)</f>
        <v>3.1436255716662802E-2</v>
      </c>
      <c r="P956">
        <f>LN(B965)-LN(B956)</f>
        <v>3.8547828032308828E-2</v>
      </c>
      <c r="Q956">
        <f>IF(P956&lt;-(O956),1,0)</f>
        <v>0</v>
      </c>
    </row>
    <row r="957" spans="1:17">
      <c r="A957" s="64">
        <v>42677</v>
      </c>
      <c r="B957">
        <v>2088.6599120000001</v>
      </c>
      <c r="C957" s="68">
        <f>LN(B957)-LN(B956)</f>
        <v>-4.4332128813326932E-3</v>
      </c>
      <c r="D957" s="68"/>
      <c r="E957" s="68"/>
      <c r="F957" s="68"/>
      <c r="G957" s="68"/>
      <c r="H957" s="68"/>
      <c r="I957">
        <f>_xlfn.STDEV.S(C937:C957)</f>
        <v>4.2877253286948318E-3</v>
      </c>
      <c r="J957">
        <f>_xlfn.NORM.S.INV(0.99)*I957*SQRT(10)</f>
        <v>3.1542899690690573E-2</v>
      </c>
      <c r="K957">
        <f>LN(B966)-LN(B957)</f>
        <v>4.1397524011164144E-2</v>
      </c>
      <c r="L957">
        <f>IF(K957&lt;-(J957),1,0)</f>
        <v>0</v>
      </c>
      <c r="M957" s="72">
        <f t="shared" si="14"/>
        <v>3.6857190248430913E-2</v>
      </c>
      <c r="N957">
        <f>SQRT((N956^2)*0.72+(1-0.72)*(C956^2))</f>
        <v>5.0148604521168781E-3</v>
      </c>
      <c r="O957">
        <f>_xlfn.NORM.S.INV(0.99)*N957*SQRT(10)</f>
        <v>3.6892111335892E-2</v>
      </c>
      <c r="P957">
        <f>LN(B966)-LN(B957)</f>
        <v>4.1397524011164144E-2</v>
      </c>
      <c r="Q957">
        <f>IF(P957&lt;-(O957),1,0)</f>
        <v>0</v>
      </c>
    </row>
    <row r="958" spans="1:17">
      <c r="A958" s="64">
        <v>42678</v>
      </c>
      <c r="B958">
        <v>2085.179932</v>
      </c>
      <c r="C958" s="68">
        <f>LN(B958)-LN(B957)</f>
        <v>-1.6675200469800089E-3</v>
      </c>
      <c r="D958" s="68"/>
      <c r="E958" s="68"/>
      <c r="F958" s="68"/>
      <c r="G958" s="68"/>
      <c r="H958" s="68"/>
      <c r="I958">
        <f>_xlfn.STDEV.S(C938:C958)</f>
        <v>4.2612941397560606E-3</v>
      </c>
      <c r="J958">
        <f>_xlfn.NORM.S.INV(0.99)*I958*SQRT(10)</f>
        <v>3.1348457118583202E-2</v>
      </c>
      <c r="K958">
        <f>LN(B967)-LN(B958)</f>
        <v>4.7730513520227724E-2</v>
      </c>
      <c r="L958">
        <f>IF(K958&lt;-(J958),1,0)</f>
        <v>0</v>
      </c>
      <c r="M958" s="72">
        <f t="shared" si="14"/>
        <v>3.5719664798749523E-2</v>
      </c>
      <c r="N958">
        <f>SQRT((N957^2)*0.72+(1-0.72)*(C957^2))</f>
        <v>4.8590225006032023E-3</v>
      </c>
      <c r="O958">
        <f>_xlfn.NORM.S.INV(0.99)*N958*SQRT(10)</f>
        <v>3.5745680420716082E-2</v>
      </c>
      <c r="P958">
        <f>LN(B967)-LN(B958)</f>
        <v>4.7730513520227724E-2</v>
      </c>
      <c r="Q958">
        <f>IF(P958&lt;-(O958),1,0)</f>
        <v>0</v>
      </c>
    </row>
    <row r="959" spans="1:17">
      <c r="A959" s="64">
        <v>42681</v>
      </c>
      <c r="B959">
        <v>2131.5200199999999</v>
      </c>
      <c r="C959" s="68">
        <f>LN(B959)-LN(B958)</f>
        <v>2.1980199777031473E-2</v>
      </c>
      <c r="D959" s="68"/>
      <c r="E959" s="68"/>
      <c r="F959" s="68"/>
      <c r="G959" s="68"/>
      <c r="H959" s="68"/>
      <c r="I959">
        <f>_xlfn.STDEV.S(C939:C959)</f>
        <v>6.6743666976876509E-3</v>
      </c>
      <c r="J959">
        <f>_xlfn.NORM.S.INV(0.99)*I959*SQRT(10)</f>
        <v>4.9100365136526013E-2</v>
      </c>
      <c r="K959">
        <f>LN(B968)-LN(B959)</f>
        <v>2.3360662305830893E-2</v>
      </c>
      <c r="L959">
        <f>IF(K959&lt;-(J959),1,0)</f>
        <v>0</v>
      </c>
      <c r="M959" s="72">
        <f t="shared" si="14"/>
        <v>3.0992806761712986E-2</v>
      </c>
      <c r="N959">
        <f>SQRT((N958^2)*0.72+(1-0.72)*(C958^2))</f>
        <v>4.2163783305305472E-3</v>
      </c>
      <c r="O959">
        <f>_xlfn.NORM.S.INV(0.99)*N959*SQRT(10)</f>
        <v>3.1018031366857674E-2</v>
      </c>
      <c r="P959">
        <f>LN(B968)-LN(B959)</f>
        <v>2.3360662305830893E-2</v>
      </c>
      <c r="Q959">
        <f>IF(P959&lt;-(O959),1,0)</f>
        <v>0</v>
      </c>
    </row>
    <row r="960" spans="1:17">
      <c r="A960" s="64">
        <v>42682</v>
      </c>
      <c r="B960">
        <v>2139.5600589999999</v>
      </c>
      <c r="C960" s="68">
        <f>LN(B960)-LN(B959)</f>
        <v>3.7648783671189179E-3</v>
      </c>
      <c r="D960" s="68"/>
      <c r="E960" s="68"/>
      <c r="F960" s="68"/>
      <c r="G960" s="68"/>
      <c r="H960" s="68"/>
      <c r="I960">
        <f>_xlfn.STDEV.S(C940:C960)</f>
        <v>6.6451020044190796E-3</v>
      </c>
      <c r="J960">
        <f>_xlfn.NORM.S.INV(0.99)*I960*SQRT(10)</f>
        <v>4.888507772572296E-2</v>
      </c>
      <c r="K960">
        <f>LN(B969)-LN(B960)</f>
        <v>2.7029486330619967E-2</v>
      </c>
      <c r="L960">
        <f>IF(K960&lt;-(J960),1,0)</f>
        <v>0</v>
      </c>
      <c r="M960" s="72">
        <f t="shared" si="14"/>
        <v>8.951063606186295E-2</v>
      </c>
      <c r="N960">
        <f>SQRT((N959^2)*0.72+(1-0.72)*(C959^2))</f>
        <v>1.2168657292796963E-2</v>
      </c>
      <c r="O960">
        <f>_xlfn.NORM.S.INV(0.99)*N960*SQRT(10)</f>
        <v>8.9519432084032957E-2</v>
      </c>
      <c r="P960">
        <f>LN(B969)-LN(B960)</f>
        <v>2.7029486330619967E-2</v>
      </c>
      <c r="Q960">
        <f>IF(P960&lt;-(O960),1,0)</f>
        <v>0</v>
      </c>
    </row>
    <row r="961" spans="1:17">
      <c r="A961" s="64">
        <v>42683</v>
      </c>
      <c r="B961">
        <v>2163.26001</v>
      </c>
      <c r="C961" s="68">
        <f>LN(B961)-LN(B960)</f>
        <v>1.1016119798124002E-2</v>
      </c>
      <c r="D961" s="68"/>
      <c r="E961" s="68"/>
      <c r="F961" s="68"/>
      <c r="G961" s="68"/>
      <c r="H961" s="68"/>
      <c r="I961">
        <f>_xlfn.STDEV.S(C941:C961)</f>
        <v>6.5052321718286768E-3</v>
      </c>
      <c r="J961">
        <f>_xlfn.NORM.S.INV(0.99)*I961*SQRT(10)</f>
        <v>4.7856117202149565E-2</v>
      </c>
      <c r="K961">
        <f>LN(B970)-LN(B961)</f>
        <v>1.8176457288189063E-2</v>
      </c>
      <c r="L961">
        <f>IF(K961&lt;-(J961),1,0)</f>
        <v>0</v>
      </c>
      <c r="M961" s="72">
        <f t="shared" si="14"/>
        <v>7.7331795809121209E-2</v>
      </c>
      <c r="N961">
        <f>SQRT((N960^2)*0.72+(1-0.72)*(C960^2))</f>
        <v>1.0515877765372005E-2</v>
      </c>
      <c r="O961">
        <f>_xlfn.NORM.S.INV(0.99)*N961*SQRT(10)</f>
        <v>7.7360663774995397E-2</v>
      </c>
      <c r="P961">
        <f>LN(B970)-LN(B961)</f>
        <v>1.8176457288189063E-2</v>
      </c>
      <c r="Q961">
        <f>IF(P961&lt;-(O961),1,0)</f>
        <v>0</v>
      </c>
    </row>
    <row r="962" spans="1:17">
      <c r="A962" s="64">
        <v>42684</v>
      </c>
      <c r="B962">
        <v>2167.4799800000001</v>
      </c>
      <c r="C962" s="68">
        <f>LN(B962)-LN(B961)</f>
        <v>1.9488453914870973E-3</v>
      </c>
      <c r="D962" s="68"/>
      <c r="E962" s="68"/>
      <c r="F962" s="68"/>
      <c r="G962" s="68"/>
      <c r="H962" s="68"/>
      <c r="I962">
        <f>_xlfn.STDEV.S(C942:C962)</f>
        <v>6.5110346994126742E-3</v>
      </c>
      <c r="J962">
        <f>_xlfn.NORM.S.INV(0.99)*I962*SQRT(10)</f>
        <v>4.7898803832356403E-2</v>
      </c>
      <c r="K962">
        <f>LN(B971)-LN(B962)</f>
        <v>1.7035310372677692E-2</v>
      </c>
      <c r="L962">
        <f>IF(K962&lt;-(J962),1,0)</f>
        <v>0</v>
      </c>
      <c r="M962" s="72">
        <f t="shared" si="14"/>
        <v>7.8387808762894917E-2</v>
      </c>
      <c r="N962">
        <f>SQRT((N961^2)*0.72+(1-0.72)*(C961^2))</f>
        <v>1.0658312438690757E-2</v>
      </c>
      <c r="O962">
        <f>_xlfn.NORM.S.INV(0.99)*N962*SQRT(10)</f>
        <v>7.8408492697921592E-2</v>
      </c>
      <c r="P962">
        <f>LN(B971)-LN(B962)</f>
        <v>1.7035310372677692E-2</v>
      </c>
      <c r="Q962">
        <f>IF(P962&lt;-(O962),1,0)</f>
        <v>0</v>
      </c>
    </row>
    <row r="963" spans="1:17">
      <c r="A963" s="64">
        <v>42685</v>
      </c>
      <c r="B963">
        <v>2164.4499510000001</v>
      </c>
      <c r="C963" s="68">
        <f>LN(B963)-LN(B962)</f>
        <v>-1.3989282109401202E-3</v>
      </c>
      <c r="D963" s="68"/>
      <c r="E963" s="68"/>
      <c r="F963" s="68"/>
      <c r="G963" s="68"/>
      <c r="H963" s="68"/>
      <c r="I963">
        <f>_xlfn.STDEV.S(C943:C963)</f>
        <v>6.4727135398687909E-3</v>
      </c>
      <c r="J963">
        <f>_xlfn.NORM.S.INV(0.99)*I963*SQRT(10)</f>
        <v>4.7616892002922212E-2</v>
      </c>
      <c r="K963">
        <f>LN(B972)-LN(B963)</f>
        <v>2.2340984217694704E-2</v>
      </c>
      <c r="L963">
        <f>IF(K963&lt;-(J963),1,0)</f>
        <v>0</v>
      </c>
      <c r="M963" s="72">
        <f t="shared" si="14"/>
        <v>6.6943965639258321E-2</v>
      </c>
      <c r="N963">
        <f>SQRT((N962^2)*0.72+(1-0.72)*(C962^2))</f>
        <v>9.1024814666176516E-3</v>
      </c>
      <c r="O963">
        <f>_xlfn.NORM.S.INV(0.99)*N963*SQRT(10)</f>
        <v>6.6962932050801047E-2</v>
      </c>
      <c r="P963">
        <f>LN(B972)-LN(B963)</f>
        <v>2.2340984217694704E-2</v>
      </c>
      <c r="Q963">
        <f>IF(P963&lt;-(O963),1,0)</f>
        <v>0</v>
      </c>
    </row>
    <row r="964" spans="1:17">
      <c r="A964" s="64">
        <v>42688</v>
      </c>
      <c r="B964">
        <v>2164.1999510000001</v>
      </c>
      <c r="C964" s="68">
        <f>LN(B964)-LN(B963)</f>
        <v>-1.1550945719296379E-4</v>
      </c>
      <c r="D964" s="68"/>
      <c r="E964" s="68"/>
      <c r="F964" s="68"/>
      <c r="G964" s="68"/>
      <c r="H964" s="68"/>
      <c r="I964">
        <f>_xlfn.STDEV.S(C944:C964)</f>
        <v>6.4743212915430596E-3</v>
      </c>
      <c r="J964">
        <f>_xlfn.NORM.S.INV(0.99)*I964*SQRT(10)</f>
        <v>4.7628719521221857E-2</v>
      </c>
      <c r="K964">
        <f>LN(B973)-LN(B964)</f>
        <v>1.7188104399682658E-2</v>
      </c>
      <c r="L964">
        <f>IF(K964&lt;-(J964),1,0)</f>
        <v>0</v>
      </c>
      <c r="M964" s="72">
        <f t="shared" si="14"/>
        <v>5.7064263959928203E-2</v>
      </c>
      <c r="N964">
        <f>SQRT((N963^2)*0.72+(1-0.72)*(C963^2))</f>
        <v>7.759103144765302E-3</v>
      </c>
      <c r="O964">
        <f>_xlfn.NORM.S.INV(0.99)*N964*SQRT(10)</f>
        <v>5.7080291628557531E-2</v>
      </c>
      <c r="P964">
        <f>LN(B973)-LN(B964)</f>
        <v>1.7188104399682658E-2</v>
      </c>
      <c r="Q964">
        <f>IF(P964&lt;-(O964),1,0)</f>
        <v>0</v>
      </c>
    </row>
    <row r="965" spans="1:17">
      <c r="A965" s="64">
        <v>42689</v>
      </c>
      <c r="B965">
        <v>2180.389893</v>
      </c>
      <c r="C965" s="68">
        <f>LN(B965)-LN(B964)</f>
        <v>7.4529552949931244E-3</v>
      </c>
      <c r="D965" s="68"/>
      <c r="E965" s="68"/>
      <c r="F965" s="68"/>
      <c r="G965" s="68"/>
      <c r="H965" s="68"/>
      <c r="I965">
        <f>_xlfn.STDEV.S(C945:C965)</f>
        <v>6.5759242424372885E-3</v>
      </c>
      <c r="J965">
        <f>_xlfn.NORM.S.INV(0.99)*I965*SQRT(10)</f>
        <v>4.8376167513491081E-2</v>
      </c>
      <c r="K965">
        <f>LN(B974)-LN(B965)</f>
        <v>1.1069551273502398E-2</v>
      </c>
      <c r="L965">
        <f>IF(K965&lt;-(J965),1,0)</f>
        <v>0</v>
      </c>
      <c r="M965" s="72">
        <f t="shared" si="14"/>
        <v>4.8420690931137697E-2</v>
      </c>
      <c r="N965">
        <f>SQRT((N964^2)*0.72+(1-0.72)*(C964^2))</f>
        <v>6.5841010503874539E-3</v>
      </c>
      <c r="O965">
        <f>_xlfn.NORM.S.INV(0.99)*N965*SQRT(10)</f>
        <v>4.8436320674710626E-2</v>
      </c>
      <c r="P965">
        <f>LN(B974)-LN(B965)</f>
        <v>1.1069551273502398E-2</v>
      </c>
      <c r="Q965">
        <f>IF(P965&lt;-(O965),1,0)</f>
        <v>0</v>
      </c>
    </row>
    <row r="966" spans="1:17">
      <c r="A966" s="64">
        <v>42690</v>
      </c>
      <c r="B966">
        <v>2176.9399410000001</v>
      </c>
      <c r="C966" s="68">
        <f>LN(B966)-LN(B965)</f>
        <v>-1.5835169024773776E-3</v>
      </c>
      <c r="D966" s="68"/>
      <c r="E966" s="68"/>
      <c r="F966" s="68"/>
      <c r="G966" s="68"/>
      <c r="H966" s="68"/>
      <c r="I966">
        <f>_xlfn.STDEV.S(C946:C966)</f>
        <v>6.5008290032081695E-3</v>
      </c>
      <c r="J966">
        <f>_xlfn.NORM.S.INV(0.99)*I966*SQRT(10)</f>
        <v>4.7823725037197118E-2</v>
      </c>
      <c r="K966">
        <f>LN(B975)-LN(B966)</f>
        <v>9.9961378551931546E-3</v>
      </c>
      <c r="L966">
        <f>IF(K966&lt;-(J966),1,0)</f>
        <v>0</v>
      </c>
      <c r="M966" s="72">
        <f t="shared" si="14"/>
        <v>5.0289145103065112E-2</v>
      </c>
      <c r="N966">
        <f>SQRT((N965^2)*0.72+(1-0.72)*(C965^2))</f>
        <v>6.8385166752885813E-3</v>
      </c>
      <c r="O966">
        <f>_xlfn.NORM.S.INV(0.99)*N966*SQRT(10)</f>
        <v>5.0307943952977711E-2</v>
      </c>
      <c r="P966">
        <f>LN(B975)-LN(B966)</f>
        <v>9.9961378551931546E-3</v>
      </c>
      <c r="Q966">
        <f>IF(P966&lt;-(O966),1,0)</f>
        <v>0</v>
      </c>
    </row>
    <row r="967" spans="1:17">
      <c r="A967" s="64">
        <v>42691</v>
      </c>
      <c r="B967">
        <v>2187.1201169999999</v>
      </c>
      <c r="C967" s="68">
        <f>LN(B967)-LN(B966)</f>
        <v>4.6654694620835713E-3</v>
      </c>
      <c r="D967" s="68"/>
      <c r="E967" s="68"/>
      <c r="F967" s="68"/>
      <c r="G967" s="68"/>
      <c r="H967" s="68"/>
      <c r="I967">
        <f>_xlfn.STDEV.S(C947:C967)</f>
        <v>6.5491083182026791E-3</v>
      </c>
      <c r="J967">
        <f>_xlfn.NORM.S.INV(0.99)*I967*SQRT(10)</f>
        <v>4.817889461389914E-2</v>
      </c>
      <c r="K967">
        <f>LN(B976)-LN(B967)</f>
        <v>1.8089451845373361E-3</v>
      </c>
      <c r="L967">
        <f>IF(K967&lt;-(J967),1,0)</f>
        <v>0</v>
      </c>
      <c r="M967" s="72">
        <f t="shared" si="14"/>
        <v>4.3113502692378292E-2</v>
      </c>
      <c r="N967">
        <f>SQRT((N966^2)*0.72+(1-0.72)*(C966^2))</f>
        <v>5.8628602787056784E-3</v>
      </c>
      <c r="O967">
        <f>_xlfn.NORM.S.INV(0.99)*N967*SQRT(10)</f>
        <v>4.3130471169439369E-2</v>
      </c>
      <c r="P967">
        <f>LN(B976)-LN(B967)</f>
        <v>1.8089451845373361E-3</v>
      </c>
      <c r="Q967">
        <f>IF(P967&lt;-(O967),1,0)</f>
        <v>0</v>
      </c>
    </row>
    <row r="968" spans="1:17">
      <c r="A968" s="64">
        <v>42692</v>
      </c>
      <c r="B968">
        <v>2181.8999020000001</v>
      </c>
      <c r="C968" s="68">
        <f>LN(B968)-LN(B967)</f>
        <v>-2.3896514373653588E-3</v>
      </c>
      <c r="D968" s="68"/>
      <c r="E968" s="68"/>
      <c r="F968" s="68"/>
      <c r="G968" s="68"/>
      <c r="H968" s="68"/>
      <c r="I968">
        <f>_xlfn.STDEV.S(C948:C968)</f>
        <v>6.570733330160972E-3</v>
      </c>
      <c r="J968">
        <f>_xlfn.NORM.S.INV(0.99)*I968*SQRT(10)</f>
        <v>4.8337980266714972E-2</v>
      </c>
      <c r="K968">
        <f>LN(B977)-LN(B968)</f>
        <v>4.5955243206252661E-3</v>
      </c>
      <c r="L968">
        <f>IF(K968&lt;-(J968),1,0)</f>
        <v>0</v>
      </c>
      <c r="M968" s="72">
        <f t="shared" si="14"/>
        <v>4.0842540366842817E-2</v>
      </c>
      <c r="N968">
        <f>SQRT((N967^2)*0.72+(1-0.72)*(C967^2))</f>
        <v>5.5536747789862069E-3</v>
      </c>
      <c r="O968">
        <f>_xlfn.NORM.S.INV(0.99)*N968*SQRT(10)</f>
        <v>4.0855930135245841E-2</v>
      </c>
      <c r="P968">
        <f>LN(B977)-LN(B968)</f>
        <v>4.5955243206252661E-3</v>
      </c>
      <c r="Q968">
        <f>IF(P968&lt;-(O968),1,0)</f>
        <v>0</v>
      </c>
    </row>
    <row r="969" spans="1:17">
      <c r="A969" s="64">
        <v>42695</v>
      </c>
      <c r="B969">
        <v>2198.179932</v>
      </c>
      <c r="C969" s="68">
        <f>LN(B969)-LN(B968)</f>
        <v>7.4337023919079925E-3</v>
      </c>
      <c r="D969" s="68"/>
      <c r="E969" s="68"/>
      <c r="F969" s="68"/>
      <c r="G969" s="68"/>
      <c r="H969" s="68"/>
      <c r="I969">
        <f>_xlfn.STDEV.S(C949:C969)</f>
        <v>6.7179512231837256E-3</v>
      </c>
      <c r="J969">
        <f>_xlfn.NORM.S.INV(0.99)*I969*SQRT(10)</f>
        <v>4.9420997222398809E-2</v>
      </c>
      <c r="K969">
        <f>LN(B978)-LN(B969)</f>
        <v>2.9662489622213073E-3</v>
      </c>
      <c r="L969">
        <f>IF(K969&lt;-(J969),1,0)</f>
        <v>0</v>
      </c>
      <c r="M969" s="72">
        <f t="shared" si="14"/>
        <v>3.5882770639868208E-2</v>
      </c>
      <c r="N969">
        <f>SQRT((N968^2)*0.72+(1-0.72)*(C968^2))</f>
        <v>4.8791495236697605E-3</v>
      </c>
      <c r="O969">
        <f>_xlfn.NORM.S.INV(0.99)*N969*SQRT(10)</f>
        <v>3.5893746031498551E-2</v>
      </c>
      <c r="P969">
        <f>LN(B978)-LN(B969)</f>
        <v>2.9662489622213073E-3</v>
      </c>
      <c r="Q969">
        <f>IF(P969&lt;-(O969),1,0)</f>
        <v>0</v>
      </c>
    </row>
    <row r="970" spans="1:17">
      <c r="A970" s="64">
        <v>42696</v>
      </c>
      <c r="B970">
        <v>2202.9399410000001</v>
      </c>
      <c r="C970" s="68">
        <f>LN(B970)-LN(B969)</f>
        <v>2.1630907556930978E-3</v>
      </c>
      <c r="D970" s="68"/>
      <c r="E970" s="68"/>
      <c r="F970" s="68"/>
      <c r="G970" s="68"/>
      <c r="H970" s="68"/>
      <c r="I970">
        <f>_xlfn.STDEV.S(C950:C970)</f>
        <v>6.6744767609163026E-3</v>
      </c>
      <c r="J970">
        <f>_xlfn.NORM.S.INV(0.99)*I970*SQRT(10)</f>
        <v>4.9101174823041556E-2</v>
      </c>
      <c r="K970">
        <f>LN(B979)-LN(B970)</f>
        <v>4.2082424351637115E-3</v>
      </c>
      <c r="L970">
        <f>IF(K970&lt;-(J970),1,0)</f>
        <v>0</v>
      </c>
      <c r="M970" s="72">
        <f t="shared" si="14"/>
        <v>4.1999361335228275E-2</v>
      </c>
      <c r="N970">
        <f>SQRT((N969^2)*0.72+(1-0.72)*(C969^2))</f>
        <v>5.7107944109312629E-3</v>
      </c>
      <c r="O970">
        <f>_xlfn.NORM.S.INV(0.99)*N970*SQRT(10)</f>
        <v>4.2011789806739704E-2</v>
      </c>
      <c r="P970">
        <f>LN(B979)-LN(B970)</f>
        <v>4.2082424351637115E-3</v>
      </c>
      <c r="Q970">
        <f>IF(P970&lt;-(O970),1,0)</f>
        <v>0</v>
      </c>
    </row>
    <row r="971" spans="1:17">
      <c r="A971" s="64">
        <v>42697</v>
      </c>
      <c r="B971">
        <v>2204.719971</v>
      </c>
      <c r="C971" s="68">
        <f>LN(B971)-LN(B970)</f>
        <v>8.0769847597572664E-4</v>
      </c>
      <c r="D971" s="68"/>
      <c r="E971" s="68"/>
      <c r="F971" s="68"/>
      <c r="G971" s="68"/>
      <c r="H971" s="68"/>
      <c r="I971">
        <f>_xlfn.STDEV.S(C951:C971)</f>
        <v>6.5792097563094299E-3</v>
      </c>
      <c r="J971">
        <f>_xlfn.NORM.S.INV(0.99)*I971*SQRT(10)</f>
        <v>4.8400337586561704E-2</v>
      </c>
      <c r="K971">
        <f>LN(B980)-LN(B971)</f>
        <v>1.6477903069168853E-2</v>
      </c>
      <c r="L971">
        <f>IF(K971&lt;-(J971),1,0)</f>
        <v>0</v>
      </c>
      <c r="M971" s="72">
        <f t="shared" si="14"/>
        <v>3.6614690975249803E-2</v>
      </c>
      <c r="N971">
        <f>SQRT((N970^2)*0.72+(1-0.72)*(C970^2))</f>
        <v>4.9791157519872226E-3</v>
      </c>
      <c r="O971">
        <f>_xlfn.NORM.S.INV(0.99)*N971*SQRT(10)</f>
        <v>3.6629153379346135E-2</v>
      </c>
      <c r="P971">
        <f>LN(B980)-LN(B971)</f>
        <v>1.6477903069168853E-2</v>
      </c>
      <c r="Q971">
        <f>IF(P971&lt;-(O971),1,0)</f>
        <v>0</v>
      </c>
    </row>
    <row r="972" spans="1:17">
      <c r="A972" s="64">
        <v>42699</v>
      </c>
      <c r="B972">
        <v>2213.3500979999999</v>
      </c>
      <c r="C972" s="68">
        <f>LN(B972)-LN(B971)</f>
        <v>3.9067456340768913E-3</v>
      </c>
      <c r="D972" s="68"/>
      <c r="E972" s="68"/>
      <c r="F972" s="68"/>
      <c r="G972" s="68"/>
      <c r="H972" s="68"/>
      <c r="I972">
        <f>_xlfn.STDEV.S(C952:C972)</f>
        <v>6.5619895321902015E-3</v>
      </c>
      <c r="J972">
        <f>_xlfn.NORM.S.INV(0.99)*I972*SQRT(10)</f>
        <v>4.8273656010573401E-2</v>
      </c>
      <c r="K972">
        <f>LN(B981)-LN(B972)</f>
        <v>1.472817211773414E-2</v>
      </c>
      <c r="L972">
        <f>IF(K972&lt;-(J972),1,0)</f>
        <v>0</v>
      </c>
      <c r="M972" s="72">
        <f t="shared" si="14"/>
        <v>3.1226252481172924E-2</v>
      </c>
      <c r="N972">
        <f>SQRT((N971^2)*0.72+(1-0.72)*(C971^2))</f>
        <v>4.2464824214261182E-3</v>
      </c>
      <c r="O972">
        <f>_xlfn.NORM.S.INV(0.99)*N972*SQRT(10)</f>
        <v>3.1239493854914827E-2</v>
      </c>
      <c r="P972">
        <f>LN(B981)-LN(B972)</f>
        <v>1.472817211773414E-2</v>
      </c>
      <c r="Q972">
        <f>IF(P972&lt;-(O972),1,0)</f>
        <v>0</v>
      </c>
    </row>
    <row r="973" spans="1:17">
      <c r="A973" s="64">
        <v>42702</v>
      </c>
      <c r="B973">
        <v>2201.719971</v>
      </c>
      <c r="C973" s="68">
        <f>LN(B973)-LN(B972)</f>
        <v>-5.2683892752050099E-3</v>
      </c>
      <c r="D973" s="68"/>
      <c r="E973" s="68"/>
      <c r="F973" s="68"/>
      <c r="G973" s="68"/>
      <c r="H973" s="68"/>
      <c r="I973">
        <f>_xlfn.STDEV.S(C953:C973)</f>
        <v>6.6600400310071273E-3</v>
      </c>
      <c r="J973">
        <f>_xlfn.NORM.S.INV(0.99)*I973*SQRT(10)</f>
        <v>4.899497018340683E-2</v>
      </c>
      <c r="K973">
        <f>LN(B982)-LN(B973)</f>
        <v>2.5917979975383254E-2</v>
      </c>
      <c r="L973">
        <f>IF(K973&lt;-(J973),1,0)</f>
        <v>0</v>
      </c>
      <c r="M973" s="72">
        <f t="shared" si="14"/>
        <v>3.0547446404053543E-2</v>
      </c>
      <c r="N973">
        <f>SQRT((N972^2)*0.72+(1-0.72)*(C972^2))</f>
        <v>4.1541577405982575E-3</v>
      </c>
      <c r="O973">
        <f>_xlfn.NORM.S.INV(0.99)*N973*SQRT(10)</f>
        <v>3.0560301993710719E-2</v>
      </c>
      <c r="P973">
        <f>LN(B982)-LN(B973)</f>
        <v>2.5917979975383254E-2</v>
      </c>
      <c r="Q973">
        <f>IF(P973&lt;-(O973),1,0)</f>
        <v>0</v>
      </c>
    </row>
    <row r="974" spans="1:17">
      <c r="A974" s="64">
        <v>42703</v>
      </c>
      <c r="B974">
        <v>2204.6599120000001</v>
      </c>
      <c r="C974" s="68">
        <f>LN(B974)-LN(B973)</f>
        <v>1.3344021688128649E-3</v>
      </c>
      <c r="D974" s="68"/>
      <c r="E974" s="68"/>
      <c r="F974" s="68"/>
      <c r="G974" s="68"/>
      <c r="H974" s="68"/>
      <c r="I974">
        <f>_xlfn.STDEV.S(C954:C974)</f>
        <v>6.5758890482046101E-3</v>
      </c>
      <c r="J974">
        <f>_xlfn.NORM.S.INV(0.99)*I974*SQRT(10)</f>
        <v>4.8375908605080217E-2</v>
      </c>
      <c r="K974">
        <f>LN(B983)-LN(B974)</f>
        <v>2.3445495675050942E-2</v>
      </c>
      <c r="L974">
        <f>IF(K974&lt;-(J974),1,0)</f>
        <v>0</v>
      </c>
      <c r="M974" s="72">
        <f t="shared" si="14"/>
        <v>3.3049260266398449E-2</v>
      </c>
      <c r="N974">
        <f>SQRT((N973^2)*0.72+(1-0.72)*(C973^2))</f>
        <v>4.4940759072074855E-3</v>
      </c>
      <c r="O974">
        <f>_xlfn.NORM.S.INV(0.99)*N974*SQRT(10)</f>
        <v>3.3060929671664629E-2</v>
      </c>
      <c r="P974">
        <f>LN(B983)-LN(B974)</f>
        <v>2.3445495675050942E-2</v>
      </c>
      <c r="Q974">
        <f>IF(P974&lt;-(O974),1,0)</f>
        <v>0</v>
      </c>
    </row>
    <row r="975" spans="1:17">
      <c r="A975" s="64">
        <v>42704</v>
      </c>
      <c r="B975">
        <v>2198.8100589999999</v>
      </c>
      <c r="C975" s="68">
        <f>LN(B975)-LN(B974)</f>
        <v>-2.6569303207866213E-3</v>
      </c>
      <c r="D975" s="68"/>
      <c r="E975" s="68"/>
      <c r="F975" s="68"/>
      <c r="G975" s="68"/>
      <c r="H975" s="68"/>
      <c r="I975">
        <f>_xlfn.STDEV.S(C955:C975)</f>
        <v>6.6344114669540438E-3</v>
      </c>
      <c r="J975">
        <f>_xlfn.NORM.S.INV(0.99)*I975*SQRT(10)</f>
        <v>4.8806432167752517E-2</v>
      </c>
      <c r="K975">
        <f>LN(B984)-LN(B975)</f>
        <v>3.2620909300065115E-2</v>
      </c>
      <c r="L975">
        <f>IF(K975&lt;-(J975),1,0)</f>
        <v>0</v>
      </c>
      <c r="M975" s="72">
        <f t="shared" si="14"/>
        <v>2.8520250575657276E-2</v>
      </c>
      <c r="N975">
        <f>SQRT((N974^2)*0.72+(1-0.72)*(C974^2))</f>
        <v>3.8781713871993717E-3</v>
      </c>
      <c r="O975">
        <f>_xlfn.NORM.S.INV(0.99)*N975*SQRT(10)</f>
        <v>2.8529992402048881E-2</v>
      </c>
      <c r="P975">
        <f>LN(B984)-LN(B975)</f>
        <v>3.2620909300065115E-2</v>
      </c>
      <c r="Q975">
        <f>IF(P975&lt;-(O975),1,0)</f>
        <v>0</v>
      </c>
    </row>
    <row r="976" spans="1:17">
      <c r="A976" s="64">
        <v>42705</v>
      </c>
      <c r="B976">
        <v>2191.080078</v>
      </c>
      <c r="C976" s="68">
        <f>LN(B976)-LN(B975)</f>
        <v>-3.5217232085722472E-3</v>
      </c>
      <c r="D976" s="68"/>
      <c r="E976" s="68"/>
      <c r="F976" s="68"/>
      <c r="G976" s="68"/>
      <c r="H976" s="68"/>
      <c r="I976">
        <f>_xlfn.STDEV.S(C956:C976)</f>
        <v>6.4625688886761736E-3</v>
      </c>
      <c r="J976">
        <f>_xlfn.NORM.S.INV(0.99)*I976*SQRT(10)</f>
        <v>4.7542262288928112E-2</v>
      </c>
      <c r="K976">
        <f>LN(B985)-LN(B976)</f>
        <v>2.7992336784343763E-2</v>
      </c>
      <c r="L976">
        <f>IF(K976&lt;-(J976),1,0)</f>
        <v>0</v>
      </c>
      <c r="M976" s="72">
        <f t="shared" si="14"/>
        <v>2.6299006412701845E-2</v>
      </c>
      <c r="N976">
        <f>SQRT((N975^2)*0.72+(1-0.72)*(C975^2))</f>
        <v>3.5784845432638734E-3</v>
      </c>
      <c r="O976">
        <f>_xlfn.NORM.S.INV(0.99)*N976*SQRT(10)</f>
        <v>2.6325328779214972E-2</v>
      </c>
      <c r="P976">
        <f>LN(B985)-LN(B976)</f>
        <v>2.7992336784343763E-2</v>
      </c>
      <c r="Q976">
        <f>IF(P976&lt;-(O976),1,0)</f>
        <v>0</v>
      </c>
    </row>
    <row r="977" spans="1:17">
      <c r="A977" s="64">
        <v>42706</v>
      </c>
      <c r="B977">
        <v>2191.9499510000001</v>
      </c>
      <c r="C977" s="68">
        <f>LN(B977)-LN(B976)</f>
        <v>3.9692769872257117E-4</v>
      </c>
      <c r="D977" s="68"/>
      <c r="E977" s="68"/>
      <c r="F977" s="68"/>
      <c r="G977" s="68"/>
      <c r="H977" s="68"/>
      <c r="I977">
        <f>_xlfn.STDEV.S(C957:C977)</f>
        <v>6.1882898014042498E-3</v>
      </c>
      <c r="J977">
        <f>_xlfn.NORM.S.INV(0.99)*I977*SQRT(10)</f>
        <v>4.5524512299400223E-2</v>
      </c>
      <c r="K977">
        <f>LN(B986)-LN(B977)</f>
        <v>3.147111677368386E-2</v>
      </c>
      <c r="L977">
        <f>IF(K977&lt;-(J977),1,0)</f>
        <v>0</v>
      </c>
      <c r="M977" s="72">
        <f t="shared" si="14"/>
        <v>2.6172660579378147E-2</v>
      </c>
      <c r="N977">
        <f>SQRT((N976^2)*0.72+(1-0.72)*(C976^2))</f>
        <v>3.5626825274188379E-3</v>
      </c>
      <c r="O977">
        <f>_xlfn.NORM.S.INV(0.99)*N977*SQRT(10)</f>
        <v>2.6209080334526846E-2</v>
      </c>
      <c r="P977">
        <f>LN(B986)-LN(B977)</f>
        <v>3.147111677368386E-2</v>
      </c>
      <c r="Q977">
        <f>IF(P977&lt;-(O977),1,0)</f>
        <v>0</v>
      </c>
    </row>
    <row r="978" spans="1:17">
      <c r="A978" s="64">
        <v>42709</v>
      </c>
      <c r="B978">
        <v>2204.709961</v>
      </c>
      <c r="C978" s="68">
        <f>LN(B978)-LN(B977)</f>
        <v>5.8044270335040338E-3</v>
      </c>
      <c r="D978" s="68"/>
      <c r="E978" s="68"/>
      <c r="F978" s="68"/>
      <c r="G978" s="68"/>
      <c r="H978" s="68"/>
      <c r="I978">
        <f>_xlfn.STDEV.S(C958:C978)</f>
        <v>6.0506418921189836E-3</v>
      </c>
      <c r="J978">
        <f>_xlfn.NORM.S.INV(0.99)*I978*SQRT(10)</f>
        <v>4.4511897483296772E-2</v>
      </c>
      <c r="K978">
        <f>LN(B987)-LN(B978)</f>
        <v>2.3914532961290647E-2</v>
      </c>
      <c r="L978">
        <f>IF(K978&lt;-(J978),1,0)</f>
        <v>0</v>
      </c>
      <c r="M978" s="72">
        <f t="shared" si="14"/>
        <v>2.225254734744957E-2</v>
      </c>
      <c r="N978">
        <f>SQRT((N977^2)*0.72+(1-0.72)*(C977^2))</f>
        <v>3.0303239656990538E-3</v>
      </c>
      <c r="O978">
        <f>_xlfn.NORM.S.INV(0.99)*N978*SQRT(10)</f>
        <v>2.2292753745360994E-2</v>
      </c>
      <c r="P978">
        <f>LN(B987)-LN(B978)</f>
        <v>2.3914532961290647E-2</v>
      </c>
      <c r="Q978">
        <f>IF(P978&lt;-(O978),1,0)</f>
        <v>0</v>
      </c>
    </row>
    <row r="979" spans="1:17">
      <c r="A979" s="64">
        <v>42710</v>
      </c>
      <c r="B979">
        <v>2212.2299800000001</v>
      </c>
      <c r="C979" s="68">
        <f>LN(B979)-LN(B978)</f>
        <v>3.4050842286355021E-3</v>
      </c>
      <c r="D979" s="68"/>
      <c r="E979" s="68"/>
      <c r="F979" s="68"/>
      <c r="G979" s="68"/>
      <c r="H979" s="68"/>
      <c r="I979">
        <f>_xlfn.STDEV.S(C959:C979)</f>
        <v>5.973570680128523E-3</v>
      </c>
      <c r="J979">
        <f>_xlfn.NORM.S.INV(0.99)*I979*SQRT(10)</f>
        <v>4.3944918648951739E-2</v>
      </c>
      <c r="K979">
        <f>LN(B988)-LN(B979)</f>
        <v>2.2482621475804265E-2</v>
      </c>
      <c r="L979">
        <f>IF(K979&lt;-(J979),1,0)</f>
        <v>0</v>
      </c>
      <c r="M979" s="72">
        <f t="shared" si="14"/>
        <v>2.9444917976938965E-2</v>
      </c>
      <c r="N979">
        <f>SQRT((N978^2)*0.72+(1-0.72)*(C978^2))</f>
        <v>4.0056517690809212E-3</v>
      </c>
      <c r="O979">
        <f>_xlfn.NORM.S.INV(0.99)*N979*SQRT(10)</f>
        <v>2.9467809213986472E-2</v>
      </c>
      <c r="P979">
        <f>LN(B988)-LN(B979)</f>
        <v>2.2482621475804265E-2</v>
      </c>
      <c r="Q979">
        <f>IF(P979&lt;-(O979),1,0)</f>
        <v>0</v>
      </c>
    </row>
    <row r="980" spans="1:17">
      <c r="A980" s="64">
        <v>42711</v>
      </c>
      <c r="B980">
        <v>2241.3500979999999</v>
      </c>
      <c r="C980" s="68">
        <f>LN(B980)-LN(B979)</f>
        <v>1.3077359109980868E-2</v>
      </c>
      <c r="D980" s="68"/>
      <c r="E980" s="68"/>
      <c r="F980" s="68"/>
      <c r="G980" s="68"/>
      <c r="H980" s="68"/>
      <c r="I980">
        <f>_xlfn.STDEV.S(C960:C980)</f>
        <v>4.7325149248459829E-3</v>
      </c>
      <c r="J980">
        <f>_xlfn.NORM.S.INV(0.99)*I980*SQRT(10)</f>
        <v>3.4815020113369136E-2</v>
      </c>
      <c r="K980">
        <f>LN(B989)-LN(B980)</f>
        <v>1.3036175001404082E-2</v>
      </c>
      <c r="L980">
        <f>IF(K980&lt;-(J980),1,0)</f>
        <v>0</v>
      </c>
      <c r="M980" s="72">
        <f t="shared" si="14"/>
        <v>2.8101193091211771E-2</v>
      </c>
      <c r="N980">
        <f>SQRT((N979^2)*0.72+(1-0.72)*(C979^2))</f>
        <v>3.8469552632764302E-3</v>
      </c>
      <c r="O980">
        <f>_xlfn.NORM.S.INV(0.99)*N980*SQRT(10)</f>
        <v>2.8300349178625978E-2</v>
      </c>
      <c r="P980">
        <f>LN(B989)-LN(B980)</f>
        <v>1.3036175001404082E-2</v>
      </c>
      <c r="Q980">
        <f>IF(P980&lt;-(O980),1,0)</f>
        <v>0</v>
      </c>
    </row>
    <row r="981" spans="1:17">
      <c r="A981" s="64">
        <v>42712</v>
      </c>
      <c r="B981">
        <v>2246.1899410000001</v>
      </c>
      <c r="C981" s="68">
        <f>LN(B981)-LN(B980)</f>
        <v>2.1570146826421777E-3</v>
      </c>
      <c r="D981" s="68"/>
      <c r="E981" s="68"/>
      <c r="F981" s="68"/>
      <c r="G981" s="68"/>
      <c r="H981" s="68"/>
      <c r="I981">
        <f>_xlfn.STDEV.S(C961:C981)</f>
        <v>4.7221973727323069E-3</v>
      </c>
      <c r="J981">
        <f>_xlfn.NORM.S.INV(0.99)*I981*SQRT(10)</f>
        <v>3.4739118443736249E-2</v>
      </c>
      <c r="K981">
        <f>LN(B990)-LN(B981)</f>
        <v>8.4187746495221205E-3</v>
      </c>
      <c r="L981">
        <f>IF(K981&lt;-(J981),1,0)</f>
        <v>0</v>
      </c>
      <c r="M981" s="72">
        <f t="shared" si="14"/>
        <v>5.6211599714081815E-2</v>
      </c>
      <c r="N981">
        <f>SQRT((N980^2)*0.72+(1-0.72)*(C980^2))</f>
        <v>7.6511552471440593E-3</v>
      </c>
      <c r="O981">
        <f>_xlfn.NORM.S.INV(0.99)*N981*SQRT(10)</f>
        <v>5.6286166668243376E-2</v>
      </c>
      <c r="P981">
        <f>LN(B990)-LN(B981)</f>
        <v>8.4187746495221205E-3</v>
      </c>
      <c r="Q981">
        <f>IF(P981&lt;-(O981),1,0)</f>
        <v>0</v>
      </c>
    </row>
    <row r="982" spans="1:17">
      <c r="A982" s="64">
        <v>42713</v>
      </c>
      <c r="B982">
        <v>2259.530029</v>
      </c>
      <c r="C982" s="68">
        <f>LN(B982)-LN(B981)</f>
        <v>5.9214185824441046E-3</v>
      </c>
      <c r="D982" s="68"/>
      <c r="E982" s="68"/>
      <c r="F982" s="68"/>
      <c r="G982" s="68"/>
      <c r="H982" s="68"/>
      <c r="I982">
        <f>_xlfn.STDEV.S(C962:C982)</f>
        <v>4.3706608694315989E-3</v>
      </c>
      <c r="J982">
        <f>_xlfn.NORM.S.INV(0.99)*I982*SQRT(10)</f>
        <v>3.215301979907198E-2</v>
      </c>
      <c r="K982">
        <f>LN(B991)-LN(B982)</f>
        <v>6.3264471367308062E-4</v>
      </c>
      <c r="L982">
        <f>IF(K982&lt;-(J982),1,0)</f>
        <v>0</v>
      </c>
      <c r="M982" s="72">
        <f t="shared" si="14"/>
        <v>4.8403946229419979E-2</v>
      </c>
      <c r="N982">
        <f>SQRT((N981^2)*0.72+(1-0.72)*(C981^2))</f>
        <v>6.5917893336305544E-3</v>
      </c>
      <c r="O982">
        <f>_xlfn.NORM.S.INV(0.99)*N982*SQRT(10)</f>
        <v>4.8492879975631273E-2</v>
      </c>
      <c r="P982">
        <f>LN(B991)-LN(B982)</f>
        <v>6.3264471367308062E-4</v>
      </c>
      <c r="Q982">
        <f>IF(P982&lt;-(O982),1,0)</f>
        <v>0</v>
      </c>
    </row>
    <row r="983" spans="1:17">
      <c r="A983" s="64">
        <v>42716</v>
      </c>
      <c r="B983">
        <v>2256.959961</v>
      </c>
      <c r="C983" s="68">
        <f>LN(B983)-LN(B982)</f>
        <v>-1.1380821315194467E-3</v>
      </c>
      <c r="D983" s="68"/>
      <c r="E983" s="68"/>
      <c r="F983" s="68"/>
      <c r="G983" s="68"/>
      <c r="H983" s="68"/>
      <c r="I983">
        <f>_xlfn.STDEV.S(C963:C983)</f>
        <v>4.4266104286088169E-3</v>
      </c>
      <c r="J983">
        <f>_xlfn.NORM.S.INV(0.99)*I983*SQRT(10)</f>
        <v>3.2564615971302203E-2</v>
      </c>
      <c r="K983">
        <f>LN(B992)-LN(B983)</f>
        <v>3.0216593250198542E-3</v>
      </c>
      <c r="L983">
        <f>IF(K983&lt;-(J983),1,0)</f>
        <v>0</v>
      </c>
      <c r="M983" s="72">
        <f t="shared" si="14"/>
        <v>4.7097355454703706E-2</v>
      </c>
      <c r="N983">
        <f>SQRT((N982^2)*0.72+(1-0.72)*(C982^2))</f>
        <v>6.4111551075948245E-3</v>
      </c>
      <c r="O983">
        <f>_xlfn.NORM.S.INV(0.99)*N983*SQRT(10)</f>
        <v>4.7164033830935495E-2</v>
      </c>
      <c r="P983">
        <f>LN(B992)-LN(B983)</f>
        <v>3.0216593250198542E-3</v>
      </c>
      <c r="Q983">
        <f>IF(P983&lt;-(O983),1,0)</f>
        <v>0</v>
      </c>
    </row>
    <row r="984" spans="1:17">
      <c r="A984" s="64">
        <v>42717</v>
      </c>
      <c r="B984">
        <v>2271.719971</v>
      </c>
      <c r="C984" s="68">
        <f>LN(B984)-LN(B983)</f>
        <v>6.5184833042275514E-3</v>
      </c>
      <c r="D984" s="68"/>
      <c r="E984" s="68"/>
      <c r="F984" s="68"/>
      <c r="G984" s="68"/>
      <c r="H984" s="68"/>
      <c r="I984">
        <f>_xlfn.STDEV.S(C964:C984)</f>
        <v>4.4662211641847615E-3</v>
      </c>
      <c r="J984">
        <f>_xlfn.NORM.S.INV(0.99)*I984*SQRT(10)</f>
        <v>3.2856014641497996E-2</v>
      </c>
      <c r="K984">
        <f>LN(B993)-LN(B984)</f>
        <v>-1.2509749644102897E-3</v>
      </c>
      <c r="L984">
        <f>IF(K984&lt;-(J984),1,0)</f>
        <v>0</v>
      </c>
      <c r="M984" s="72">
        <f t="shared" si="14"/>
        <v>4.0207726908267544E-2</v>
      </c>
      <c r="N984">
        <f>SQRT((N983^2)*0.72+(1-0.72)*(C983^2))</f>
        <v>5.4732768729969898E-3</v>
      </c>
      <c r="O984">
        <f>_xlfn.NORM.S.INV(0.99)*N984*SQRT(10)</f>
        <v>4.0264478283843927E-2</v>
      </c>
      <c r="P984">
        <f>LN(B993)-LN(B984)</f>
        <v>-1.2509749644102897E-3</v>
      </c>
      <c r="Q984">
        <f>IF(P984&lt;-(O984),1,0)</f>
        <v>0</v>
      </c>
    </row>
    <row r="985" spans="1:17">
      <c r="A985" s="64">
        <v>42718</v>
      </c>
      <c r="B985">
        <v>2253.280029</v>
      </c>
      <c r="C985" s="68">
        <f>LN(B985)-LN(B984)</f>
        <v>-8.1502957242935992E-3</v>
      </c>
      <c r="D985" s="68"/>
      <c r="E985" s="68"/>
      <c r="F985" s="68"/>
      <c r="G985" s="68"/>
      <c r="H985" s="68"/>
      <c r="I985">
        <f>_xlfn.STDEV.S(C965:C985)</f>
        <v>4.9964825437802214E-3</v>
      </c>
      <c r="J985">
        <f>_xlfn.NORM.S.INV(0.99)*I985*SQRT(10)</f>
        <v>3.6756913188914539E-2</v>
      </c>
      <c r="K985">
        <f>LN(B994)-LN(B985)</f>
        <v>-1.4923199769709683E-3</v>
      </c>
      <c r="L985">
        <f>IF(K985&lt;-(J985),1,0)</f>
        <v>0</v>
      </c>
      <c r="M985" s="72">
        <f t="shared" ref="M985:M1048" si="15">EWMAV(B964:B984,0.72,0.99)*SQRT(10)</f>
        <v>4.2519045422894738E-2</v>
      </c>
      <c r="N985">
        <f>SQRT((N984^2)*0.72+(1-0.72)*(C984^2))</f>
        <v>5.7850014597237917E-3</v>
      </c>
      <c r="O985">
        <f>_xlfn.NORM.S.INV(0.99)*N985*SQRT(10)</f>
        <v>4.2557698258650127E-2</v>
      </c>
      <c r="P985">
        <f>LN(B994)-LN(B985)</f>
        <v>-1.4923199769709683E-3</v>
      </c>
      <c r="Q985">
        <f>IF(P985&lt;-(O985),1,0)</f>
        <v>0</v>
      </c>
    </row>
    <row r="986" spans="1:17">
      <c r="A986" s="64">
        <v>42719</v>
      </c>
      <c r="B986">
        <v>2262.030029</v>
      </c>
      <c r="C986" s="68">
        <f>LN(B986)-LN(B985)</f>
        <v>3.8757076880626684E-3</v>
      </c>
      <c r="D986" s="68"/>
      <c r="E986" s="68"/>
      <c r="F986" s="68"/>
      <c r="G986" s="68"/>
      <c r="H986" s="68"/>
      <c r="I986">
        <f>_xlfn.STDEV.S(C966:C986)</f>
        <v>4.8574895959644883E-3</v>
      </c>
      <c r="J986">
        <f>_xlfn.NORM.S.INV(0.99)*I986*SQRT(10)</f>
        <v>3.5734403518968026E-2</v>
      </c>
      <c r="K986">
        <f>LN(B995)-LN(B986)</f>
        <v>-5.6613753482590568E-3</v>
      </c>
      <c r="L986">
        <f>IF(K986&lt;-(J986),1,0)</f>
        <v>0</v>
      </c>
      <c r="M986" s="72">
        <f t="shared" si="15"/>
        <v>4.8032066703730426E-2</v>
      </c>
      <c r="N986">
        <f>SQRT((N985^2)*0.72+(1-0.72)*(C985^2))</f>
        <v>6.5341674198207836E-3</v>
      </c>
      <c r="O986">
        <f>_xlfn.NORM.S.INV(0.99)*N986*SQRT(10)</f>
        <v>4.8068981029697519E-2</v>
      </c>
      <c r="P986">
        <f>LN(B995)-LN(B986)</f>
        <v>-5.6613753482590568E-3</v>
      </c>
      <c r="Q986">
        <f>IF(P986&lt;-(O986),1,0)</f>
        <v>0</v>
      </c>
    </row>
    <row r="987" spans="1:17">
      <c r="A987" s="64">
        <v>42720</v>
      </c>
      <c r="B987">
        <v>2258.070068</v>
      </c>
      <c r="C987" s="68">
        <f>LN(B987)-LN(B986)</f>
        <v>-1.7521567788891801E-3</v>
      </c>
      <c r="D987" s="68"/>
      <c r="E987" s="68"/>
      <c r="F987" s="68"/>
      <c r="G987" s="68"/>
      <c r="H987" s="68"/>
      <c r="I987">
        <f>_xlfn.STDEV.S(C967:C987)</f>
        <v>4.8634126908261195E-3</v>
      </c>
      <c r="J987">
        <f>_xlfn.NORM.S.INV(0.99)*I987*SQRT(10)</f>
        <v>3.5777977109335057E-2</v>
      </c>
      <c r="K987">
        <f>LN(B996)-LN(B987)</f>
        <v>-8.557053426257788E-3</v>
      </c>
      <c r="L987">
        <f>IF(K987&lt;-(J987),1,0)</f>
        <v>0</v>
      </c>
      <c r="M987" s="72">
        <f t="shared" si="15"/>
        <v>4.3458754979347952E-2</v>
      </c>
      <c r="N987">
        <f>SQRT((N986^2)*0.72+(1-0.72)*(C986^2))</f>
        <v>5.911561418940379E-3</v>
      </c>
      <c r="O987">
        <f>_xlfn.NORM.S.INV(0.99)*N987*SQRT(10)</f>
        <v>4.348874392794954E-2</v>
      </c>
      <c r="P987">
        <f>LN(B996)-LN(B987)</f>
        <v>-8.557053426257788E-3</v>
      </c>
      <c r="Q987">
        <f>IF(P987&lt;-(O987),1,0)</f>
        <v>0</v>
      </c>
    </row>
    <row r="988" spans="1:17">
      <c r="A988" s="64">
        <v>42723</v>
      </c>
      <c r="B988">
        <v>2262.530029</v>
      </c>
      <c r="C988" s="68">
        <f>LN(B988)-LN(B987)</f>
        <v>1.9731727431491208E-3</v>
      </c>
      <c r="D988" s="68"/>
      <c r="E988" s="68"/>
      <c r="F988" s="68"/>
      <c r="G988" s="68"/>
      <c r="H988" s="68"/>
      <c r="I988">
        <f>_xlfn.STDEV.S(C968:C988)</f>
        <v>4.8177764120209948E-3</v>
      </c>
      <c r="J988">
        <f>_xlfn.NORM.S.INV(0.99)*I988*SQRT(10)</f>
        <v>3.5442251181423384E-2</v>
      </c>
      <c r="K988">
        <f>LN(B997)-LN(B988)</f>
        <v>-2.0794594157793611E-3</v>
      </c>
      <c r="L988">
        <f>IF(K988&lt;-(J988),1,0)</f>
        <v>0</v>
      </c>
      <c r="M988" s="72">
        <f t="shared" si="15"/>
        <v>3.7495289897215754E-2</v>
      </c>
      <c r="N988">
        <f>SQRT((N987^2)*0.72+(1-0.72)*(C987^2))</f>
        <v>5.1010917459811678E-3</v>
      </c>
      <c r="O988">
        <f>_xlfn.NORM.S.INV(0.99)*N988*SQRT(10)</f>
        <v>3.7526476843019227E-2</v>
      </c>
      <c r="P988">
        <f>LN(B997)-LN(B988)</f>
        <v>-2.0794594157793611E-3</v>
      </c>
      <c r="Q988">
        <f>IF(P988&lt;-(O988),1,0)</f>
        <v>0</v>
      </c>
    </row>
    <row r="989" spans="1:17">
      <c r="A989" s="64">
        <v>42724</v>
      </c>
      <c r="B989">
        <v>2270.76001</v>
      </c>
      <c r="C989" s="68">
        <f>LN(B989)-LN(B988)</f>
        <v>3.6309126355806853E-3</v>
      </c>
      <c r="D989" s="68"/>
      <c r="E989" s="68"/>
      <c r="F989" s="68"/>
      <c r="G989" s="68"/>
      <c r="H989" s="68"/>
      <c r="I989">
        <f>_xlfn.STDEV.S(C969:C989)</f>
        <v>4.7462076932563444E-3</v>
      </c>
      <c r="J989">
        <f>_xlfn.NORM.S.INV(0.99)*I989*SQRT(10)</f>
        <v>3.491575175715364E-2</v>
      </c>
      <c r="K989">
        <f>LN(B998)-LN(B989)</f>
        <v>-4.4082254477828542E-6</v>
      </c>
      <c r="L989">
        <f>IF(K989&lt;-(J989),1,0)</f>
        <v>0</v>
      </c>
      <c r="M989" s="72">
        <f t="shared" si="15"/>
        <v>3.2728006617605707E-2</v>
      </c>
      <c r="N989">
        <f>SQRT((N988^2)*0.72+(1-0.72)*(C988^2))</f>
        <v>4.4525693289904243E-3</v>
      </c>
      <c r="O989">
        <f>_xlfn.NORM.S.INV(0.99)*N989*SQRT(10)</f>
        <v>3.2755584125287687E-2</v>
      </c>
      <c r="P989">
        <f>LN(B998)-LN(B989)</f>
        <v>-4.4082254477828542E-6</v>
      </c>
      <c r="Q989">
        <f>IF(P989&lt;-(O989),1,0)</f>
        <v>0</v>
      </c>
    </row>
    <row r="990" spans="1:17">
      <c r="A990" s="64">
        <v>42725</v>
      </c>
      <c r="B990">
        <v>2265.179932</v>
      </c>
      <c r="C990" s="68">
        <f>LN(B990)-LN(B989)</f>
        <v>-2.4603856692397841E-3</v>
      </c>
      <c r="D990" s="68"/>
      <c r="E990" s="68"/>
      <c r="F990" s="68"/>
      <c r="G990" s="68"/>
      <c r="H990" s="68"/>
      <c r="I990">
        <f>_xlfn.STDEV.S(C970:C990)</f>
        <v>4.6598110373617689E-3</v>
      </c>
      <c r="J990">
        <f>_xlfn.NORM.S.INV(0.99)*I990*SQRT(10)</f>
        <v>3.4280169754674197E-2</v>
      </c>
      <c r="K990">
        <f>LN(B999)-LN(B990)</f>
        <v>1.6850098413101477E-3</v>
      </c>
      <c r="L990">
        <f>IF(K990&lt;-(J990),1,0)</f>
        <v>0</v>
      </c>
      <c r="M990" s="72">
        <f t="shared" si="15"/>
        <v>3.1141746951279702E-2</v>
      </c>
      <c r="N990">
        <f>SQRT((N989^2)*0.72+(1-0.72)*(C989^2))</f>
        <v>4.2385913287361337E-3</v>
      </c>
      <c r="O990">
        <f>_xlfn.NORM.S.INV(0.99)*N990*SQRT(10)</f>
        <v>3.1181442574553107E-2</v>
      </c>
      <c r="P990">
        <f>LN(B999)-LN(B990)</f>
        <v>1.6850098413101477E-3</v>
      </c>
      <c r="Q990">
        <f>IF(P990&lt;-(O990),1,0)</f>
        <v>0</v>
      </c>
    </row>
    <row r="991" spans="1:17">
      <c r="A991" s="64">
        <v>42726</v>
      </c>
      <c r="B991">
        <v>2260.959961</v>
      </c>
      <c r="C991" s="68">
        <f>LN(B991)-LN(B990)</f>
        <v>-1.8647113534049353E-3</v>
      </c>
      <c r="D991" s="68"/>
      <c r="E991" s="68"/>
      <c r="F991" s="68"/>
      <c r="G991" s="68"/>
      <c r="H991" s="68"/>
      <c r="I991">
        <f>_xlfn.STDEV.S(C971:C991)</f>
        <v>4.7107315208404993E-3</v>
      </c>
      <c r="J991">
        <f>_xlfn.NORM.S.INV(0.99)*I991*SQRT(10)</f>
        <v>3.4654769240285363E-2</v>
      </c>
      <c r="K991">
        <f>LN(B1000)-LN(B991)</f>
        <v>7.0605101694294348E-3</v>
      </c>
      <c r="L991">
        <f>IF(K991&lt;-(J991),1,0)</f>
        <v>0</v>
      </c>
      <c r="M991" s="72">
        <f t="shared" si="15"/>
        <v>2.8105038000286423E-2</v>
      </c>
      <c r="N991">
        <f>SQRT((N990^2)*0.72+(1-0.72)*(C990^2))</f>
        <v>3.8249512395661833E-3</v>
      </c>
      <c r="O991">
        <f>_xlfn.NORM.S.INV(0.99)*N991*SQRT(10)</f>
        <v>2.813847530390761E-2</v>
      </c>
      <c r="P991">
        <f>LN(B1000)-LN(B991)</f>
        <v>7.0605101694294348E-3</v>
      </c>
      <c r="Q991">
        <f>IF(P991&lt;-(O991),1,0)</f>
        <v>0</v>
      </c>
    </row>
    <row r="992" spans="1:17">
      <c r="A992" s="64">
        <v>42727</v>
      </c>
      <c r="B992">
        <v>2263.790039</v>
      </c>
      <c r="C992" s="68">
        <f>LN(B992)-LN(B991)</f>
        <v>1.2509324798273269E-3</v>
      </c>
      <c r="D992" s="68"/>
      <c r="E992" s="68"/>
      <c r="F992" s="68"/>
      <c r="G992" s="68"/>
      <c r="H992" s="68"/>
      <c r="I992">
        <f>_xlfn.STDEV.S(C972:C992)</f>
        <v>4.7097002970007962E-3</v>
      </c>
      <c r="J992">
        <f>_xlfn.NORM.S.INV(0.99)*I992*SQRT(10)</f>
        <v>3.4647182982388496E-2</v>
      </c>
      <c r="K992">
        <f>LN(B1001)-LN(B992)</f>
        <v>2.2546722724028356E-3</v>
      </c>
      <c r="L992">
        <f>IF(K992&lt;-(J992),1,0)</f>
        <v>0</v>
      </c>
      <c r="M992" s="72">
        <f t="shared" si="15"/>
        <v>2.4927886151801394E-2</v>
      </c>
      <c r="N992">
        <f>SQRT((N991^2)*0.72+(1-0.72)*(C991^2))</f>
        <v>3.3922533794024331E-3</v>
      </c>
      <c r="O992">
        <f>_xlfn.NORM.S.INV(0.99)*N992*SQRT(10)</f>
        <v>2.4955308437275281E-2</v>
      </c>
      <c r="P992">
        <f>LN(B1001)-LN(B992)</f>
        <v>2.2546722724028356E-3</v>
      </c>
      <c r="Q992">
        <f>IF(P992&lt;-(O992),1,0)</f>
        <v>0</v>
      </c>
    </row>
    <row r="993" spans="1:17">
      <c r="A993" s="64">
        <v>42731</v>
      </c>
      <c r="B993">
        <v>2268.8798830000001</v>
      </c>
      <c r="C993" s="68">
        <f>LN(B993)-LN(B992)</f>
        <v>2.2458490147974075E-3</v>
      </c>
      <c r="D993" s="68"/>
      <c r="E993" s="68"/>
      <c r="F993" s="68"/>
      <c r="G993" s="68"/>
      <c r="H993" s="68"/>
      <c r="I993">
        <f>_xlfn.STDEV.S(C973:C993)</f>
        <v>4.6768452799503517E-3</v>
      </c>
      <c r="J993">
        <f>_xlfn.NORM.S.INV(0.99)*I993*SQRT(10)</f>
        <v>3.440548314676177E-2</v>
      </c>
      <c r="K993">
        <f>LN(B1002)-LN(B993)</f>
        <v>8.8232576054281253E-6</v>
      </c>
      <c r="L993">
        <f>IF(K993&lt;-(J993),1,0)</f>
        <v>0</v>
      </c>
      <c r="M993" s="72">
        <f t="shared" si="15"/>
        <v>2.16978303397906E-2</v>
      </c>
      <c r="N993">
        <f>SQRT((N992^2)*0.72+(1-0.72)*(C992^2))</f>
        <v>2.9535518841206677E-3</v>
      </c>
      <c r="O993">
        <f>_xlfn.NORM.S.INV(0.99)*N993*SQRT(10)</f>
        <v>2.1727975481215588E-2</v>
      </c>
      <c r="P993">
        <f>LN(B1002)-LN(B993)</f>
        <v>8.8232576054281253E-6</v>
      </c>
      <c r="Q993">
        <f>IF(P993&lt;-(O993),1,0)</f>
        <v>0</v>
      </c>
    </row>
    <row r="994" spans="1:17">
      <c r="A994" s="64">
        <v>42732</v>
      </c>
      <c r="B994">
        <v>2249.919922</v>
      </c>
      <c r="C994" s="68">
        <f>LN(B994)-LN(B993)</f>
        <v>-8.3916407368542778E-3</v>
      </c>
      <c r="D994" s="68"/>
      <c r="E994" s="68"/>
      <c r="F994" s="68"/>
      <c r="G994" s="68"/>
      <c r="H994" s="68"/>
      <c r="I994">
        <f>_xlfn.STDEV.S(C974:C994)</f>
        <v>4.9347108105261828E-3</v>
      </c>
      <c r="J994">
        <f>_xlfn.NORM.S.INV(0.99)*I994*SQRT(10)</f>
        <v>3.6302485855915265E-2</v>
      </c>
      <c r="K994">
        <f>LN(B1003)-LN(B994)</f>
        <v>1.1226106377121958E-2</v>
      </c>
      <c r="L994">
        <f>IF(K994&lt;-(J994),1,0)</f>
        <v>0</v>
      </c>
      <c r="M994" s="72">
        <f t="shared" si="15"/>
        <v>2.0366989855100538E-2</v>
      </c>
      <c r="N994">
        <f>SQRT((N993^2)*0.72+(1-0.72)*(C993^2))</f>
        <v>2.7736568047279017E-3</v>
      </c>
      <c r="O994">
        <f>_xlfn.NORM.S.INV(0.99)*N994*SQRT(10)</f>
        <v>2.0404566911604135E-2</v>
      </c>
      <c r="P994">
        <f>LN(B1003)-LN(B994)</f>
        <v>1.1226106377121958E-2</v>
      </c>
      <c r="Q994">
        <f>IF(P994&lt;-(O994),1,0)</f>
        <v>0</v>
      </c>
    </row>
    <row r="995" spans="1:17">
      <c r="A995" s="64">
        <v>42733</v>
      </c>
      <c r="B995">
        <v>2249.26001</v>
      </c>
      <c r="C995" s="68">
        <f>LN(B995)-LN(B994)</f>
        <v>-2.9334768322542004E-4</v>
      </c>
      <c r="D995" s="68"/>
      <c r="E995" s="68"/>
      <c r="F995" s="68"/>
      <c r="G995" s="68"/>
      <c r="H995" s="68"/>
      <c r="I995">
        <f>_xlfn.STDEV.S(C975:C995)</f>
        <v>4.942488383183714E-3</v>
      </c>
      <c r="J995">
        <f>_xlfn.NORM.S.INV(0.99)*I995*SQRT(10)</f>
        <v>3.6359702019584085E-2</v>
      </c>
      <c r="K995">
        <f>LN(B1004)-LN(B995)</f>
        <v>9.3723416456326092E-3</v>
      </c>
      <c r="L995">
        <f>IF(K995&lt;-(J995),1,0)</f>
        <v>0</v>
      </c>
      <c r="M995" s="72">
        <f t="shared" si="15"/>
        <v>3.6955630313331878E-2</v>
      </c>
      <c r="N995">
        <f>SQRT((N994^2)*0.72+(1-0.72)*(C994^2))</f>
        <v>5.0255926498770928E-3</v>
      </c>
      <c r="O995">
        <f>_xlfn.NORM.S.INV(0.99)*N995*SQRT(10)</f>
        <v>3.6971063370236548E-2</v>
      </c>
      <c r="P995">
        <f>LN(B1004)-LN(B995)</f>
        <v>9.3723416456326092E-3</v>
      </c>
      <c r="Q995">
        <f>IF(P995&lt;-(O995),1,0)</f>
        <v>0</v>
      </c>
    </row>
    <row r="996" spans="1:17">
      <c r="A996" s="64">
        <v>42734</v>
      </c>
      <c r="B996">
        <v>2238.830078</v>
      </c>
      <c r="C996" s="68">
        <f>LN(B996)-LN(B995)</f>
        <v>-4.6478348568879113E-3</v>
      </c>
      <c r="D996" s="68"/>
      <c r="E996" s="68"/>
      <c r="F996" s="68"/>
      <c r="G996" s="68"/>
      <c r="H996" s="68"/>
      <c r="I996">
        <f>_xlfn.STDEV.S(C976:C996)</f>
        <v>5.0334664098264058E-3</v>
      </c>
      <c r="J996">
        <f>_xlfn.NORM.S.INV(0.99)*I996*SQRT(10)</f>
        <v>3.7028987141287745E-2</v>
      </c>
      <c r="K996">
        <f>LN(B1005)-LN(B996)</f>
        <v>1.5868308262065867E-2</v>
      </c>
      <c r="L996">
        <f>IF(K996&lt;-(J996),1,0)</f>
        <v>0</v>
      </c>
      <c r="M996" s="72">
        <f t="shared" si="15"/>
        <v>3.1376287953383028E-2</v>
      </c>
      <c r="N996">
        <f>SQRT((N995^2)*0.72+(1-0.72)*(C995^2))</f>
        <v>4.2671809744971069E-3</v>
      </c>
      <c r="O996">
        <f>_xlfn.NORM.S.INV(0.99)*N996*SQRT(10)</f>
        <v>3.1391763959273254E-2</v>
      </c>
      <c r="P996">
        <f>LN(B1005)-LN(B996)</f>
        <v>1.5868308262065867E-2</v>
      </c>
      <c r="Q996">
        <f>IF(P996&lt;-(O996),1,0)</f>
        <v>0</v>
      </c>
    </row>
    <row r="997" spans="1:17">
      <c r="A997" s="64">
        <v>42738</v>
      </c>
      <c r="B997">
        <v>2257.830078</v>
      </c>
      <c r="C997" s="68">
        <f>LN(B997)-LN(B996)</f>
        <v>8.4507667536275477E-3</v>
      </c>
      <c r="D997" s="68"/>
      <c r="E997" s="68"/>
      <c r="F997" s="68"/>
      <c r="G997" s="68"/>
      <c r="H997" s="68"/>
      <c r="I997">
        <f>_xlfn.STDEV.S(C977:C997)</f>
        <v>5.188141688395145E-3</v>
      </c>
      <c r="J997">
        <f>_xlfn.NORM.S.INV(0.99)*I997*SQRT(10)</f>
        <v>3.8166864785611689E-2</v>
      </c>
      <c r="K997">
        <f>LN(B1006)-LN(B997)</f>
        <v>4.445627052771961E-3</v>
      </c>
      <c r="L997">
        <f>IF(K997&lt;-(J997),1,0)</f>
        <v>0</v>
      </c>
      <c r="M997" s="72">
        <f t="shared" si="15"/>
        <v>3.2185451381359635E-2</v>
      </c>
      <c r="N997">
        <f>SQRT((N996^2)*0.72+(1-0.72)*(C996^2))</f>
        <v>4.3771021666956659E-3</v>
      </c>
      <c r="O997">
        <f>_xlfn.NORM.S.INV(0.99)*N997*SQRT(10)</f>
        <v>3.22004055754226E-2</v>
      </c>
      <c r="P997">
        <f>LN(B1006)-LN(B997)</f>
        <v>4.445627052771961E-3</v>
      </c>
      <c r="Q997">
        <f>IF(P997&lt;-(O997),1,0)</f>
        <v>0</v>
      </c>
    </row>
    <row r="998" spans="1:17">
      <c r="A998" s="64">
        <v>42739</v>
      </c>
      <c r="B998">
        <v>2270.75</v>
      </c>
      <c r="C998" s="68">
        <f>LN(B998)-LN(B997)</f>
        <v>5.7059638259122636E-3</v>
      </c>
      <c r="D998" s="68"/>
      <c r="E998" s="68"/>
      <c r="F998" s="68"/>
      <c r="G998" s="68"/>
      <c r="H998" s="68"/>
      <c r="I998">
        <f>_xlfn.STDEV.S(C978:C998)</f>
        <v>5.2641288072772883E-3</v>
      </c>
      <c r="J998">
        <f>_xlfn.NORM.S.INV(0.99)*I998*SQRT(10)</f>
        <v>3.8725868426223532E-2</v>
      </c>
      <c r="K998">
        <f>LN(B1007)-LN(B998)</f>
        <v>5.0186369634186434E-4</v>
      </c>
      <c r="L998">
        <f>IF(K998&lt;-(J998),1,0)</f>
        <v>0</v>
      </c>
      <c r="M998" s="72">
        <f t="shared" si="15"/>
        <v>4.2755434754432539E-2</v>
      </c>
      <c r="N998">
        <f>SQRT((N997^2)*0.72+(1-0.72)*(C997^2))</f>
        <v>5.8129876375852402E-3</v>
      </c>
      <c r="O998">
        <f>_xlfn.NORM.S.INV(0.99)*N998*SQRT(10)</f>
        <v>4.276358019681948E-2</v>
      </c>
      <c r="P998">
        <f>LN(B1007)-LN(B998)</f>
        <v>5.0186369634186434E-4</v>
      </c>
      <c r="Q998">
        <f>IF(P998&lt;-(O998),1,0)</f>
        <v>0</v>
      </c>
    </row>
    <row r="999" spans="1:17">
      <c r="A999" s="64">
        <v>42740</v>
      </c>
      <c r="B999">
        <v>2269</v>
      </c>
      <c r="C999" s="68">
        <f>LN(B999)-LN(B998)</f>
        <v>-7.7096760248185348E-4</v>
      </c>
      <c r="D999" s="68"/>
      <c r="E999" s="68"/>
      <c r="F999" s="68"/>
      <c r="G999" s="68"/>
      <c r="H999" s="68"/>
      <c r="I999">
        <f>_xlfn.STDEV.S(C979:C999)</f>
        <v>5.2018397379050754E-3</v>
      </c>
      <c r="J999">
        <f>_xlfn.NORM.S.INV(0.99)*I999*SQRT(10)</f>
        <v>3.8267635280111012E-2</v>
      </c>
      <c r="K999">
        <f>LN(B1008)-LN(B999)</f>
        <v>-2.3430066906531266E-3</v>
      </c>
      <c r="L999">
        <f>IF(K999&lt;-(J999),1,0)</f>
        <v>0</v>
      </c>
      <c r="M999" s="72">
        <f t="shared" si="15"/>
        <v>4.2530290518680972E-2</v>
      </c>
      <c r="N999">
        <f>SQRT((N998^2)*0.72+(1-0.72)*(C998^2))</f>
        <v>5.7832206156198957E-3</v>
      </c>
      <c r="O999">
        <f>_xlfn.NORM.S.INV(0.99)*N999*SQRT(10)</f>
        <v>4.2544597375867826E-2</v>
      </c>
      <c r="P999">
        <f>LN(B1008)-LN(B999)</f>
        <v>-2.3430066906531266E-3</v>
      </c>
      <c r="Q999">
        <f>IF(P999&lt;-(O999),1,0)</f>
        <v>0</v>
      </c>
    </row>
    <row r="1000" spans="1:17">
      <c r="A1000" s="64">
        <v>42741</v>
      </c>
      <c r="B1000">
        <v>2276.9799800000001</v>
      </c>
      <c r="C1000" s="68">
        <f>LN(B1000)-LN(B999)</f>
        <v>3.5107889747143517E-3</v>
      </c>
      <c r="D1000" s="68"/>
      <c r="E1000" s="68"/>
      <c r="F1000" s="68"/>
      <c r="G1000" s="68"/>
      <c r="H1000" s="68"/>
      <c r="I1000">
        <f>_xlfn.STDEV.S(C980:C1000)</f>
        <v>5.2039594545561126E-3</v>
      </c>
      <c r="J1000">
        <f>_xlfn.NORM.S.INV(0.99)*I1000*SQRT(10)</f>
        <v>3.8283229098411101E-2</v>
      </c>
      <c r="K1000">
        <f>LN(B1009)-LN(B1000)</f>
        <v>-2.4932112457420885E-3</v>
      </c>
      <c r="L1000">
        <f>IF(K1000&lt;-(J1000),1,0)</f>
        <v>0</v>
      </c>
      <c r="M1000" s="72">
        <f t="shared" si="15"/>
        <v>3.6209324185083575E-2</v>
      </c>
      <c r="N1000">
        <f>SQRT((N999^2)*0.72+(1-0.72)*(C999^2))</f>
        <v>4.9241538144509404E-3</v>
      </c>
      <c r="O1000">
        <f>_xlfn.NORM.S.INV(0.99)*N1000*SQRT(10)</f>
        <v>3.6224822702912468E-2</v>
      </c>
      <c r="P1000">
        <f>LN(B1009)-LN(B1000)</f>
        <v>-2.4932112457420885E-3</v>
      </c>
      <c r="Q1000">
        <f>IF(P1000&lt;-(O1000),1,0)</f>
        <v>0</v>
      </c>
    </row>
    <row r="1001" spans="1:17">
      <c r="A1001" s="64">
        <v>42744</v>
      </c>
      <c r="B1001">
        <v>2268.8999020000001</v>
      </c>
      <c r="C1001" s="68">
        <f>LN(B1001)-LN(B1000)</f>
        <v>-3.5549054171992722E-3</v>
      </c>
      <c r="D1001" s="68"/>
      <c r="E1001" s="68"/>
      <c r="F1001" s="68"/>
      <c r="G1001" s="68"/>
      <c r="H1001" s="68"/>
      <c r="I1001">
        <f>_xlfn.STDEV.S(C981:C1001)</f>
        <v>4.5594320236355332E-3</v>
      </c>
      <c r="J1001">
        <f>_xlfn.NORM.S.INV(0.99)*I1001*SQRT(10)</f>
        <v>3.3541725727061801E-2</v>
      </c>
      <c r="K1001">
        <f>LN(B1010)-LN(B1001)</f>
        <v>-1.6320557293507676E-3</v>
      </c>
      <c r="L1001">
        <f>IF(K1001&lt;-(J1001),1,0)</f>
        <v>0</v>
      </c>
      <c r="M1001" s="72">
        <f t="shared" si="15"/>
        <v>3.3572974933456345E-2</v>
      </c>
      <c r="N1001">
        <f>SQRT((N1000^2)*0.72+(1-0.72)*(C1000^2))</f>
        <v>4.5726609704438937E-3</v>
      </c>
      <c r="O1001">
        <f>_xlfn.NORM.S.INV(0.99)*N1001*SQRT(10)</f>
        <v>3.363904524037041E-2</v>
      </c>
      <c r="P1001">
        <f>LN(B1010)-LN(B1001)</f>
        <v>-1.6320557293507676E-3</v>
      </c>
      <c r="Q1001">
        <f>IF(P1001&lt;-(O1001),1,0)</f>
        <v>0</v>
      </c>
    </row>
    <row r="1002" spans="1:17">
      <c r="A1002" s="64">
        <v>42745</v>
      </c>
      <c r="B1002">
        <v>2268.8999020000001</v>
      </c>
      <c r="C1002" s="68">
        <f>LN(B1002)-LN(B1001)</f>
        <v>0</v>
      </c>
      <c r="D1002" s="68"/>
      <c r="E1002" s="68"/>
      <c r="F1002" s="68"/>
      <c r="G1002" s="68"/>
      <c r="H1002" s="68"/>
      <c r="I1002">
        <f>_xlfn.STDEV.S(C982:C1002)</f>
        <v>4.5464481205419217E-3</v>
      </c>
      <c r="J1002">
        <f>_xlfn.NORM.S.INV(0.99)*I1002*SQRT(10)</f>
        <v>3.3446208892031676E-2</v>
      </c>
      <c r="K1002">
        <f>LN(B1011)-LN(B1002)</f>
        <v>4.9110847178717165E-3</v>
      </c>
      <c r="L1002">
        <f>IF(K1002&lt;-(J1002),1,0)</f>
        <v>0</v>
      </c>
      <c r="M1002" s="72">
        <f t="shared" si="15"/>
        <v>3.1669274865541816E-2</v>
      </c>
      <c r="N1002">
        <f>SQRT((N1001^2)*0.72+(1-0.72)*(C1001^2))</f>
        <v>4.3119720684986129E-3</v>
      </c>
      <c r="O1002">
        <f>_xlfn.NORM.S.INV(0.99)*N1002*SQRT(10)</f>
        <v>3.1721272236230877E-2</v>
      </c>
      <c r="P1002">
        <f>LN(B1011)-LN(B1002)</f>
        <v>4.9110847178717165E-3</v>
      </c>
      <c r="Q1002">
        <f>IF(P1002&lt;-(O1002),1,0)</f>
        <v>0</v>
      </c>
    </row>
    <row r="1003" spans="1:17">
      <c r="A1003" s="64">
        <v>42746</v>
      </c>
      <c r="B1003">
        <v>2275.320068</v>
      </c>
      <c r="C1003" s="68">
        <f>LN(B1003)-LN(B1002)</f>
        <v>2.8256423826622523E-3</v>
      </c>
      <c r="D1003" s="68"/>
      <c r="E1003" s="68"/>
      <c r="F1003" s="68"/>
      <c r="G1003" s="68"/>
      <c r="H1003" s="68"/>
      <c r="I1003">
        <f>_xlfn.STDEV.S(C983:C1003)</f>
        <v>4.4092768386398149E-3</v>
      </c>
      <c r="J1003">
        <f>_xlfn.NORM.S.INV(0.99)*I1003*SQRT(10)</f>
        <v>3.2437100412874807E-2</v>
      </c>
      <c r="K1003">
        <f>LN(B1012)-LN(B1003)</f>
        <v>1.0079495207214961E-2</v>
      </c>
      <c r="L1003">
        <f>IF(K1003&lt;-(J1003),1,0)</f>
        <v>0</v>
      </c>
      <c r="M1003" s="72">
        <f t="shared" si="15"/>
        <v>2.6858410073959397E-2</v>
      </c>
      <c r="N1003">
        <f>SQRT((N1002^2)*0.72+(1-0.72)*(C1002^2))</f>
        <v>3.6588296279068239E-3</v>
      </c>
      <c r="O1003">
        <f>_xlfn.NORM.S.INV(0.99)*N1003*SQRT(10)</f>
        <v>2.6916392047324097E-2</v>
      </c>
      <c r="P1003">
        <f>LN(B1012)-LN(B1003)</f>
        <v>1.0079495207214961E-2</v>
      </c>
      <c r="Q1003">
        <f>IF(P1003&lt;-(O1003),1,0)</f>
        <v>0</v>
      </c>
    </row>
    <row r="1004" spans="1:17">
      <c r="A1004" s="64">
        <v>42747</v>
      </c>
      <c r="B1004">
        <v>2270.4399410000001</v>
      </c>
      <c r="C1004" s="68">
        <f>LN(B1004)-LN(B1003)</f>
        <v>-2.1471124147147691E-3</v>
      </c>
      <c r="D1004" s="68"/>
      <c r="E1004" s="68"/>
      <c r="F1004" s="68"/>
      <c r="G1004" s="68"/>
      <c r="H1004" s="68"/>
      <c r="I1004">
        <f>_xlfn.STDEV.S(C984:C1004)</f>
        <v>4.4315349459912281E-3</v>
      </c>
      <c r="J1004">
        <f>_xlfn.NORM.S.INV(0.99)*I1004*SQRT(10)</f>
        <v>3.2600843468613874E-2</v>
      </c>
      <c r="K1004">
        <f>LN(B1013)-LN(B1004)</f>
        <v>1.1490952924721576E-2</v>
      </c>
      <c r="L1004">
        <f>IF(K1004&lt;-(J1004),1,0)</f>
        <v>0</v>
      </c>
      <c r="M1004" s="72">
        <f t="shared" si="15"/>
        <v>2.5305132912582507E-2</v>
      </c>
      <c r="N1004">
        <f>SQRT((N1003^2)*0.72+(1-0.72)*(C1003^2))</f>
        <v>3.4459042386680372E-3</v>
      </c>
      <c r="O1004">
        <f>_xlfn.NORM.S.INV(0.99)*N1004*SQRT(10)</f>
        <v>2.5349994090483718E-2</v>
      </c>
      <c r="P1004">
        <f>LN(B1013)-LN(B1004)</f>
        <v>1.1490952924721576E-2</v>
      </c>
      <c r="Q1004">
        <f>IF(P1004&lt;-(O1004),1,0)</f>
        <v>0</v>
      </c>
    </row>
    <row r="1005" spans="1:17">
      <c r="A1005" s="64">
        <v>42748</v>
      </c>
      <c r="B1005">
        <v>2274.639893</v>
      </c>
      <c r="C1005" s="68">
        <f>LN(B1005)-LN(B1004)</f>
        <v>1.8481317595453461E-3</v>
      </c>
      <c r="D1005" s="68"/>
      <c r="E1005" s="68"/>
      <c r="F1005" s="68"/>
      <c r="G1005" s="68"/>
      <c r="H1005" s="68"/>
      <c r="I1005">
        <f>_xlfn.STDEV.S(C985:C1005)</f>
        <v>4.2148844913035156E-3</v>
      </c>
      <c r="J1005">
        <f>_xlfn.NORM.S.INV(0.99)*I1005*SQRT(10)</f>
        <v>3.1007041852073008E-2</v>
      </c>
      <c r="K1005">
        <f>LN(B1014)-LN(B1005)</f>
        <v>8.775981341919703E-3</v>
      </c>
      <c r="L1005">
        <f>IF(K1005&lt;-(J1005),1,0)</f>
        <v>0</v>
      </c>
      <c r="M1005" s="72">
        <f t="shared" si="15"/>
        <v>2.3021890405216582E-2</v>
      </c>
      <c r="N1005">
        <f>SQRT((N1004^2)*0.72+(1-0.72)*(C1004^2))</f>
        <v>3.1369236550940933E-3</v>
      </c>
      <c r="O1005">
        <f>_xlfn.NORM.S.INV(0.99)*N1005*SQRT(10)</f>
        <v>2.3076960533781846E-2</v>
      </c>
      <c r="P1005">
        <f>LN(B1014)-LN(B1005)</f>
        <v>8.775981341919703E-3</v>
      </c>
      <c r="Q1005">
        <f>IF(P1005&lt;-(O1005),1,0)</f>
        <v>0</v>
      </c>
    </row>
    <row r="1006" spans="1:17">
      <c r="A1006" s="64">
        <v>42752</v>
      </c>
      <c r="B1006">
        <v>2267.889893</v>
      </c>
      <c r="C1006" s="68">
        <f>LN(B1006)-LN(B1005)</f>
        <v>-2.9719144556663579E-3</v>
      </c>
      <c r="D1006" s="68"/>
      <c r="E1006" s="68"/>
      <c r="F1006" s="68"/>
      <c r="G1006" s="68"/>
      <c r="H1006" s="68"/>
      <c r="I1006">
        <f>_xlfn.STDEV.S(C986:C1006)</f>
        <v>3.8457739934319871E-3</v>
      </c>
      <c r="J1006">
        <f>_xlfn.NORM.S.INV(0.99)*I1006*SQRT(10)</f>
        <v>2.8291659098605797E-2</v>
      </c>
      <c r="K1006">
        <f>LN(B1015)-LN(B1006)</f>
        <v>5.7202223278212116E-3</v>
      </c>
      <c r="L1006">
        <f>IF(K1006&lt;-(J1006),1,0)</f>
        <v>0</v>
      </c>
      <c r="M1006" s="72">
        <f t="shared" si="15"/>
        <v>2.0783453036864501E-2</v>
      </c>
      <c r="N1006">
        <f>SQRT((N1005^2)*0.72+(1-0.72)*(C1005^2))</f>
        <v>2.8357317032926877E-3</v>
      </c>
      <c r="O1006">
        <f>_xlfn.NORM.S.INV(0.99)*N1006*SQRT(10)</f>
        <v>2.0861224497768789E-2</v>
      </c>
      <c r="P1006">
        <f>LN(B1015)-LN(B1006)</f>
        <v>5.7202223278212116E-3</v>
      </c>
      <c r="Q1006">
        <f>IF(P1006&lt;-(O1006),1,0)</f>
        <v>0</v>
      </c>
    </row>
    <row r="1007" spans="1:17">
      <c r="A1007" s="64">
        <v>42753</v>
      </c>
      <c r="B1007">
        <v>2271.889893</v>
      </c>
      <c r="C1007" s="68">
        <f>LN(B1007)-LN(B1006)</f>
        <v>1.7622004694821669E-3</v>
      </c>
      <c r="D1007" s="68"/>
      <c r="E1007" s="68"/>
      <c r="F1007" s="68"/>
      <c r="G1007" s="68"/>
      <c r="H1007" s="68"/>
      <c r="I1007">
        <f>_xlfn.STDEV.S(C987:C1007)</f>
        <v>3.7747316102179668E-3</v>
      </c>
      <c r="J1007">
        <f>_xlfn.NORM.S.INV(0.99)*I1007*SQRT(10)</f>
        <v>2.7769031692295335E-2</v>
      </c>
      <c r="K1007">
        <f>LN(B1016)-LN(B1007)</f>
        <v>3.0677203187368107E-3</v>
      </c>
      <c r="L1007">
        <f>IF(K1007&lt;-(J1007),1,0)</f>
        <v>0</v>
      </c>
      <c r="M1007" s="72">
        <f t="shared" si="15"/>
        <v>2.1083749472719859E-2</v>
      </c>
      <c r="N1007">
        <f>SQRT((N1006^2)*0.72+(1-0.72)*(C1006^2))</f>
        <v>2.8745132874812541E-3</v>
      </c>
      <c r="O1007">
        <f>_xlfn.NORM.S.INV(0.99)*N1007*SQRT(10)</f>
        <v>2.1146523467765636E-2</v>
      </c>
      <c r="P1007">
        <f>LN(B1016)-LN(B1007)</f>
        <v>3.0677203187368107E-3</v>
      </c>
      <c r="Q1007">
        <f>IF(P1007&lt;-(O1007),1,0)</f>
        <v>0</v>
      </c>
    </row>
    <row r="1008" spans="1:17">
      <c r="A1008" s="64">
        <v>42754</v>
      </c>
      <c r="B1008">
        <v>2263.6899410000001</v>
      </c>
      <c r="C1008" s="68">
        <f>LN(B1008)-LN(B1007)</f>
        <v>-3.6158379894768444E-3</v>
      </c>
      <c r="D1008" s="68"/>
      <c r="E1008" s="68"/>
      <c r="F1008" s="68"/>
      <c r="G1008" s="68"/>
      <c r="H1008" s="68"/>
      <c r="I1008">
        <f>_xlfn.STDEV.S(C988:C1008)</f>
        <v>3.8443646883940803E-3</v>
      </c>
      <c r="J1008">
        <f>_xlfn.NORM.S.INV(0.99)*I1008*SQRT(10)</f>
        <v>2.8281291464478962E-2</v>
      </c>
      <c r="K1008">
        <f>LN(B1017)-LN(B1008)</f>
        <v>6.9818774540060247E-3</v>
      </c>
      <c r="L1008">
        <f>IF(K1008&lt;-(J1008),1,0)</f>
        <v>0</v>
      </c>
      <c r="M1008" s="72">
        <f t="shared" si="15"/>
        <v>1.9158516307462955E-2</v>
      </c>
      <c r="N1008">
        <f>SQRT((N1007^2)*0.72+(1-0.72)*(C1007^2))</f>
        <v>2.6112704416112499E-3</v>
      </c>
      <c r="O1008">
        <f>_xlfn.NORM.S.INV(0.99)*N1008*SQRT(10)</f>
        <v>1.9209962227240231E-2</v>
      </c>
      <c r="P1008">
        <f>LN(B1017)-LN(B1008)</f>
        <v>6.9818774540060247E-3</v>
      </c>
      <c r="Q1008">
        <f>IF(P1008&lt;-(O1008),1,0)</f>
        <v>0</v>
      </c>
    </row>
    <row r="1009" spans="1:17">
      <c r="A1009" s="64">
        <v>42755</v>
      </c>
      <c r="B1009">
        <v>2271.3100589999999</v>
      </c>
      <c r="C1009" s="68">
        <f>LN(B1009)-LN(B1008)</f>
        <v>3.3605844196253898E-3</v>
      </c>
      <c r="D1009" s="68"/>
      <c r="E1009" s="68"/>
      <c r="F1009" s="68"/>
      <c r="G1009" s="68"/>
      <c r="H1009" s="68"/>
      <c r="I1009">
        <f>_xlfn.STDEV.S(C989:C1009)</f>
        <v>3.8894909995367982E-3</v>
      </c>
      <c r="J1009">
        <f>_xlfn.NORM.S.INV(0.99)*I1009*SQRT(10)</f>
        <v>2.8613265785748958E-2</v>
      </c>
      <c r="K1009">
        <f>LN(B1018)-LN(B1009)</f>
        <v>4.1914399483840015E-3</v>
      </c>
      <c r="L1009">
        <f>IF(K1009&lt;-(J1009),1,0)</f>
        <v>0</v>
      </c>
      <c r="M1009" s="72">
        <f t="shared" si="15"/>
        <v>2.1501418842684909E-2</v>
      </c>
      <c r="N1009">
        <f>SQRT((N1008^2)*0.72+(1-0.72)*(C1008^2))</f>
        <v>2.9275053565053959E-3</v>
      </c>
      <c r="O1009">
        <f>_xlfn.NORM.S.INV(0.99)*N1009*SQRT(10)</f>
        <v>2.1536362692410993E-2</v>
      </c>
      <c r="P1009">
        <f>LN(B1018)-LN(B1009)</f>
        <v>4.1914399483840015E-3</v>
      </c>
      <c r="Q1009">
        <f>IF(P1009&lt;-(O1009),1,0)</f>
        <v>0</v>
      </c>
    </row>
    <row r="1010" spans="1:17">
      <c r="A1010" s="64">
        <v>42758</v>
      </c>
      <c r="B1010">
        <v>2265.1999510000001</v>
      </c>
      <c r="C1010" s="68">
        <f>LN(B1010)-LN(B1009)</f>
        <v>-2.6937499008079513E-3</v>
      </c>
      <c r="D1010" s="68"/>
      <c r="E1010" s="68"/>
      <c r="F1010" s="68"/>
      <c r="G1010" s="68"/>
      <c r="H1010" s="68"/>
      <c r="I1010">
        <f>_xlfn.STDEV.S(C990:C1010)</f>
        <v>3.8539830443871281E-3</v>
      </c>
      <c r="J1010">
        <f>_xlfn.NORM.S.INV(0.99)*I1010*SQRT(10)</f>
        <v>2.8352049457358697E-2</v>
      </c>
      <c r="K1010">
        <f>LN(B1019)-LN(B1010)</f>
        <v>1.4123686607443453E-2</v>
      </c>
      <c r="L1010">
        <f>IF(K1010&lt;-(J1010),1,0)</f>
        <v>0</v>
      </c>
      <c r="M1010" s="72">
        <f t="shared" si="15"/>
        <v>2.2443666614693328E-2</v>
      </c>
      <c r="N1010">
        <f>SQRT((N1009^2)*0.72+(1-0.72)*(C1009^2))</f>
        <v>3.0549623271825957E-3</v>
      </c>
      <c r="O1010">
        <f>_xlfn.NORM.S.INV(0.99)*N1010*SQRT(10)</f>
        <v>2.2474007278468003E-2</v>
      </c>
      <c r="P1010">
        <f>LN(B1019)-LN(B1010)</f>
        <v>1.4123686607443453E-2</v>
      </c>
      <c r="Q1010">
        <f>IF(P1010&lt;-(O1010),1,0)</f>
        <v>0</v>
      </c>
    </row>
    <row r="1011" spans="1:17">
      <c r="A1011" s="64">
        <v>42759</v>
      </c>
      <c r="B1011">
        <v>2280.070068</v>
      </c>
      <c r="C1011" s="68">
        <f>LN(B1011)-LN(B1010)</f>
        <v>6.5431404472224841E-3</v>
      </c>
      <c r="D1011" s="68"/>
      <c r="E1011" s="68"/>
      <c r="F1011" s="68"/>
      <c r="G1011" s="68"/>
      <c r="H1011" s="68"/>
      <c r="I1011">
        <f>_xlfn.STDEV.S(C991:C1011)</f>
        <v>4.0747078404573655E-3</v>
      </c>
      <c r="J1011">
        <f>_xlfn.NORM.S.INV(0.99)*I1011*SQRT(10)</f>
        <v>2.9975824202232791E-2</v>
      </c>
      <c r="K1011">
        <f>LN(B1020)-LN(B1011)</f>
        <v>5.4629487693063083E-3</v>
      </c>
      <c r="L1011">
        <f>IF(K1011&lt;-(J1011),1,0)</f>
        <v>0</v>
      </c>
      <c r="M1011" s="72">
        <f t="shared" si="15"/>
        <v>2.1737185995963151E-2</v>
      </c>
      <c r="N1011">
        <f>SQRT((N1010^2)*0.72+(1-0.72)*(C1010^2))</f>
        <v>2.9582719717146234E-3</v>
      </c>
      <c r="O1011">
        <f>_xlfn.NORM.S.INV(0.99)*N1011*SQRT(10)</f>
        <v>2.1762699078949576E-2</v>
      </c>
      <c r="P1011">
        <f>LN(B1020)-LN(B1011)</f>
        <v>5.4629487693063083E-3</v>
      </c>
      <c r="Q1011">
        <f>IF(P1011&lt;-(O1011),1,0)</f>
        <v>0</v>
      </c>
    </row>
    <row r="1012" spans="1:17">
      <c r="A1012" s="64">
        <v>42760</v>
      </c>
      <c r="B1012">
        <v>2298.3701169999999</v>
      </c>
      <c r="C1012" s="68">
        <f>LN(B1012)-LN(B1011)</f>
        <v>7.9940528720054971E-3</v>
      </c>
      <c r="D1012" s="68"/>
      <c r="E1012" s="68"/>
      <c r="F1012" s="68"/>
      <c r="G1012" s="68"/>
      <c r="H1012" s="68"/>
      <c r="I1012">
        <f>_xlfn.STDEV.S(C992:C1012)</f>
        <v>4.3687093052604733E-3</v>
      </c>
      <c r="J1012">
        <f>_xlfn.NORM.S.INV(0.99)*I1012*SQRT(10)</f>
        <v>3.2138663004228393E-2</v>
      </c>
      <c r="K1012">
        <f>LN(B1021)-LN(B1012)</f>
        <v>-2.304300870568099E-3</v>
      </c>
      <c r="L1012">
        <f>IF(K1012&lt;-(J1012),1,0)</f>
        <v>0</v>
      </c>
      <c r="M1012" s="72">
        <f t="shared" si="15"/>
        <v>3.1446519772023181E-2</v>
      </c>
      <c r="N1012">
        <f>SQRT((N1011^2)*0.72+(1-0.72)*(C1011^2))</f>
        <v>4.2765103691675237E-3</v>
      </c>
      <c r="O1012">
        <f>_xlfn.NORM.S.INV(0.99)*N1012*SQRT(10)</f>
        <v>3.1460396191448768E-2</v>
      </c>
      <c r="P1012">
        <f>LN(B1021)-LN(B1012)</f>
        <v>-2.304300870568099E-3</v>
      </c>
      <c r="Q1012">
        <f>IF(P1012&lt;-(O1012),1,0)</f>
        <v>0</v>
      </c>
    </row>
    <row r="1013" spans="1:17">
      <c r="A1013" s="64">
        <v>42761</v>
      </c>
      <c r="B1013">
        <v>2296.679932</v>
      </c>
      <c r="C1013" s="68">
        <f>LN(B1013)-LN(B1012)</f>
        <v>-7.3565469720815457E-4</v>
      </c>
      <c r="D1013" s="68"/>
      <c r="E1013" s="68"/>
      <c r="F1013" s="68"/>
      <c r="G1013" s="68"/>
      <c r="H1013" s="68"/>
      <c r="I1013">
        <f>_xlfn.STDEV.S(C993:C1013)</f>
        <v>4.3795304435389074E-3</v>
      </c>
      <c r="J1013">
        <f>_xlfn.NORM.S.INV(0.99)*I1013*SQRT(10)</f>
        <v>3.221826933464593E-2</v>
      </c>
      <c r="K1013">
        <f>LN(B1022)-LN(B1013)</f>
        <v>-8.7556391576448789E-4</v>
      </c>
      <c r="L1013">
        <f>IF(K1013&lt;-(J1013),1,0)</f>
        <v>0</v>
      </c>
      <c r="M1013" s="72">
        <f t="shared" si="15"/>
        <v>4.0991866005948792E-2</v>
      </c>
      <c r="N1013">
        <f>SQRT((N1012^2)*0.72+(1-0.72)*(C1012^2))</f>
        <v>5.5732500612109184E-3</v>
      </c>
      <c r="O1013">
        <f>_xlfn.NORM.S.INV(0.99)*N1013*SQRT(10)</f>
        <v>4.0999936832572928E-2</v>
      </c>
      <c r="P1013">
        <f>LN(B1022)-LN(B1013)</f>
        <v>-8.7556391576448789E-4</v>
      </c>
      <c r="Q1013">
        <f>IF(P1013&lt;-(O1013),1,0)</f>
        <v>0</v>
      </c>
    </row>
    <row r="1014" spans="1:17">
      <c r="A1014" s="64">
        <v>42762</v>
      </c>
      <c r="B1014">
        <v>2294.6899410000001</v>
      </c>
      <c r="C1014" s="68">
        <f>LN(B1014)-LN(B1013)</f>
        <v>-8.6683982325652664E-4</v>
      </c>
      <c r="D1014" s="68"/>
      <c r="E1014" s="68"/>
      <c r="F1014" s="68"/>
      <c r="G1014" s="68"/>
      <c r="H1014" s="68"/>
      <c r="I1014">
        <f>_xlfn.STDEV.S(C994:C1014)</f>
        <v>4.3768020847337252E-3</v>
      </c>
      <c r="J1014">
        <f>_xlfn.NORM.S.INV(0.99)*I1014*SQRT(10)</f>
        <v>3.2198198005091279E-2</v>
      </c>
      <c r="K1014">
        <f>LN(B1023)-LN(B1014)</f>
        <v>5.727339507734186E-3</v>
      </c>
      <c r="L1014">
        <f>IF(K1014&lt;-(J1014),1,0)</f>
        <v>0</v>
      </c>
      <c r="M1014" s="72">
        <f t="shared" si="15"/>
        <v>3.4898903547445154E-2</v>
      </c>
      <c r="N1014">
        <f>SQRT((N1013^2)*0.72+(1-0.72)*(C1013^2))</f>
        <v>4.7450538763678793E-3</v>
      </c>
      <c r="O1014">
        <f>_xlfn.NORM.S.INV(0.99)*N1014*SQRT(10)</f>
        <v>3.4907263636393966E-2</v>
      </c>
      <c r="P1014">
        <f>LN(B1023)-LN(B1014)</f>
        <v>5.727339507734186E-3</v>
      </c>
      <c r="Q1014">
        <f>IF(P1014&lt;-(O1014),1,0)</f>
        <v>0</v>
      </c>
    </row>
    <row r="1015" spans="1:17">
      <c r="A1015" s="64">
        <v>42765</v>
      </c>
      <c r="B1015">
        <v>2280.8999020000001</v>
      </c>
      <c r="C1015" s="68">
        <f>LN(B1015)-LN(B1014)</f>
        <v>-6.0276734697648493E-3</v>
      </c>
      <c r="D1015" s="68"/>
      <c r="E1015" s="68"/>
      <c r="F1015" s="68"/>
      <c r="G1015" s="68"/>
      <c r="H1015" s="68"/>
      <c r="I1015">
        <f>_xlfn.STDEV.S(C995:C1015)</f>
        <v>4.1606992856243743E-3</v>
      </c>
      <c r="J1015">
        <f>_xlfn.NORM.S.INV(0.99)*I1015*SQRT(10)</f>
        <v>3.0608425248528384E-2</v>
      </c>
      <c r="K1015">
        <f>LN(B1024)-LN(B1015)</f>
        <v>1.5314720029169671E-2</v>
      </c>
      <c r="L1015">
        <f>IF(K1015&lt;-(J1015),1,0)</f>
        <v>0</v>
      </c>
      <c r="M1015" s="72">
        <f t="shared" si="15"/>
        <v>2.9779233348827306E-2</v>
      </c>
      <c r="N1015">
        <f>SQRT((N1014^2)*0.72+(1-0.72)*(C1014^2))</f>
        <v>4.0523550296966476E-3</v>
      </c>
      <c r="O1015">
        <f>_xlfn.NORM.S.INV(0.99)*N1015*SQRT(10)</f>
        <v>2.9811384455378731E-2</v>
      </c>
      <c r="P1015">
        <f>LN(B1024)-LN(B1015)</f>
        <v>1.5314720029169671E-2</v>
      </c>
      <c r="Q1015">
        <f>IF(P1015&lt;-(O1015),1,0)</f>
        <v>0</v>
      </c>
    </row>
    <row r="1016" spans="1:17">
      <c r="A1016" s="64">
        <v>42766</v>
      </c>
      <c r="B1016">
        <v>2278.8701169999999</v>
      </c>
      <c r="C1016" s="68">
        <f>LN(B1016)-LN(B1015)</f>
        <v>-8.9030153960223402E-4</v>
      </c>
      <c r="D1016" s="68"/>
      <c r="E1016" s="68"/>
      <c r="F1016" s="68"/>
      <c r="G1016" s="68"/>
      <c r="H1016" s="68"/>
      <c r="I1016">
        <f>_xlfn.STDEV.S(C996:C1016)</f>
        <v>4.1695051962159163E-3</v>
      </c>
      <c r="J1016">
        <f>_xlfn.NORM.S.INV(0.99)*I1016*SQRT(10)</f>
        <v>3.0673206439761718E-2</v>
      </c>
      <c r="K1016">
        <f>LN(B1025)-LN(B1016)</f>
        <v>2.1437155004365493E-2</v>
      </c>
      <c r="L1016">
        <f>IF(K1016&lt;-(J1016),1,0)</f>
        <v>0</v>
      </c>
      <c r="M1016" s="72">
        <f t="shared" si="15"/>
        <v>3.448273251494656E-2</v>
      </c>
      <c r="N1016">
        <f>SQRT((N1015^2)*0.72+(1-0.72)*(C1015^2))</f>
        <v>4.6900677835932736E-3</v>
      </c>
      <c r="O1016">
        <f>_xlfn.NORM.S.INV(0.99)*N1016*SQRT(10)</f>
        <v>3.4502755260550702E-2</v>
      </c>
      <c r="P1016">
        <f>LN(B1025)-LN(B1016)</f>
        <v>2.1437155004365493E-2</v>
      </c>
      <c r="Q1016">
        <f>IF(P1016&lt;-(O1016),1,0)</f>
        <v>0</v>
      </c>
    </row>
    <row r="1017" spans="1:17">
      <c r="A1017" s="64">
        <v>42767</v>
      </c>
      <c r="B1017">
        <v>2279.5500489999999</v>
      </c>
      <c r="C1017" s="68">
        <f>LN(B1017)-LN(B1016)</f>
        <v>2.9831914579236951E-4</v>
      </c>
      <c r="D1017" s="68"/>
      <c r="E1017" s="68"/>
      <c r="F1017" s="68"/>
      <c r="G1017" s="68"/>
      <c r="H1017" s="68"/>
      <c r="I1017">
        <f>_xlfn.STDEV.S(C997:C1017)</f>
        <v>3.9928457596893393E-3</v>
      </c>
      <c r="J1017">
        <f>_xlfn.NORM.S.INV(0.99)*I1017*SQRT(10)</f>
        <v>2.9373601064277482E-2</v>
      </c>
      <c r="K1017">
        <f>LN(B1026)-LN(B1017)</f>
        <v>2.5138163000771208E-2</v>
      </c>
      <c r="L1017">
        <f>IF(K1017&lt;-(J1017),1,0)</f>
        <v>0</v>
      </c>
      <c r="M1017" s="72">
        <f t="shared" si="15"/>
        <v>2.945631674154417E-2</v>
      </c>
      <c r="N1017">
        <f>SQRT((N1016^2)*0.72+(1-0.72)*(C1016^2))</f>
        <v>4.007441590264383E-3</v>
      </c>
      <c r="O1017">
        <f>_xlfn.NORM.S.INV(0.99)*N1017*SQRT(10)</f>
        <v>2.9480976137174479E-2</v>
      </c>
      <c r="P1017">
        <f>LN(B1026)-LN(B1017)</f>
        <v>2.5138163000771208E-2</v>
      </c>
      <c r="Q1017">
        <f>IF(P1017&lt;-(O1017),1,0)</f>
        <v>0</v>
      </c>
    </row>
    <row r="1018" spans="1:17">
      <c r="A1018" s="64">
        <v>42768</v>
      </c>
      <c r="B1018">
        <v>2280.8500979999999</v>
      </c>
      <c r="C1018" s="68">
        <f>LN(B1018)-LN(B1017)</f>
        <v>5.7014691400336659E-4</v>
      </c>
      <c r="D1018" s="68"/>
      <c r="E1018" s="68"/>
      <c r="F1018" s="68"/>
      <c r="G1018" s="68"/>
      <c r="H1018" s="68"/>
      <c r="I1018">
        <f>_xlfn.STDEV.S(C998:C1018)</f>
        <v>3.5940001051036068E-3</v>
      </c>
      <c r="J1018">
        <f>_xlfn.NORM.S.INV(0.99)*I1018*SQRT(10)</f>
        <v>2.643946990842401E-2</v>
      </c>
      <c r="K1018">
        <f>LN(B1027)-LN(B1018)</f>
        <v>2.9547904805976799E-2</v>
      </c>
      <c r="L1018">
        <f>IF(K1018&lt;-(J1018),1,0)</f>
        <v>0</v>
      </c>
      <c r="M1018" s="72">
        <f t="shared" si="15"/>
        <v>2.4991146292620267E-2</v>
      </c>
      <c r="N1018">
        <f>SQRT((N1017^2)*0.72+(1-0.72)*(C1017^2))</f>
        <v>3.4040889881322262E-3</v>
      </c>
      <c r="O1018">
        <f>_xlfn.NORM.S.INV(0.99)*N1018*SQRT(10)</f>
        <v>2.5042377778318109E-2</v>
      </c>
      <c r="P1018">
        <f>LN(B1027)-LN(B1018)</f>
        <v>2.9547904805976799E-2</v>
      </c>
      <c r="Q1018">
        <f>IF(P1018&lt;-(O1018),1,0)</f>
        <v>0</v>
      </c>
    </row>
    <row r="1019" spans="1:17">
      <c r="A1019" s="64">
        <v>42769</v>
      </c>
      <c r="B1019">
        <v>2297.419922</v>
      </c>
      <c r="C1019" s="68">
        <f>LN(B1019)-LN(B1018)</f>
        <v>7.2384967582515003E-3</v>
      </c>
      <c r="D1019" s="68"/>
      <c r="E1019" s="68"/>
      <c r="F1019" s="68"/>
      <c r="G1019" s="68"/>
      <c r="H1019" s="68"/>
      <c r="I1019">
        <f>_xlfn.STDEV.S(C999:C1019)</f>
        <v>3.7187506748283731E-3</v>
      </c>
      <c r="J1019">
        <f>_xlfn.NORM.S.INV(0.99)*I1019*SQRT(10)</f>
        <v>2.7357204699141723E-2</v>
      </c>
      <c r="K1019">
        <f>LN(B1028)-LN(B1019)</f>
        <v>2.1444916572654904E-2</v>
      </c>
      <c r="L1019">
        <f>IF(K1019&lt;-(J1019),1,0)</f>
        <v>0</v>
      </c>
      <c r="M1019" s="72">
        <f t="shared" si="15"/>
        <v>2.1305295890799592E-2</v>
      </c>
      <c r="N1019">
        <f>SQRT((N1018^2)*0.72+(1-0.72)*(C1018^2))</f>
        <v>2.9041781324777478E-3</v>
      </c>
      <c r="O1019">
        <f>_xlfn.NORM.S.INV(0.99)*N1019*SQRT(10)</f>
        <v>2.136475461792868E-2</v>
      </c>
      <c r="P1019">
        <f>LN(B1028)-LN(B1019)</f>
        <v>2.1444916572654904E-2</v>
      </c>
      <c r="Q1019">
        <f>IF(P1019&lt;-(O1019),1,0)</f>
        <v>0</v>
      </c>
    </row>
    <row r="1020" spans="1:17">
      <c r="A1020" s="64">
        <v>42772</v>
      </c>
      <c r="B1020">
        <v>2292.5600589999999</v>
      </c>
      <c r="C1020" s="68">
        <f>LN(B1020)-LN(B1019)</f>
        <v>-2.1175973909146606E-3</v>
      </c>
      <c r="D1020" s="68"/>
      <c r="E1020" s="68"/>
      <c r="F1020" s="68"/>
      <c r="G1020" s="68"/>
      <c r="H1020" s="68"/>
      <c r="I1020">
        <f>_xlfn.STDEV.S(C1000:C1020)</f>
        <v>3.7542184859884883E-3</v>
      </c>
      <c r="J1020">
        <f>_xlfn.NORM.S.INV(0.99)*I1020*SQRT(10)</f>
        <v>2.7618125705948012E-2</v>
      </c>
      <c r="K1020">
        <f>LN(B1029)-LN(B1020)</f>
        <v>2.5239663117807787E-2</v>
      </c>
      <c r="L1020">
        <f>IF(K1020&lt;-(J1020),1,0)</f>
        <v>0</v>
      </c>
      <c r="M1020" s="72">
        <f t="shared" si="15"/>
        <v>3.3478002823623149E-2</v>
      </c>
      <c r="N1020">
        <f>SQRT((N1019^2)*0.72+(1-0.72)*(C1019^2))</f>
        <v>4.5545026445812384E-3</v>
      </c>
      <c r="O1020">
        <f>_xlfn.NORM.S.INV(0.99)*N1020*SQRT(10)</f>
        <v>3.3505462464579375E-2</v>
      </c>
      <c r="P1020">
        <f>LN(B1029)-LN(B1020)</f>
        <v>2.5239663117807787E-2</v>
      </c>
      <c r="Q1020">
        <f>IF(P1020&lt;-(O1020),1,0)</f>
        <v>0</v>
      </c>
    </row>
    <row r="1021" spans="1:17">
      <c r="A1021" s="64">
        <v>42773</v>
      </c>
      <c r="B1021">
        <v>2293.080078</v>
      </c>
      <c r="C1021" s="68">
        <f>LN(B1021)-LN(B1020)</f>
        <v>2.2680323213108977E-4</v>
      </c>
      <c r="D1021" s="68"/>
      <c r="E1021" s="68"/>
      <c r="F1021" s="68"/>
      <c r="G1021" s="68"/>
      <c r="H1021" s="68"/>
      <c r="I1021">
        <f>_xlfn.STDEV.S(C1001:C1021)</f>
        <v>3.6900282465578246E-3</v>
      </c>
      <c r="J1021">
        <f>_xlfn.NORM.S.INV(0.99)*I1021*SQRT(10)</f>
        <v>2.7145906492200202E-2</v>
      </c>
      <c r="K1021">
        <f>LN(B1030)-LN(B1021)</f>
        <v>3.104271003153336E-2</v>
      </c>
      <c r="L1021">
        <f>IF(K1021&lt;-(J1021),1,0)</f>
        <v>0</v>
      </c>
      <c r="M1021" s="72">
        <f t="shared" si="15"/>
        <v>2.9574450755660796E-2</v>
      </c>
      <c r="N1021">
        <f>SQRT((N1020^2)*0.72+(1-0.72)*(C1020^2))</f>
        <v>4.0237913916156987E-3</v>
      </c>
      <c r="O1021">
        <f>_xlfn.NORM.S.INV(0.99)*N1021*SQRT(10)</f>
        <v>2.9601254397662837E-2</v>
      </c>
      <c r="P1021">
        <f>LN(B1030)-LN(B1021)</f>
        <v>3.104271003153336E-2</v>
      </c>
      <c r="Q1021">
        <f>IF(P1021&lt;-(O1021),1,0)</f>
        <v>0</v>
      </c>
    </row>
    <row r="1022" spans="1:17">
      <c r="A1022" s="64">
        <v>42774</v>
      </c>
      <c r="B1022">
        <v>2294.669922</v>
      </c>
      <c r="C1022" s="68">
        <f>LN(B1022)-LN(B1021)</f>
        <v>6.930822575954565E-4</v>
      </c>
      <c r="D1022" s="68"/>
      <c r="E1022" s="68"/>
      <c r="F1022" s="68"/>
      <c r="G1022" s="68"/>
      <c r="H1022" s="68"/>
      <c r="I1022">
        <f>_xlfn.STDEV.S(C1002:C1022)</f>
        <v>3.5809167872822346E-3</v>
      </c>
      <c r="J1022">
        <f>_xlfn.NORM.S.INV(0.99)*I1022*SQRT(10)</f>
        <v>2.6343221723191822E-2</v>
      </c>
      <c r="K1022">
        <f>LN(B1031)-LN(B1022)</f>
        <v>2.9266841395769738E-2</v>
      </c>
      <c r="L1022">
        <f>IF(K1022&lt;-(J1022),1,0)</f>
        <v>0</v>
      </c>
      <c r="M1022" s="72">
        <f t="shared" si="15"/>
        <v>2.5104934205224312E-2</v>
      </c>
      <c r="N1022">
        <f>SQRT((N1021^2)*0.72+(1-0.72)*(C1021^2))</f>
        <v>3.4164087980279325E-3</v>
      </c>
      <c r="O1022">
        <f>_xlfn.NORM.S.INV(0.99)*N1022*SQRT(10)</f>
        <v>2.5133009173278976E-2</v>
      </c>
      <c r="P1022">
        <f>LN(B1031)-LN(B1022)</f>
        <v>2.9266841395769738E-2</v>
      </c>
      <c r="Q1022">
        <f>IF(P1022&lt;-(O1022),1,0)</f>
        <v>0</v>
      </c>
    </row>
    <row r="1023" spans="1:17">
      <c r="A1023" s="64">
        <v>42775</v>
      </c>
      <c r="B1023">
        <v>2307.8701169999999</v>
      </c>
      <c r="C1023" s="68">
        <f>LN(B1023)-LN(B1022)</f>
        <v>5.7360636002421472E-3</v>
      </c>
      <c r="D1023" s="68"/>
      <c r="E1023" s="68"/>
      <c r="F1023" s="68"/>
      <c r="G1023" s="68"/>
      <c r="H1023" s="68"/>
      <c r="I1023">
        <f>_xlfn.STDEV.S(C1003:C1023)</f>
        <v>3.7525002944545196E-3</v>
      </c>
      <c r="J1023">
        <f>_xlfn.NORM.S.INV(0.99)*I1023*SQRT(10)</f>
        <v>2.7605485730424702E-2</v>
      </c>
      <c r="K1023">
        <f>LN(B1032)-LN(B1023)</f>
        <v>2.3949677090745247E-2</v>
      </c>
      <c r="L1023">
        <f>IF(K1023&lt;-(J1023),1,0)</f>
        <v>0</v>
      </c>
      <c r="M1023" s="72">
        <f t="shared" si="15"/>
        <v>2.1472415943418779E-2</v>
      </c>
      <c r="N1023">
        <f>SQRT((N1022^2)*0.72+(1-0.72)*(C1022^2))</f>
        <v>2.9220254924618521E-3</v>
      </c>
      <c r="O1023">
        <f>_xlfn.NORM.S.INV(0.99)*N1023*SQRT(10)</f>
        <v>2.1496049755225548E-2</v>
      </c>
      <c r="P1023">
        <f>LN(B1032)-LN(B1023)</f>
        <v>2.3949677090745247E-2</v>
      </c>
      <c r="Q1023">
        <f>IF(P1023&lt;-(O1023),1,0)</f>
        <v>0</v>
      </c>
    </row>
    <row r="1024" spans="1:17">
      <c r="A1024" s="64">
        <v>42776</v>
      </c>
      <c r="B1024">
        <v>2316.1000979999999</v>
      </c>
      <c r="C1024" s="68">
        <f>LN(B1024)-LN(B1023)</f>
        <v>3.5597070516706353E-3</v>
      </c>
      <c r="D1024" s="68"/>
      <c r="E1024" s="68"/>
      <c r="F1024" s="68"/>
      <c r="G1024" s="68"/>
      <c r="H1024" s="68"/>
      <c r="I1024">
        <f>_xlfn.STDEV.S(C1004:C1024)</f>
        <v>3.7755541797462574E-3</v>
      </c>
      <c r="J1024">
        <f>_xlfn.NORM.S.INV(0.99)*I1024*SQRT(10)</f>
        <v>2.7775082972666738E-2</v>
      </c>
      <c r="K1024">
        <f>LN(B1033)-LN(B1024)</f>
        <v>2.188222014544472E-2</v>
      </c>
      <c r="L1024">
        <f>IF(K1024&lt;-(J1024),1,0)</f>
        <v>0</v>
      </c>
      <c r="M1024" s="72">
        <f t="shared" si="15"/>
        <v>2.8816270231024971E-2</v>
      </c>
      <c r="N1024">
        <f>SQRT((N1023^2)*0.72+(1-0.72)*(C1023^2))</f>
        <v>3.919209986703468E-3</v>
      </c>
      <c r="O1024">
        <f>_xlfn.NORM.S.INV(0.99)*N1024*SQRT(10)</f>
        <v>2.8831895235922375E-2</v>
      </c>
      <c r="P1024">
        <f>LN(B1033)-LN(B1024)</f>
        <v>2.188222014544472E-2</v>
      </c>
      <c r="Q1024">
        <f>IF(P1024&lt;-(O1024),1,0)</f>
        <v>0</v>
      </c>
    </row>
    <row r="1025" spans="1:17">
      <c r="A1025" s="64">
        <v>42779</v>
      </c>
      <c r="B1025">
        <v>2328.25</v>
      </c>
      <c r="C1025" s="68">
        <f>LN(B1025)-LN(B1024)</f>
        <v>5.2321334355935889E-3</v>
      </c>
      <c r="D1025" s="68"/>
      <c r="E1025" s="68"/>
      <c r="F1025" s="68"/>
      <c r="G1025" s="68"/>
      <c r="H1025" s="68"/>
      <c r="I1025">
        <f>_xlfn.STDEV.S(C1005:C1025)</f>
        <v>3.8261206947357708E-3</v>
      </c>
      <c r="J1025">
        <f>_xlfn.NORM.S.INV(0.99)*I1025*SQRT(10)</f>
        <v>2.8147078468588008E-2</v>
      </c>
      <c r="K1025">
        <f>LN(B1034)-LN(B1025)</f>
        <v>1.7667551931383585E-2</v>
      </c>
      <c r="L1025">
        <f>IF(K1025&lt;-(J1025),1,0)</f>
        <v>0</v>
      </c>
      <c r="M1025" s="72">
        <f t="shared" si="15"/>
        <v>2.8103187435558161E-2</v>
      </c>
      <c r="N1025">
        <f>SQRT((N1024^2)*0.72+(1-0.72)*(C1024^2))</f>
        <v>3.8219593122573508E-3</v>
      </c>
      <c r="O1025">
        <f>_xlfn.NORM.S.INV(0.99)*N1025*SQRT(10)</f>
        <v>2.8116465017392116E-2</v>
      </c>
      <c r="P1025">
        <f>LN(B1034)-LN(B1025)</f>
        <v>1.7667551931383585E-2</v>
      </c>
      <c r="Q1025">
        <f>IF(P1025&lt;-(O1025),1,0)</f>
        <v>0</v>
      </c>
    </row>
    <row r="1026" spans="1:17">
      <c r="A1026" s="64">
        <v>42780</v>
      </c>
      <c r="B1026">
        <v>2337.580078</v>
      </c>
      <c r="C1026" s="68">
        <f>LN(B1026)-LN(B1025)</f>
        <v>3.9993271421980836E-3</v>
      </c>
      <c r="D1026" s="68"/>
      <c r="E1026" s="68"/>
      <c r="F1026" s="68"/>
      <c r="G1026" s="68"/>
      <c r="H1026" s="68"/>
      <c r="I1026">
        <f>_xlfn.STDEV.S(C1006:C1026)</f>
        <v>3.8729278528650845E-3</v>
      </c>
      <c r="J1026">
        <f>_xlfn.NORM.S.INV(0.99)*I1026*SQRT(10)</f>
        <v>2.8491418038055872E-2</v>
      </c>
      <c r="K1026">
        <f>LN(B1035)-LN(B1026)</f>
        <v>1.1086518852476246E-2</v>
      </c>
      <c r="L1026">
        <f>IF(K1026&lt;-(J1026),1,0)</f>
        <v>0</v>
      </c>
      <c r="M1026" s="72">
        <f t="shared" si="15"/>
        <v>3.1359220052835944E-2</v>
      </c>
      <c r="N1026">
        <f>SQRT((N1025^2)*0.72+(1-0.72)*(C1025^2))</f>
        <v>4.2640790599467408E-3</v>
      </c>
      <c r="O1026">
        <f>_xlfn.NORM.S.INV(0.99)*N1026*SQRT(10)</f>
        <v>3.1368944545245844E-2</v>
      </c>
      <c r="P1026">
        <f>LN(B1035)-LN(B1026)</f>
        <v>1.1086518852476246E-2</v>
      </c>
      <c r="Q1026">
        <f>IF(P1026&lt;-(O1026),1,0)</f>
        <v>0</v>
      </c>
    </row>
    <row r="1027" spans="1:17">
      <c r="A1027" s="64">
        <v>42781</v>
      </c>
      <c r="B1027">
        <v>2349.25</v>
      </c>
      <c r="C1027" s="68">
        <f>LN(B1027)-LN(B1026)</f>
        <v>4.979888719208958E-3</v>
      </c>
      <c r="D1027" s="68"/>
      <c r="E1027" s="68"/>
      <c r="F1027" s="68"/>
      <c r="G1027" s="68"/>
      <c r="H1027" s="68"/>
      <c r="I1027">
        <f>_xlfn.STDEV.S(C1007:C1027)</f>
        <v>3.8228058845657517E-3</v>
      </c>
      <c r="J1027">
        <f>_xlfn.NORM.S.INV(0.99)*I1027*SQRT(10)</f>
        <v>2.8122692875605444E-2</v>
      </c>
      <c r="K1027">
        <f>LN(B1036)-LN(B1027)</f>
        <v>1.9687841064592426E-2</v>
      </c>
      <c r="L1027">
        <f>IF(K1027&lt;-(J1027),1,0)</f>
        <v>0</v>
      </c>
      <c r="M1027" s="72">
        <f t="shared" si="15"/>
        <v>3.0825836594726784E-2</v>
      </c>
      <c r="N1027">
        <f>SQRT((N1026^2)*0.72+(1-0.72)*(C1026^2))</f>
        <v>4.191634465278809E-3</v>
      </c>
      <c r="O1027">
        <f>_xlfn.NORM.S.INV(0.99)*N1027*SQRT(10)</f>
        <v>3.0836001689170014E-2</v>
      </c>
      <c r="P1027">
        <f>LN(B1036)-LN(B1027)</f>
        <v>1.9687841064592426E-2</v>
      </c>
      <c r="Q1027">
        <f>IF(P1027&lt;-(O1027),1,0)</f>
        <v>0</v>
      </c>
    </row>
    <row r="1028" spans="1:17">
      <c r="A1028" s="64">
        <v>42782</v>
      </c>
      <c r="B1028">
        <v>2347.219971</v>
      </c>
      <c r="C1028" s="68">
        <f>LN(B1028)-LN(B1027)</f>
        <v>-8.644914750703947E-4</v>
      </c>
      <c r="D1028" s="68"/>
      <c r="E1028" s="68"/>
      <c r="F1028" s="68"/>
      <c r="G1028" s="68"/>
      <c r="H1028" s="68"/>
      <c r="I1028">
        <f>_xlfn.STDEV.S(C1008:C1028)</f>
        <v>3.8626907456480015E-3</v>
      </c>
      <c r="J1028">
        <f>_xlfn.NORM.S.INV(0.99)*I1028*SQRT(10)</f>
        <v>2.8416108165963485E-2</v>
      </c>
      <c r="K1028">
        <f>LN(B1037)-LN(B1028)</f>
        <v>1.467521559395113E-2</v>
      </c>
      <c r="L1028">
        <f>IF(K1028&lt;-(J1028),1,0)</f>
        <v>0</v>
      </c>
      <c r="M1028" s="72">
        <f t="shared" si="15"/>
        <v>3.2555989352837003E-2</v>
      </c>
      <c r="N1028">
        <f>SQRT((N1027^2)*0.72+(1-0.72)*(C1027^2))</f>
        <v>4.4265175134372593E-3</v>
      </c>
      <c r="O1028">
        <f>_xlfn.NORM.S.INV(0.99)*N1028*SQRT(10)</f>
        <v>3.2563932435461754E-2</v>
      </c>
      <c r="P1028">
        <f>LN(B1037)-LN(B1028)</f>
        <v>1.467521559395113E-2</v>
      </c>
      <c r="Q1028">
        <f>IF(P1028&lt;-(O1028),1,0)</f>
        <v>0</v>
      </c>
    </row>
    <row r="1029" spans="1:17">
      <c r="A1029" s="64">
        <v>42783</v>
      </c>
      <c r="B1029">
        <v>2351.1599120000001</v>
      </c>
      <c r="C1029" s="68">
        <f>LN(B1029)-LN(B1028)</f>
        <v>1.6771491542382222E-3</v>
      </c>
      <c r="D1029" s="68"/>
      <c r="E1029" s="68"/>
      <c r="F1029" s="68"/>
      <c r="G1029" s="68"/>
      <c r="H1029" s="68"/>
      <c r="I1029">
        <f>_xlfn.STDEV.S(C1009:C1029)</f>
        <v>3.6767425415745259E-3</v>
      </c>
      <c r="J1029">
        <f>_xlfn.NORM.S.INV(0.99)*I1029*SQRT(10)</f>
        <v>2.704816943409068E-2</v>
      </c>
      <c r="K1029">
        <f>LN(B1038)-LN(B1029)</f>
        <v>1.3501816677090162E-2</v>
      </c>
      <c r="L1029">
        <f>IF(K1029&lt;-(J1029),1,0)</f>
        <v>0</v>
      </c>
      <c r="M1029" s="72">
        <f t="shared" si="15"/>
        <v>2.7823903630230892E-2</v>
      </c>
      <c r="N1029">
        <f>SQRT((N1028^2)*0.72+(1-0.72)*(C1028^2))</f>
        <v>3.7837782700104808E-3</v>
      </c>
      <c r="O1029">
        <f>_xlfn.NORM.S.INV(0.99)*N1029*SQRT(10)</f>
        <v>2.7835583968967858E-2</v>
      </c>
      <c r="P1029">
        <f>LN(B1038)-LN(B1029)</f>
        <v>1.3501816677090162E-2</v>
      </c>
      <c r="Q1029">
        <f>IF(P1029&lt;-(O1029),1,0)</f>
        <v>0</v>
      </c>
    </row>
    <row r="1030" spans="1:17">
      <c r="A1030" s="64">
        <v>42787</v>
      </c>
      <c r="B1030">
        <v>2365.3798830000001</v>
      </c>
      <c r="C1030" s="68">
        <f>LN(B1030)-LN(B1029)</f>
        <v>6.0298501458566633E-3</v>
      </c>
      <c r="D1030" s="68"/>
      <c r="E1030" s="68"/>
      <c r="F1030" s="68"/>
      <c r="G1030" s="68"/>
      <c r="H1030" s="68"/>
      <c r="I1030">
        <f>_xlfn.STDEV.S(C1010:C1030)</f>
        <v>3.7779426727526425E-3</v>
      </c>
      <c r="J1030">
        <f>_xlfn.NORM.S.INV(0.99)*I1030*SQRT(10)</f>
        <v>2.7792654059790284E-2</v>
      </c>
      <c r="K1030">
        <f>LN(B1039)-LN(B1030)</f>
        <v>4.1893440173765839E-3</v>
      </c>
      <c r="L1030">
        <f>IF(K1030&lt;-(J1030),1,0)</f>
        <v>0</v>
      </c>
      <c r="M1030" s="72">
        <f t="shared" si="15"/>
        <v>2.44905268190947E-2</v>
      </c>
      <c r="N1030">
        <f>SQRT((N1029^2)*0.72+(1-0.72)*(C1029^2))</f>
        <v>3.3310383302375675E-3</v>
      </c>
      <c r="O1030">
        <f>_xlfn.NORM.S.INV(0.99)*N1030*SQRT(10)</f>
        <v>2.4504976383016613E-2</v>
      </c>
      <c r="P1030">
        <f>LN(B1039)-LN(B1030)</f>
        <v>4.1893440173765839E-3</v>
      </c>
      <c r="Q1030">
        <f>IF(P1030&lt;-(O1030),1,0)</f>
        <v>0</v>
      </c>
    </row>
    <row r="1031" spans="1:17">
      <c r="A1031" s="64">
        <v>42788</v>
      </c>
      <c r="B1031">
        <v>2362.820068</v>
      </c>
      <c r="C1031" s="68">
        <f>LN(B1031)-LN(B1030)</f>
        <v>-1.0827863781681657E-3</v>
      </c>
      <c r="D1031" s="68"/>
      <c r="E1031" s="68"/>
      <c r="F1031" s="68"/>
      <c r="G1031" s="68"/>
      <c r="H1031" s="68"/>
      <c r="I1031">
        <f>_xlfn.STDEV.S(C1011:C1031)</f>
        <v>3.6947482917151441E-3</v>
      </c>
      <c r="J1031">
        <f>_xlfn.NORM.S.INV(0.99)*I1031*SQRT(10)</f>
        <v>2.7180629777746611E-2</v>
      </c>
      <c r="K1031">
        <f>LN(B1040)-LN(B1031)</f>
        <v>2.3545045005519682E-3</v>
      </c>
      <c r="L1031">
        <f>IF(K1031&lt;-(J1031),1,0)</f>
        <v>0</v>
      </c>
      <c r="M1031" s="72">
        <f t="shared" si="15"/>
        <v>3.1347282611427385E-2</v>
      </c>
      <c r="N1031">
        <f>SQRT((N1030^2)*0.72+(1-0.72)*(C1030^2))</f>
        <v>4.2625736071327958E-3</v>
      </c>
      <c r="O1031">
        <f>_xlfn.NORM.S.INV(0.99)*N1031*SQRT(10)</f>
        <v>3.135786959443649E-2</v>
      </c>
      <c r="P1031">
        <f>LN(B1040)-LN(B1031)</f>
        <v>2.3545045005519682E-3</v>
      </c>
      <c r="Q1031">
        <f>IF(P1031&lt;-(O1031),1,0)</f>
        <v>0</v>
      </c>
    </row>
    <row r="1032" spans="1:17">
      <c r="A1032" s="64">
        <v>42789</v>
      </c>
      <c r="B1032">
        <v>2363.8100589999999</v>
      </c>
      <c r="C1032" s="68">
        <f>LN(B1032)-LN(B1031)</f>
        <v>4.1889929521765623E-4</v>
      </c>
      <c r="D1032" s="68"/>
      <c r="E1032" s="68"/>
      <c r="F1032" s="68"/>
      <c r="G1032" s="68"/>
      <c r="H1032" s="68"/>
      <c r="I1032">
        <f>_xlfn.STDEV.S(C1012:C1032)</f>
        <v>3.5581561202619114E-3</v>
      </c>
      <c r="J1032">
        <f>_xlfn.NORM.S.INV(0.99)*I1032*SQRT(10)</f>
        <v>2.6175781558144255E-2</v>
      </c>
      <c r="K1032">
        <f>LN(B1041)-LN(B1032)</f>
        <v>-3.5122313522872872E-4</v>
      </c>
      <c r="L1032">
        <f>IF(K1032&lt;-(J1032),1,0)</f>
        <v>0</v>
      </c>
      <c r="M1032" s="72">
        <f t="shared" si="15"/>
        <v>2.6914054274781444E-2</v>
      </c>
      <c r="N1032">
        <f>SQRT((N1031^2)*0.72+(1-0.72)*(C1031^2))</f>
        <v>3.6620136100089934E-3</v>
      </c>
      <c r="O1032">
        <f>_xlfn.NORM.S.INV(0.99)*N1032*SQRT(10)</f>
        <v>2.6939815196049027E-2</v>
      </c>
      <c r="P1032">
        <f>LN(B1041)-LN(B1032)</f>
        <v>-3.5122313522872872E-4</v>
      </c>
      <c r="Q1032">
        <f>IF(P1032&lt;-(O1032),1,0)</f>
        <v>0</v>
      </c>
    </row>
    <row r="1033" spans="1:17">
      <c r="A1033" s="64">
        <v>42790</v>
      </c>
      <c r="B1033">
        <v>2367.3400879999999</v>
      </c>
      <c r="C1033" s="68">
        <f>LN(B1033)-LN(B1032)</f>
        <v>1.4922501063701077E-3</v>
      </c>
      <c r="D1033" s="68"/>
      <c r="E1033" s="68"/>
      <c r="F1033" s="68"/>
      <c r="G1033" s="68"/>
      <c r="H1033" s="68"/>
      <c r="I1033">
        <f>_xlfn.STDEV.S(C1013:C1033)</f>
        <v>3.2546333572156592E-3</v>
      </c>
      <c r="J1033">
        <f>_xlfn.NORM.S.INV(0.99)*I1033*SQRT(10)</f>
        <v>2.3942898774226878E-2</v>
      </c>
      <c r="K1033">
        <f>LN(B1042)-LN(B1033)</f>
        <v>-1.0438975097457615E-3</v>
      </c>
      <c r="L1033">
        <f>IF(K1033&lt;-(J1033),1,0)</f>
        <v>0</v>
      </c>
      <c r="M1033" s="72">
        <f t="shared" si="15"/>
        <v>2.2865814022661291E-2</v>
      </c>
      <c r="N1033">
        <f>SQRT((N1032^2)*0.72+(1-0.72)*(C1032^2))</f>
        <v>3.1152176333269352E-3</v>
      </c>
      <c r="O1033">
        <f>_xlfn.NORM.S.INV(0.99)*N1033*SQRT(10)</f>
        <v>2.2917278927615661E-2</v>
      </c>
      <c r="P1033">
        <f>LN(B1042)-LN(B1033)</f>
        <v>-1.0438975097457615E-3</v>
      </c>
      <c r="Q1033">
        <f>IF(P1033&lt;-(O1033),1,0)</f>
        <v>0</v>
      </c>
    </row>
    <row r="1034" spans="1:17">
      <c r="A1034" s="64">
        <v>42793</v>
      </c>
      <c r="B1034">
        <v>2369.75</v>
      </c>
      <c r="C1034" s="68">
        <f>LN(B1034)-LN(B1033)</f>
        <v>1.0174652215324542E-3</v>
      </c>
      <c r="D1034" s="68"/>
      <c r="E1034" s="68"/>
      <c r="F1034" s="68"/>
      <c r="G1034" s="68"/>
      <c r="H1034" s="68"/>
      <c r="I1034">
        <f>_xlfn.STDEV.S(C1014:C1034)</f>
        <v>3.2191915053923228E-3</v>
      </c>
      <c r="J1034">
        <f>_xlfn.NORM.S.INV(0.99)*I1034*SQRT(10)</f>
        <v>2.368216873878496E-2</v>
      </c>
      <c r="K1034">
        <f>LN(B1043)-LN(B1034)</f>
        <v>1.2019771987485939E-3</v>
      </c>
      <c r="L1034">
        <f>IF(K1034&lt;-(J1034),1,0)</f>
        <v>0</v>
      </c>
      <c r="M1034" s="72">
        <f t="shared" si="15"/>
        <v>2.0252919920422541E-2</v>
      </c>
      <c r="N1034">
        <f>SQRT((N1033^2)*0.72+(1-0.72)*(C1033^2))</f>
        <v>2.7587687754762665E-3</v>
      </c>
      <c r="O1034">
        <f>_xlfn.NORM.S.INV(0.99)*N1034*SQRT(10)</f>
        <v>2.0295042262221022E-2</v>
      </c>
      <c r="P1034">
        <f>LN(B1043)-LN(B1034)</f>
        <v>1.2019771987485939E-3</v>
      </c>
      <c r="Q1034">
        <f>IF(P1034&lt;-(O1034),1,0)</f>
        <v>0</v>
      </c>
    </row>
    <row r="1035" spans="1:17">
      <c r="A1035" s="64">
        <v>42794</v>
      </c>
      <c r="B1035">
        <v>2363.639893</v>
      </c>
      <c r="C1035" s="68">
        <f>LN(B1035)-LN(B1034)</f>
        <v>-2.5817059367092554E-3</v>
      </c>
      <c r="D1035" s="68"/>
      <c r="E1035" s="68"/>
      <c r="F1035" s="68"/>
      <c r="G1035" s="68"/>
      <c r="H1035" s="68"/>
      <c r="I1035">
        <f>_xlfn.STDEV.S(C1015:C1035)</f>
        <v>3.3026717955314836E-3</v>
      </c>
      <c r="J1035">
        <f>_xlfn.NORM.S.INV(0.99)*I1035*SQRT(10)</f>
        <v>2.4296296327692535E-2</v>
      </c>
      <c r="K1035">
        <f>LN(B1044)-LN(B1035)</f>
        <v>4.1502487348248351E-3</v>
      </c>
      <c r="L1035">
        <f>IF(K1035&lt;-(J1035),1,0)</f>
        <v>0</v>
      </c>
      <c r="M1035" s="72">
        <f t="shared" si="15"/>
        <v>1.7635232611375676E-2</v>
      </c>
      <c r="N1035">
        <f>SQRT((N1034^2)*0.72+(1-0.72)*(C1034^2))</f>
        <v>2.4020086690681808E-3</v>
      </c>
      <c r="O1035">
        <f>_xlfn.NORM.S.INV(0.99)*N1035*SQRT(10)</f>
        <v>1.7670515878788762E-2</v>
      </c>
      <c r="P1035">
        <f>LN(B1044)-LN(B1035)</f>
        <v>4.1502487348248351E-3</v>
      </c>
      <c r="Q1035">
        <f>IF(P1035&lt;-(O1035),1,0)</f>
        <v>0</v>
      </c>
    </row>
    <row r="1036" spans="1:17">
      <c r="A1036" s="64">
        <v>42795</v>
      </c>
      <c r="B1036">
        <v>2395.959961</v>
      </c>
      <c r="C1036" s="68">
        <f>LN(B1036)-LN(B1035)</f>
        <v>1.3581210931325138E-2</v>
      </c>
      <c r="D1036" s="68"/>
      <c r="E1036" s="68"/>
      <c r="F1036" s="68"/>
      <c r="G1036" s="68"/>
      <c r="H1036" s="68"/>
      <c r="I1036">
        <f>_xlfn.STDEV.S(C1016:C1036)</f>
        <v>3.8253861007256891E-3</v>
      </c>
      <c r="J1036">
        <f>_xlfn.NORM.S.INV(0.99)*I1036*SQRT(10)</f>
        <v>2.8141674385211139E-2</v>
      </c>
      <c r="K1036">
        <f>LN(B1045)-LN(B1036)</f>
        <v>-1.2815711375131933E-2</v>
      </c>
      <c r="L1036">
        <f>IF(K1036&lt;-(J1036),1,0)</f>
        <v>0</v>
      </c>
      <c r="M1036" s="72">
        <f t="shared" si="15"/>
        <v>1.8004144051072927E-2</v>
      </c>
      <c r="N1036">
        <f>SQRT((N1035^2)*0.72+(1-0.72)*(C1035^2))</f>
        <v>2.4536508344790639E-3</v>
      </c>
      <c r="O1036">
        <f>_xlfn.NORM.S.INV(0.99)*N1036*SQRT(10)</f>
        <v>1.8050424459327755E-2</v>
      </c>
      <c r="P1036">
        <f>LN(B1045)-LN(B1036)</f>
        <v>-1.2815711375131933E-2</v>
      </c>
      <c r="Q1036">
        <f>IF(P1036&lt;-(O1036),1,0)</f>
        <v>0</v>
      </c>
    </row>
    <row r="1037" spans="1:17">
      <c r="A1037" s="64">
        <v>42796</v>
      </c>
      <c r="B1037">
        <v>2381.919922</v>
      </c>
      <c r="C1037" s="68">
        <f>LN(B1037)-LN(B1036)</f>
        <v>-5.8771169457116912E-3</v>
      </c>
      <c r="D1037" s="68"/>
      <c r="E1037" s="68"/>
      <c r="F1037" s="68"/>
      <c r="G1037" s="68"/>
      <c r="H1037" s="68"/>
      <c r="I1037">
        <f>_xlfn.STDEV.S(C1017:C1037)</f>
        <v>4.1749768609043204E-3</v>
      </c>
      <c r="J1037">
        <f>_xlfn.NORM.S.INV(0.99)*I1037*SQRT(10)</f>
        <v>3.071345905791624E-2</v>
      </c>
      <c r="K1037">
        <f>LN(B1046)-LN(B1037)</f>
        <v>1.401284866186181E-3</v>
      </c>
      <c r="L1037">
        <f>IF(K1037&lt;-(J1037),1,0)</f>
        <v>0</v>
      </c>
      <c r="M1037" s="72">
        <f t="shared" si="15"/>
        <v>5.5030780795332322E-2</v>
      </c>
      <c r="N1037">
        <f>SQRT((N1036^2)*0.72+(1-0.72)*(C1036^2))</f>
        <v>7.4820111628992768E-3</v>
      </c>
      <c r="O1037">
        <f>_xlfn.NORM.S.INV(0.99)*N1037*SQRT(10)</f>
        <v>5.5041848417048171E-2</v>
      </c>
      <c r="P1037">
        <f>LN(B1046)-LN(B1037)</f>
        <v>1.401284866186181E-3</v>
      </c>
      <c r="Q1037">
        <f>IF(P1037&lt;-(O1037),1,0)</f>
        <v>0</v>
      </c>
    </row>
    <row r="1038" spans="1:17">
      <c r="A1038" s="64">
        <v>42797</v>
      </c>
      <c r="B1038">
        <v>2383.1201169999999</v>
      </c>
      <c r="C1038" s="68">
        <f>LN(B1038)-LN(B1037)</f>
        <v>5.03750237377254E-4</v>
      </c>
      <c r="D1038" s="68"/>
      <c r="E1038" s="68"/>
      <c r="F1038" s="68"/>
      <c r="G1038" s="68"/>
      <c r="H1038" s="68"/>
      <c r="I1038">
        <f>_xlfn.STDEV.S(C1018:C1038)</f>
        <v>4.1707679087536276E-3</v>
      </c>
      <c r="J1038">
        <f>_xlfn.NORM.S.INV(0.99)*I1038*SQRT(10)</f>
        <v>3.0682495657671421E-2</v>
      </c>
      <c r="K1038">
        <f>LN(B1047)-LN(B1038)</f>
        <v>-7.3050018989828658E-4</v>
      </c>
      <c r="L1038">
        <f>IF(K1038&lt;-(J1038),1,0)</f>
        <v>0</v>
      </c>
      <c r="M1038" s="72">
        <f t="shared" si="15"/>
        <v>5.1998455710062043E-2</v>
      </c>
      <c r="N1038">
        <f>SQRT((N1037^2)*0.72+(1-0.72)*(C1037^2))</f>
        <v>7.0694621122302922E-3</v>
      </c>
      <c r="O1038">
        <f>_xlfn.NORM.S.INV(0.99)*N1038*SQRT(10)</f>
        <v>5.2006907434319113E-2</v>
      </c>
      <c r="P1038">
        <f>LN(B1047)-LN(B1038)</f>
        <v>-7.3050018989828658E-4</v>
      </c>
      <c r="Q1038">
        <f>IF(P1038&lt;-(O1038),1,0)</f>
        <v>0</v>
      </c>
    </row>
    <row r="1039" spans="1:17">
      <c r="A1039" s="64">
        <v>42800</v>
      </c>
      <c r="B1039">
        <v>2375.3100589999999</v>
      </c>
      <c r="C1039" s="68">
        <f>LN(B1039)-LN(B1038)</f>
        <v>-3.2826225138569143E-3</v>
      </c>
      <c r="D1039" s="68"/>
      <c r="E1039" s="68"/>
      <c r="F1039" s="68"/>
      <c r="G1039" s="68"/>
      <c r="H1039" s="68"/>
      <c r="I1039">
        <f>_xlfn.STDEV.S(C1019:C1039)</f>
        <v>4.3240804711156093E-3</v>
      </c>
      <c r="J1039">
        <f>_xlfn.NORM.S.INV(0.99)*I1039*SQRT(10)</f>
        <v>3.1810348401302924E-2</v>
      </c>
      <c r="K1039">
        <f>LN(B1048)-LN(B1039)</f>
        <v>1.2369429809906407E-3</v>
      </c>
      <c r="L1039">
        <f>IF(K1039&lt;-(J1039),1,0)</f>
        <v>0</v>
      </c>
      <c r="M1039" s="72">
        <f t="shared" si="15"/>
        <v>4.4165629493073615E-2</v>
      </c>
      <c r="N1039">
        <f>SQRT((N1038^2)*0.72+(1-0.72)*(C1038^2))</f>
        <v>6.0045571098101018E-3</v>
      </c>
      <c r="O1039">
        <f>_xlfn.NORM.S.INV(0.99)*N1039*SQRT(10)</f>
        <v>4.4172872113386039E-2</v>
      </c>
      <c r="P1039">
        <f>LN(B1048)-LN(B1039)</f>
        <v>1.2369429809906407E-3</v>
      </c>
      <c r="Q1039">
        <f>IF(P1039&lt;-(O1039),1,0)</f>
        <v>0</v>
      </c>
    </row>
    <row r="1040" spans="1:17">
      <c r="A1040" s="64">
        <v>42801</v>
      </c>
      <c r="B1040">
        <v>2368.389893</v>
      </c>
      <c r="C1040" s="68">
        <f>LN(B1040)-LN(B1039)</f>
        <v>-2.9176258949927814E-3</v>
      </c>
      <c r="D1040" s="68"/>
      <c r="E1040" s="68"/>
      <c r="F1040" s="68"/>
      <c r="G1040" s="68"/>
      <c r="H1040" s="68"/>
      <c r="I1040">
        <f>_xlfn.STDEV.S(C1020:C1040)</f>
        <v>4.2685427889556345E-3</v>
      </c>
      <c r="J1040">
        <f>_xlfn.NORM.S.INV(0.99)*I1040*SQRT(10)</f>
        <v>3.1401782226202622E-2</v>
      </c>
      <c r="K1040">
        <f>LN(B1049)-LN(B1040)</f>
        <v>2.1426529206838296E-3</v>
      </c>
      <c r="L1040">
        <f>IF(K1040&lt;-(J1040),1,0)</f>
        <v>0</v>
      </c>
      <c r="M1040" s="72">
        <f t="shared" si="15"/>
        <v>3.958038970278524E-2</v>
      </c>
      <c r="N1040">
        <f>SQRT((N1039^2)*0.72+(1-0.72)*(C1039^2))</f>
        <v>5.3829879565491902E-3</v>
      </c>
      <c r="O1040">
        <f>_xlfn.NORM.S.INV(0.99)*N1040*SQRT(10)</f>
        <v>3.9600262641196642E-2</v>
      </c>
      <c r="P1040">
        <f>LN(B1049)-LN(B1040)</f>
        <v>2.1426529206838296E-3</v>
      </c>
      <c r="Q1040">
        <f>IF(P1040&lt;-(O1040),1,0)</f>
        <v>0</v>
      </c>
    </row>
    <row r="1041" spans="1:17">
      <c r="A1041" s="64">
        <v>42802</v>
      </c>
      <c r="B1041">
        <v>2362.9799800000001</v>
      </c>
      <c r="C1041" s="68">
        <f>LN(B1041)-LN(B1040)</f>
        <v>-2.2868283405630407E-3</v>
      </c>
      <c r="D1041" s="68"/>
      <c r="E1041" s="68"/>
      <c r="F1041" s="68"/>
      <c r="G1041" s="68"/>
      <c r="H1041" s="68"/>
      <c r="I1041">
        <f>_xlfn.STDEV.S(C1021:C1041)</f>
        <v>4.2757659957700965E-3</v>
      </c>
      <c r="J1041">
        <f>_xlfn.NORM.S.INV(0.99)*I1041*SQRT(10)</f>
        <v>3.1454920165442546E-2</v>
      </c>
      <c r="K1041">
        <f>LN(B1050)-LN(B1041)</f>
        <v>-8.0561132539589408E-3</v>
      </c>
      <c r="L1041">
        <f>IF(K1041&lt;-(J1041),1,0)</f>
        <v>0</v>
      </c>
      <c r="M1041" s="72">
        <f t="shared" si="15"/>
        <v>3.5452152217624974E-2</v>
      </c>
      <c r="N1041">
        <f>SQRT((N1040^2)*0.72+(1-0.72)*(C1040^2))</f>
        <v>4.8214763472127177E-3</v>
      </c>
      <c r="O1041">
        <f>_xlfn.NORM.S.INV(0.99)*N1041*SQRT(10)</f>
        <v>3.5469469968931418E-2</v>
      </c>
      <c r="P1041">
        <f>LN(B1050)-LN(B1041)</f>
        <v>-8.0561132539589408E-3</v>
      </c>
      <c r="Q1041">
        <f>IF(P1041&lt;-(O1041),1,0)</f>
        <v>0</v>
      </c>
    </row>
    <row r="1042" spans="1:17">
      <c r="A1042" s="64">
        <v>42803</v>
      </c>
      <c r="B1042">
        <v>2364.8701169999999</v>
      </c>
      <c r="C1042" s="68">
        <f>LN(B1042)-LN(B1041)</f>
        <v>7.9957573185307496E-4</v>
      </c>
      <c r="D1042" s="68"/>
      <c r="E1042" s="68"/>
      <c r="F1042" s="68"/>
      <c r="G1042" s="68"/>
      <c r="H1042" s="68"/>
      <c r="I1042">
        <f>_xlfn.STDEV.S(C1022:C1042)</f>
        <v>4.2694577282888285E-3</v>
      </c>
      <c r="J1042">
        <f>_xlfn.NORM.S.INV(0.99)*I1042*SQRT(10)</f>
        <v>3.1408513030393097E-2</v>
      </c>
      <c r="K1042">
        <f>LN(B1051)-LN(B1042)</f>
        <v>-6.9675864115126274E-3</v>
      </c>
      <c r="L1042">
        <f>IF(K1042&lt;-(J1042),1,0)</f>
        <v>0</v>
      </c>
      <c r="M1042" s="72">
        <f t="shared" si="15"/>
        <v>3.1371644096130642E-2</v>
      </c>
      <c r="N1042">
        <f>SQRT((N1041^2)*0.72+(1-0.72)*(C1041^2))</f>
        <v>4.2663638007820505E-3</v>
      </c>
      <c r="O1042">
        <f>_xlfn.NORM.S.INV(0.99)*N1042*SQRT(10)</f>
        <v>3.1385752373514396E-2</v>
      </c>
      <c r="P1042">
        <f>LN(B1051)-LN(B1042)</f>
        <v>-6.9675864115126274E-3</v>
      </c>
      <c r="Q1042">
        <f>IF(P1042&lt;-(O1042),1,0)</f>
        <v>0</v>
      </c>
    </row>
    <row r="1043" spans="1:17">
      <c r="A1043" s="64">
        <v>42804</v>
      </c>
      <c r="B1043">
        <v>2372.6000979999999</v>
      </c>
      <c r="C1043" s="68">
        <f>LN(B1043)-LN(B1042)</f>
        <v>3.2633399300268096E-3</v>
      </c>
      <c r="D1043" s="68"/>
      <c r="E1043" s="68"/>
      <c r="F1043" s="68"/>
      <c r="G1043" s="68"/>
      <c r="H1043" s="68"/>
      <c r="I1043">
        <f>_xlfn.STDEV.S(C1023:C1043)</f>
        <v>4.2829531489729216E-3</v>
      </c>
      <c r="J1043">
        <f>_xlfn.NORM.S.INV(0.99)*I1043*SQRT(10)</f>
        <v>3.1507792874200538E-2</v>
      </c>
      <c r="K1043">
        <f>LN(B1052)-LN(B1043)</f>
        <v>-1.1291758386541062E-2</v>
      </c>
      <c r="L1043">
        <f>IF(K1043&lt;-(J1043),1,0)</f>
        <v>0</v>
      </c>
      <c r="M1043" s="72">
        <f t="shared" si="15"/>
        <v>2.6800881822089173E-2</v>
      </c>
      <c r="N1043">
        <f>SQRT((N1042^2)*0.72+(1-0.72)*(C1042^2))</f>
        <v>3.6447701211900921E-3</v>
      </c>
      <c r="O1043">
        <f>_xlfn.NORM.S.INV(0.99)*N1043*SQRT(10)</f>
        <v>2.681296247195028E-2</v>
      </c>
      <c r="P1043">
        <f>LN(B1052)-LN(B1043)</f>
        <v>-1.1291758386541062E-2</v>
      </c>
      <c r="Q1043">
        <f>IF(P1043&lt;-(O1043),1,0)</f>
        <v>0</v>
      </c>
    </row>
    <row r="1044" spans="1:17">
      <c r="A1044" s="64">
        <v>42807</v>
      </c>
      <c r="B1044">
        <v>2373.469971</v>
      </c>
      <c r="C1044" s="68">
        <f>LN(B1044)-LN(B1043)</f>
        <v>3.6656559936698585E-4</v>
      </c>
      <c r="D1044" s="68"/>
      <c r="E1044" s="68"/>
      <c r="F1044" s="68"/>
      <c r="G1044" s="68"/>
      <c r="H1044" s="68"/>
      <c r="I1044">
        <f>_xlfn.STDEV.S(C1024:C1044)</f>
        <v>4.1821739209187024E-3</v>
      </c>
      <c r="J1044">
        <f>_xlfn.NORM.S.INV(0.99)*I1044*SQRT(10)</f>
        <v>3.0766404646707171E-2</v>
      </c>
      <c r="K1044">
        <f>LN(B1053)-LN(B1044)</f>
        <v>-1.2502676426469073E-2</v>
      </c>
      <c r="L1044">
        <f>IF(K1044&lt;-(J1044),1,0)</f>
        <v>0</v>
      </c>
      <c r="M1044" s="72">
        <f t="shared" si="15"/>
        <v>2.6035387271725729E-2</v>
      </c>
      <c r="N1044">
        <f>SQRT((N1043^2)*0.72+(1-0.72)*(C1043^2))</f>
        <v>3.5421123570328053E-3</v>
      </c>
      <c r="O1044">
        <f>_xlfn.NORM.S.INV(0.99)*N1044*SQRT(10)</f>
        <v>2.6057754684825178E-2</v>
      </c>
      <c r="P1044">
        <f>LN(B1053)-LN(B1044)</f>
        <v>-1.2502676426469073E-2</v>
      </c>
      <c r="Q1044">
        <f>IF(P1044&lt;-(O1044),1,0)</f>
        <v>0</v>
      </c>
    </row>
    <row r="1045" spans="1:17">
      <c r="A1045" s="64">
        <v>42808</v>
      </c>
      <c r="B1045">
        <v>2365.4499510000001</v>
      </c>
      <c r="C1045" s="68">
        <f>LN(B1045)-LN(B1044)</f>
        <v>-3.3847491786316297E-3</v>
      </c>
      <c r="D1045" s="68"/>
      <c r="E1045" s="68"/>
      <c r="F1045" s="68"/>
      <c r="G1045" s="68"/>
      <c r="H1045" s="68"/>
      <c r="I1045">
        <f>_xlfn.STDEV.S(C1025:C1045)</f>
        <v>4.2710488254790761E-3</v>
      </c>
      <c r="J1045">
        <f>_xlfn.NORM.S.INV(0.99)*I1045*SQRT(10)</f>
        <v>3.1420218029016553E-2</v>
      </c>
      <c r="K1045">
        <f>LN(B1054)-LN(B1045)</f>
        <v>-1.0138034586992362E-2</v>
      </c>
      <c r="L1045">
        <f>IF(K1045&lt;-(J1045),1,0)</f>
        <v>0</v>
      </c>
      <c r="M1045" s="72">
        <f t="shared" si="15"/>
        <v>2.2131715049858312E-2</v>
      </c>
      <c r="N1045">
        <f>SQRT((N1044^2)*0.72+(1-0.72)*(C1044^2))</f>
        <v>3.0118344673482696E-3</v>
      </c>
      <c r="O1045">
        <f>_xlfn.NORM.S.INV(0.99)*N1045*SQRT(10)</f>
        <v>2.2156734679982217E-2</v>
      </c>
      <c r="P1045">
        <f>LN(B1054)-LN(B1045)</f>
        <v>-1.0138034586992362E-2</v>
      </c>
      <c r="Q1045">
        <f>IF(P1045&lt;-(O1045),1,0)</f>
        <v>0</v>
      </c>
    </row>
    <row r="1046" spans="1:17">
      <c r="A1046" s="64">
        <v>42809</v>
      </c>
      <c r="B1046">
        <v>2385.26001</v>
      </c>
      <c r="C1046" s="68">
        <f>LN(B1046)-LN(B1045)</f>
        <v>8.3398792956064227E-3</v>
      </c>
      <c r="D1046" s="68"/>
      <c r="E1046" s="68"/>
      <c r="F1046" s="68"/>
      <c r="G1046" s="68"/>
      <c r="H1046" s="68"/>
      <c r="I1046">
        <f>_xlfn.STDEV.S(C1026:C1046)</f>
        <v>4.4738988562148122E-3</v>
      </c>
      <c r="J1046">
        <f>_xlfn.NORM.S.INV(0.99)*I1046*SQRT(10)</f>
        <v>3.2912496027546485E-2</v>
      </c>
      <c r="K1046">
        <f>LN(B1055)-LN(B1046)</f>
        <v>-1.1252605252054515E-2</v>
      </c>
      <c r="L1046">
        <f>IF(K1046&lt;-(J1046),1,0)</f>
        <v>0</v>
      </c>
      <c r="M1046" s="72">
        <f t="shared" si="15"/>
        <v>2.2927887205037949E-2</v>
      </c>
      <c r="N1046">
        <f>SQRT((N1045^2)*0.72+(1-0.72)*(C1045^2))</f>
        <v>3.1207456318800421E-3</v>
      </c>
      <c r="O1046">
        <f>_xlfn.NORM.S.INV(0.99)*N1046*SQRT(10)</f>
        <v>2.2957945969108266E-2</v>
      </c>
      <c r="P1046">
        <f>LN(B1055)-LN(B1046)</f>
        <v>-1.1252605252054515E-2</v>
      </c>
      <c r="Q1046">
        <f>IF(P1046&lt;-(O1046),1,0)</f>
        <v>0</v>
      </c>
    </row>
    <row r="1047" spans="1:17">
      <c r="A1047" s="64">
        <v>42810</v>
      </c>
      <c r="B1047">
        <v>2381.3798830000001</v>
      </c>
      <c r="C1047" s="68">
        <f>LN(B1047)-LN(B1046)</f>
        <v>-1.6280348187072136E-3</v>
      </c>
      <c r="D1047" s="68"/>
      <c r="E1047" s="68"/>
      <c r="F1047" s="68"/>
      <c r="G1047" s="68"/>
      <c r="H1047" s="68"/>
      <c r="I1047">
        <f>_xlfn.STDEV.S(C1027:C1047)</f>
        <v>4.4633415945102874E-3</v>
      </c>
      <c r="J1047">
        <f>_xlfn.NORM.S.INV(0.99)*I1047*SQRT(10)</f>
        <v>3.2834830920426494E-2</v>
      </c>
      <c r="K1047">
        <f>LN(B1056)-LN(B1047)</f>
        <v>-8.5398339977365012E-3</v>
      </c>
      <c r="L1047">
        <f>IF(K1047&lt;-(J1047),1,0)</f>
        <v>0</v>
      </c>
      <c r="M1047" s="72">
        <f t="shared" si="15"/>
        <v>3.7843391918661276E-2</v>
      </c>
      <c r="N1047">
        <f>SQRT((N1046^2)*0.72+(1-0.72)*(C1046^2))</f>
        <v>5.1465641588817812E-3</v>
      </c>
      <c r="O1047">
        <f>_xlfn.NORM.S.INV(0.99)*N1047*SQRT(10)</f>
        <v>3.7860997281914575E-2</v>
      </c>
      <c r="P1047">
        <f>LN(B1056)-LN(B1047)</f>
        <v>-8.5398339977365012E-3</v>
      </c>
      <c r="Q1047">
        <f>IF(P1047&lt;-(O1047),1,0)</f>
        <v>0</v>
      </c>
    </row>
    <row r="1048" spans="1:17">
      <c r="A1048" s="64">
        <v>42811</v>
      </c>
      <c r="B1048">
        <v>2378.25</v>
      </c>
      <c r="C1048" s="68">
        <f>LN(B1048)-LN(B1047)</f>
        <v>-1.315179342967987E-3</v>
      </c>
      <c r="D1048" s="68"/>
      <c r="E1048" s="68"/>
      <c r="F1048" s="68"/>
      <c r="G1048" s="68"/>
      <c r="H1048" s="68"/>
      <c r="I1048">
        <f>_xlfn.STDEV.S(C1028:C1048)</f>
        <v>4.385209943481949E-3</v>
      </c>
      <c r="J1048">
        <f>_xlfn.NORM.S.INV(0.99)*I1048*SQRT(10)</f>
        <v>3.2260050904887323E-2</v>
      </c>
      <c r="K1048">
        <f>LN(B1057)-LN(B1048)</f>
        <v>-4.293843650920337E-3</v>
      </c>
      <c r="L1048">
        <f>IF(K1048&lt;-(J1048),1,0)</f>
        <v>0</v>
      </c>
      <c r="M1048" s="72">
        <f t="shared" si="15"/>
        <v>3.2722547543846021E-2</v>
      </c>
      <c r="N1048">
        <f>SQRT((N1047^2)*0.72+(1-0.72)*(C1047^2))</f>
        <v>4.4511647425958915E-3</v>
      </c>
      <c r="O1048">
        <f>_xlfn.NORM.S.INV(0.99)*N1048*SQRT(10)</f>
        <v>3.2745251204134102E-2</v>
      </c>
      <c r="P1048">
        <f>LN(B1057)-LN(B1048)</f>
        <v>-4.293843650920337E-3</v>
      </c>
      <c r="Q1048">
        <f>IF(P1048&lt;-(O1048),1,0)</f>
        <v>0</v>
      </c>
    </row>
    <row r="1049" spans="1:17">
      <c r="A1049" s="64">
        <v>42814</v>
      </c>
      <c r="B1049">
        <v>2373.469971</v>
      </c>
      <c r="C1049" s="68">
        <f>LN(B1049)-LN(B1048)</f>
        <v>-2.0119159552995924E-3</v>
      </c>
      <c r="D1049" s="68"/>
      <c r="E1049" s="68"/>
      <c r="F1049" s="68"/>
      <c r="G1049" s="68"/>
      <c r="H1049" s="68"/>
      <c r="I1049">
        <f>_xlfn.STDEV.S(C1029:C1049)</f>
        <v>4.4112345585305751E-3</v>
      </c>
      <c r="J1049">
        <f>_xlfn.NORM.S.INV(0.99)*I1049*SQRT(10)</f>
        <v>3.2451502492626391E-2</v>
      </c>
      <c r="K1049">
        <f>LN(B1058)-LN(B1049)</f>
        <v>-4.5395216797921023E-3</v>
      </c>
      <c r="L1049">
        <f>IF(K1049&lt;-(J1049),1,0)</f>
        <v>0</v>
      </c>
      <c r="M1049" s="72">
        <f t="shared" ref="M1049:M1112" si="16">EWMAV(B1028:B1048,0.72,0.99)*SQRT(10)</f>
        <v>2.8233767579920452E-2</v>
      </c>
      <c r="N1049">
        <f>SQRT((N1048^2)*0.72+(1-0.72)*(C1048^2))</f>
        <v>3.8405181583338749E-3</v>
      </c>
      <c r="O1049">
        <f>_xlfn.NORM.S.INV(0.99)*N1049*SQRT(10)</f>
        <v>2.8252994243331352E-2</v>
      </c>
      <c r="P1049">
        <f>LN(B1058)-LN(B1049)</f>
        <v>-4.5395216797921023E-3</v>
      </c>
      <c r="Q1049">
        <f>IF(P1049&lt;-(O1049),1,0)</f>
        <v>0</v>
      </c>
    </row>
    <row r="1050" spans="1:17">
      <c r="A1050" s="64">
        <v>42815</v>
      </c>
      <c r="B1050">
        <v>2344.0200199999999</v>
      </c>
      <c r="C1050" s="68">
        <f>LN(B1050)-LN(B1049)</f>
        <v>-1.2485594515205811E-2</v>
      </c>
      <c r="D1050" s="68"/>
      <c r="E1050" s="68"/>
      <c r="F1050" s="68"/>
      <c r="G1050" s="68"/>
      <c r="H1050" s="68"/>
      <c r="I1050">
        <f>_xlfn.STDEV.S(C1030:C1050)</f>
        <v>5.2330981738312049E-3</v>
      </c>
      <c r="J1050">
        <f>_xlfn.NORM.S.INV(0.99)*I1050*SQRT(10)</f>
        <v>3.8497589774235737E-2</v>
      </c>
      <c r="K1050">
        <f>LN(B1059)-LN(B1050)</f>
        <v>6.3025974481192293E-3</v>
      </c>
      <c r="L1050">
        <f>IF(K1050&lt;-(J1050),1,0)</f>
        <v>0</v>
      </c>
      <c r="M1050" s="72">
        <f t="shared" si="16"/>
        <v>2.5203625604820486E-2</v>
      </c>
      <c r="N1050">
        <f>SQRT((N1049^2)*0.72+(1-0.72)*(C1049^2))</f>
        <v>3.4282769766702539E-3</v>
      </c>
      <c r="O1050">
        <f>_xlfn.NORM.S.INV(0.99)*N1050*SQRT(10)</f>
        <v>2.5220318116769506E-2</v>
      </c>
      <c r="P1050">
        <f>LN(B1059)-LN(B1050)</f>
        <v>6.3025974481192293E-3</v>
      </c>
      <c r="Q1050">
        <f>IF(P1050&lt;-(O1050),1,0)</f>
        <v>0</v>
      </c>
    </row>
    <row r="1051" spans="1:17">
      <c r="A1051" s="64">
        <v>42816</v>
      </c>
      <c r="B1051">
        <v>2348.4499510000001</v>
      </c>
      <c r="C1051" s="68">
        <f>LN(B1051)-LN(B1050)</f>
        <v>1.8881025742993884E-3</v>
      </c>
      <c r="D1051" s="68"/>
      <c r="E1051" s="68"/>
      <c r="F1051" s="68"/>
      <c r="G1051" s="68"/>
      <c r="H1051" s="68"/>
      <c r="I1051">
        <f>_xlfn.STDEV.S(C1031:C1051)</f>
        <v>5.0640676912225959E-3</v>
      </c>
      <c r="J1051">
        <f>_xlfn.NORM.S.INV(0.99)*I1051*SQRT(10)</f>
        <v>3.7254107240055935E-2</v>
      </c>
      <c r="K1051">
        <f>LN(B1060)-LN(B1051)</f>
        <v>4.9738608557703401E-3</v>
      </c>
      <c r="L1051">
        <f>IF(K1051&lt;-(J1051),1,0)</f>
        <v>0</v>
      </c>
      <c r="M1051" s="72">
        <f t="shared" si="16"/>
        <v>5.3092728260383054E-2</v>
      </c>
      <c r="N1051">
        <f>SQRT((N1050^2)*0.72+(1-0.72)*(C1050^2))</f>
        <v>7.2188253540441723E-3</v>
      </c>
      <c r="O1051">
        <f>_xlfn.NORM.S.INV(0.99)*N1051*SQRT(10)</f>
        <v>5.3105706772626007E-2</v>
      </c>
      <c r="P1051">
        <f>LN(B1060)-LN(B1051)</f>
        <v>4.9738608557703401E-3</v>
      </c>
      <c r="Q1051">
        <f>IF(P1051&lt;-(O1051),1,0)</f>
        <v>0</v>
      </c>
    </row>
    <row r="1052" spans="1:17">
      <c r="A1052" s="64">
        <v>42817</v>
      </c>
      <c r="B1052">
        <v>2345.959961</v>
      </c>
      <c r="C1052" s="68">
        <f>LN(B1052)-LN(B1051)</f>
        <v>-1.0608320450016251E-3</v>
      </c>
      <c r="D1052" s="68"/>
      <c r="E1052" s="68"/>
      <c r="F1052" s="68"/>
      <c r="G1052" s="68"/>
      <c r="H1052" s="68"/>
      <c r="I1052">
        <f>_xlfn.STDEV.S(C1032:C1052)</f>
        <v>5.0639093893363159E-3</v>
      </c>
      <c r="J1052">
        <f>_xlfn.NORM.S.INV(0.99)*I1052*SQRT(10)</f>
        <v>3.7252942683061958E-2</v>
      </c>
      <c r="K1052">
        <f>LN(B1061)-LN(B1052)</f>
        <v>2.9751560625452811E-3</v>
      </c>
      <c r="L1052">
        <f>IF(K1052&lt;-(J1052),1,0)</f>
        <v>0</v>
      </c>
      <c r="M1052" s="72">
        <f t="shared" si="16"/>
        <v>4.5646016243807493E-2</v>
      </c>
      <c r="N1052">
        <f>SQRT((N1051^2)*0.72+(1-0.72)*(C1051^2))</f>
        <v>6.206320746390632E-3</v>
      </c>
      <c r="O1052">
        <f>_xlfn.NORM.S.INV(0.99)*N1052*SQRT(10)</f>
        <v>4.5657157990398101E-2</v>
      </c>
      <c r="P1052">
        <f>LN(B1061)-LN(B1052)</f>
        <v>2.9751560625452811E-3</v>
      </c>
      <c r="Q1052">
        <f>IF(P1052&lt;-(O1052),1,0)</f>
        <v>0</v>
      </c>
    </row>
    <row r="1053" spans="1:17">
      <c r="A1053" s="64">
        <v>42818</v>
      </c>
      <c r="B1053">
        <v>2343.9799800000001</v>
      </c>
      <c r="C1053" s="68">
        <f>LN(B1053)-LN(B1052)</f>
        <v>-8.4435244056102476E-4</v>
      </c>
      <c r="D1053" s="68"/>
      <c r="E1053" s="68"/>
      <c r="F1053" s="68"/>
      <c r="G1053" s="68"/>
      <c r="H1053" s="68"/>
      <c r="I1053">
        <f>_xlfn.STDEV.S(C1033:C1053)</f>
        <v>5.0619337809653612E-3</v>
      </c>
      <c r="J1053">
        <f>_xlfn.NORM.S.INV(0.99)*I1053*SQRT(10)</f>
        <v>3.7238409005669874E-2</v>
      </c>
      <c r="K1053">
        <f>LN(B1062)-LN(B1053)</f>
        <v>5.7471587704709393E-3</v>
      </c>
      <c r="L1053">
        <f>IF(K1053&lt;-(J1053),1,0)</f>
        <v>0</v>
      </c>
      <c r="M1053" s="72">
        <f t="shared" si="16"/>
        <v>3.8951400499273946E-2</v>
      </c>
      <c r="N1053">
        <f>SQRT((N1052^2)*0.72+(1-0.72)*(C1052^2))</f>
        <v>5.2960704758201029E-3</v>
      </c>
      <c r="O1053">
        <f>_xlfn.NORM.S.INV(0.99)*N1053*SQRT(10)</f>
        <v>3.8960849160660171E-2</v>
      </c>
      <c r="P1053">
        <f>LN(B1062)-LN(B1053)</f>
        <v>5.7471587704709393E-3</v>
      </c>
      <c r="Q1053">
        <f>IF(P1053&lt;-(O1053),1,0)</f>
        <v>0</v>
      </c>
    </row>
    <row r="1054" spans="1:17">
      <c r="A1054" s="64">
        <v>42821</v>
      </c>
      <c r="B1054">
        <v>2341.5900879999999</v>
      </c>
      <c r="C1054" s="68">
        <f>LN(B1054)-LN(B1053)</f>
        <v>-1.0201073391549187E-3</v>
      </c>
      <c r="D1054" s="68"/>
      <c r="E1054" s="68"/>
      <c r="F1054" s="68"/>
      <c r="G1054" s="68"/>
      <c r="H1054" s="68"/>
      <c r="I1054">
        <f>_xlfn.STDEV.S(C1034:C1054)</f>
        <v>5.0446059485223654E-3</v>
      </c>
      <c r="J1054">
        <f>_xlfn.NORM.S.INV(0.99)*I1054*SQRT(10)</f>
        <v>3.7110935802815978E-2</v>
      </c>
      <c r="K1054">
        <f>LN(B1063)-LN(B1054)</f>
        <v>5.9397937195653228E-3</v>
      </c>
      <c r="L1054">
        <f>IF(K1054&lt;-(J1054),1,0)</f>
        <v>0</v>
      </c>
      <c r="M1054" s="72">
        <f t="shared" si="16"/>
        <v>3.3213676640671624E-2</v>
      </c>
      <c r="N1054">
        <f>SQRT((N1053^2)*0.72+(1-0.72)*(C1053^2))</f>
        <v>4.5160205581220737E-3</v>
      </c>
      <c r="O1054">
        <f>_xlfn.NORM.S.INV(0.99)*N1054*SQRT(10)</f>
        <v>3.3222366766973342E-2</v>
      </c>
      <c r="P1054">
        <f>LN(B1063)-LN(B1054)</f>
        <v>5.9397937195653228E-3</v>
      </c>
      <c r="Q1054">
        <f>IF(P1054&lt;-(O1054),1,0)</f>
        <v>0</v>
      </c>
    </row>
    <row r="1055" spans="1:17">
      <c r="A1055" s="64">
        <v>42822</v>
      </c>
      <c r="B1055">
        <v>2358.570068</v>
      </c>
      <c r="C1055" s="68">
        <f>LN(B1055)-LN(B1054)</f>
        <v>7.2253086305442693E-3</v>
      </c>
      <c r="D1055" s="68"/>
      <c r="E1055" s="68"/>
      <c r="F1055" s="68"/>
      <c r="G1055" s="68"/>
      <c r="H1055" s="68"/>
      <c r="I1055">
        <f>_xlfn.STDEV.S(C1035:C1055)</f>
        <v>5.3139523790489062E-3</v>
      </c>
      <c r="J1055">
        <f>_xlfn.NORM.S.INV(0.99)*I1055*SQRT(10)</f>
        <v>3.9092398417337131E-2</v>
      </c>
      <c r="K1055">
        <f>LN(B1064)-LN(B1055)</f>
        <v>-5.980647950636353E-4</v>
      </c>
      <c r="L1055">
        <f>IF(K1055&lt;-(J1055),1,0)</f>
        <v>0</v>
      </c>
      <c r="M1055" s="72">
        <f t="shared" si="16"/>
        <v>2.846073813517886E-2</v>
      </c>
      <c r="N1055">
        <f>SQRT((N1054^2)*0.72+(1-0.72)*(C1054^2))</f>
        <v>3.8698024918522433E-3</v>
      </c>
      <c r="O1055">
        <f>_xlfn.NORM.S.INV(0.99)*N1055*SQRT(10)</f>
        <v>2.8468426138769438E-2</v>
      </c>
      <c r="P1055">
        <f>LN(B1064)-LN(B1055)</f>
        <v>-5.980647950636353E-4</v>
      </c>
      <c r="Q1055">
        <f>IF(P1055&lt;-(O1055),1,0)</f>
        <v>0</v>
      </c>
    </row>
    <row r="1056" spans="1:17">
      <c r="A1056" s="64">
        <v>42823</v>
      </c>
      <c r="B1056">
        <v>2361.1298830000001</v>
      </c>
      <c r="C1056" s="68">
        <f>LN(B1056)-LN(B1055)</f>
        <v>1.0847364356108002E-3</v>
      </c>
      <c r="D1056" s="68"/>
      <c r="E1056" s="68"/>
      <c r="F1056" s="68"/>
      <c r="G1056" s="68"/>
      <c r="H1056" s="68"/>
      <c r="I1056">
        <f>_xlfn.STDEV.S(C1036:C1056)</f>
        <v>5.2928460406008121E-3</v>
      </c>
      <c r="J1056">
        <f>_xlfn.NORM.S.INV(0.99)*I1056*SQRT(10)</f>
        <v>3.8937128416236415E-2</v>
      </c>
      <c r="K1056">
        <f>LN(B1065)-LN(B1056)</f>
        <v>-3.117709602358687E-3</v>
      </c>
      <c r="L1056">
        <f>IF(K1056&lt;-(J1056),1,0)</f>
        <v>0</v>
      </c>
      <c r="M1056" s="72">
        <f t="shared" si="16"/>
        <v>3.7069499251301E-2</v>
      </c>
      <c r="N1056">
        <f>SQRT((N1055^2)*0.72+(1-0.72)*(C1055^2))</f>
        <v>5.0398106214950087E-3</v>
      </c>
      <c r="O1056">
        <f>_xlfn.NORM.S.INV(0.99)*N1056*SQRT(10)</f>
        <v>3.7075658701832923E-2</v>
      </c>
      <c r="P1056">
        <f>LN(B1065)-LN(B1056)</f>
        <v>-3.117709602358687E-3</v>
      </c>
      <c r="Q1056">
        <f>IF(P1056&lt;-(O1056),1,0)</f>
        <v>0</v>
      </c>
    </row>
    <row r="1057" spans="1:17">
      <c r="A1057" s="64">
        <v>42824</v>
      </c>
      <c r="B1057">
        <v>2368.0600589999999</v>
      </c>
      <c r="C1057" s="68">
        <f>LN(B1057)-LN(B1056)</f>
        <v>2.9308110038481772E-3</v>
      </c>
      <c r="D1057" s="68"/>
      <c r="E1057" s="68"/>
      <c r="F1057" s="68"/>
      <c r="G1057" s="68"/>
      <c r="H1057" s="68"/>
      <c r="I1057">
        <f>_xlfn.STDEV.S(C1037:C1057)</f>
        <v>4.3470999587720081E-3</v>
      </c>
      <c r="J1057">
        <f>_xlfn.NORM.S.INV(0.99)*I1057*SQRT(10)</f>
        <v>3.1979692595348559E-2</v>
      </c>
      <c r="K1057">
        <f>LN(B1066)-LN(B1057)</f>
        <v>-9.8155577458109988E-3</v>
      </c>
      <c r="L1057">
        <f>IF(K1057&lt;-(J1057),1,0)</f>
        <v>0</v>
      </c>
      <c r="M1057" s="72">
        <f t="shared" si="16"/>
        <v>3.1674893103006446E-2</v>
      </c>
      <c r="N1057">
        <f>SQRT((N1056^2)*0.72+(1-0.72)*(C1056^2))</f>
        <v>4.3147700367588615E-3</v>
      </c>
      <c r="O1057">
        <f>_xlfn.NORM.S.INV(0.99)*N1057*SQRT(10)</f>
        <v>3.1741855651772941E-2</v>
      </c>
      <c r="P1057">
        <f>LN(B1066)-LN(B1057)</f>
        <v>-9.8155577458109988E-3</v>
      </c>
      <c r="Q1057">
        <f>IF(P1057&lt;-(O1057),1,0)</f>
        <v>0</v>
      </c>
    </row>
    <row r="1058" spans="1:17">
      <c r="A1058" s="64">
        <v>42825</v>
      </c>
      <c r="B1058">
        <v>2362.719971</v>
      </c>
      <c r="C1058" s="68">
        <f>LN(B1058)-LN(B1057)</f>
        <v>-2.2575939841713577E-3</v>
      </c>
      <c r="D1058" s="68"/>
      <c r="E1058" s="68"/>
      <c r="F1058" s="68"/>
      <c r="G1058" s="68"/>
      <c r="H1058" s="68"/>
      <c r="I1058">
        <f>_xlfn.STDEV.S(C1038:C1058)</f>
        <v>4.1947321698045052E-3</v>
      </c>
      <c r="J1058">
        <f>_xlfn.NORM.S.INV(0.99)*I1058*SQRT(10)</f>
        <v>3.0858790131907128E-2</v>
      </c>
      <c r="K1058">
        <f>LN(B1067)-LN(B1058)</f>
        <v>-1.4395984278499085E-2</v>
      </c>
      <c r="L1058">
        <f>IF(K1058&lt;-(J1058),1,0)</f>
        <v>0</v>
      </c>
      <c r="M1058" s="72">
        <f t="shared" si="16"/>
        <v>2.918566699669619E-2</v>
      </c>
      <c r="N1058">
        <f>SQRT((N1057^2)*0.72+(1-0.72)*(C1057^2))</f>
        <v>3.9761182097314968E-3</v>
      </c>
      <c r="O1058">
        <f>_xlfn.NORM.S.INV(0.99)*N1058*SQRT(10)</f>
        <v>2.9250543874289089E-2</v>
      </c>
      <c r="P1058">
        <f>LN(B1067)-LN(B1058)</f>
        <v>-1.4395984278499085E-2</v>
      </c>
      <c r="Q1058">
        <f>IF(P1058&lt;-(O1058),1,0)</f>
        <v>0</v>
      </c>
    </row>
    <row r="1059" spans="1:17">
      <c r="A1059" s="64">
        <v>42828</v>
      </c>
      <c r="B1059">
        <v>2358.8400879999999</v>
      </c>
      <c r="C1059" s="68">
        <f>LN(B1059)-LN(B1058)</f>
        <v>-1.6434753872944796E-3</v>
      </c>
      <c r="D1059" s="68"/>
      <c r="E1059" s="68"/>
      <c r="F1059" s="68"/>
      <c r="G1059" s="68"/>
      <c r="H1059" s="68"/>
      <c r="I1059">
        <f>_xlfn.STDEV.S(C1039:C1059)</f>
        <v>4.1981435212376326E-3</v>
      </c>
      <c r="J1059">
        <f>_xlfn.NORM.S.INV(0.99)*I1059*SQRT(10)</f>
        <v>3.0883885936282631E-2</v>
      </c>
      <c r="K1059">
        <f>LN(B1068)-LN(B1059)</f>
        <v>-4.1760430265220805E-3</v>
      </c>
      <c r="L1059">
        <f>IF(K1059&lt;-(J1059),1,0)</f>
        <v>0</v>
      </c>
      <c r="M1059" s="72">
        <f t="shared" si="16"/>
        <v>2.6277846068966593E-2</v>
      </c>
      <c r="N1059">
        <f>SQRT((N1058^2)*0.72+(1-0.72)*(C1058^2))</f>
        <v>3.5790971068202001E-3</v>
      </c>
      <c r="O1059">
        <f>_xlfn.NORM.S.INV(0.99)*N1059*SQRT(10)</f>
        <v>2.632983513849178E-2</v>
      </c>
      <c r="P1059">
        <f>LN(B1068)-LN(B1059)</f>
        <v>-4.1760430265220805E-3</v>
      </c>
      <c r="Q1059">
        <f>IF(P1059&lt;-(O1059),1,0)</f>
        <v>0</v>
      </c>
    </row>
    <row r="1060" spans="1:17">
      <c r="A1060" s="64">
        <v>42829</v>
      </c>
      <c r="B1060">
        <v>2360.1599120000001</v>
      </c>
      <c r="C1060" s="68">
        <f>LN(B1060)-LN(B1059)</f>
        <v>5.5936598195049925E-4</v>
      </c>
      <c r="D1060" s="68"/>
      <c r="E1060" s="68"/>
      <c r="F1060" s="68"/>
      <c r="G1060" s="68"/>
      <c r="H1060" s="68"/>
      <c r="I1060">
        <f>_xlfn.STDEV.S(C1040:C1060)</f>
        <v>4.1537310442179816E-3</v>
      </c>
      <c r="J1060">
        <f>_xlfn.NORM.S.INV(0.99)*I1060*SQRT(10)</f>
        <v>3.0557162977078438E-2</v>
      </c>
      <c r="K1060">
        <f>LN(B1069)-LN(B1060)</f>
        <v>-7.6430121275308238E-3</v>
      </c>
      <c r="L1060">
        <f>IF(K1060&lt;-(J1060),1,0)</f>
        <v>0</v>
      </c>
      <c r="M1060" s="72">
        <f t="shared" si="16"/>
        <v>2.3192207989863833E-2</v>
      </c>
      <c r="N1060">
        <f>SQRT((N1059^2)*0.72+(1-0.72)*(C1059^2))</f>
        <v>3.1590247181139705E-3</v>
      </c>
      <c r="O1060">
        <f>_xlfn.NORM.S.INV(0.99)*N1060*SQRT(10)</f>
        <v>2.3239548283801228E-2</v>
      </c>
      <c r="P1060">
        <f>LN(B1069)-LN(B1060)</f>
        <v>-7.6430121275308238E-3</v>
      </c>
      <c r="Q1060">
        <f>IF(P1060&lt;-(O1060),1,0)</f>
        <v>0</v>
      </c>
    </row>
    <row r="1061" spans="1:17">
      <c r="A1061" s="64">
        <v>42830</v>
      </c>
      <c r="B1061">
        <v>2352.9499510000001</v>
      </c>
      <c r="C1061" s="68">
        <f>LN(B1061)-LN(B1060)</f>
        <v>-3.0595368382266841E-3</v>
      </c>
      <c r="D1061" s="68"/>
      <c r="E1061" s="68"/>
      <c r="F1061" s="68"/>
      <c r="G1061" s="68"/>
      <c r="H1061" s="68"/>
      <c r="I1061">
        <f>_xlfn.STDEV.S(C1041:C1061)</f>
        <v>4.1583074581897621E-3</v>
      </c>
      <c r="J1061">
        <f>_xlfn.NORM.S.INV(0.99)*I1061*SQRT(10)</f>
        <v>3.0590829631490488E-2</v>
      </c>
      <c r="K1061">
        <f>LN(B1070)-LN(B1061)</f>
        <v>-6.3013004592633592E-3</v>
      </c>
      <c r="L1061">
        <f>IF(K1061&lt;-(J1061),1,0)</f>
        <v>0</v>
      </c>
      <c r="M1061" s="72">
        <f t="shared" si="16"/>
        <v>1.9794773115913652E-2</v>
      </c>
      <c r="N1061">
        <f>SQRT((N1060^2)*0.72+(1-0.72)*(C1060^2))</f>
        <v>2.6968136840807896E-3</v>
      </c>
      <c r="O1061">
        <f>_xlfn.NORM.S.INV(0.99)*N1061*SQRT(10)</f>
        <v>1.9839266044435644E-2</v>
      </c>
      <c r="P1061">
        <f>LN(B1070)-LN(B1061)</f>
        <v>-6.3013004592633592E-3</v>
      </c>
      <c r="Q1061">
        <f>IF(P1061&lt;-(O1061),1,0)</f>
        <v>0</v>
      </c>
    </row>
    <row r="1062" spans="1:17">
      <c r="A1062" s="64">
        <v>42831</v>
      </c>
      <c r="B1062">
        <v>2357.48999</v>
      </c>
      <c r="C1062" s="68">
        <f>LN(B1062)-LN(B1061)</f>
        <v>1.9276502673646334E-3</v>
      </c>
      <c r="D1062" s="68"/>
      <c r="E1062" s="68"/>
      <c r="F1062" s="68"/>
      <c r="G1062" s="68"/>
      <c r="H1062" s="68"/>
      <c r="I1062">
        <f>_xlfn.STDEV.S(C1042:C1062)</f>
        <v>4.159904406478755E-3</v>
      </c>
      <c r="J1062">
        <f>_xlfn.NORM.S.INV(0.99)*I1062*SQRT(10)</f>
        <v>3.0602577674060709E-2</v>
      </c>
      <c r="K1062">
        <f>LN(B1071)-LN(B1062)</f>
        <v>-7.0010037068790609E-4</v>
      </c>
      <c r="L1062">
        <f>IF(K1062&lt;-(J1062),1,0)</f>
        <v>0</v>
      </c>
      <c r="M1062" s="72">
        <f t="shared" si="16"/>
        <v>2.0587745026575673E-2</v>
      </c>
      <c r="N1062">
        <f>SQRT((N1061^2)*0.72+(1-0.72)*(C1061^2))</f>
        <v>2.8031113605483469E-3</v>
      </c>
      <c r="O1062">
        <f>_xlfn.NORM.S.INV(0.99)*N1062*SQRT(10)</f>
        <v>2.0621251057265342E-2</v>
      </c>
      <c r="P1062">
        <f>LN(B1071)-LN(B1062)</f>
        <v>-7.0010037068790609E-4</v>
      </c>
      <c r="Q1062">
        <f>IF(P1062&lt;-(O1062),1,0)</f>
        <v>0</v>
      </c>
    </row>
    <row r="1063" spans="1:17">
      <c r="A1063" s="64">
        <v>42832</v>
      </c>
      <c r="B1063">
        <v>2355.540039</v>
      </c>
      <c r="C1063" s="68">
        <f>LN(B1063)-LN(B1062)</f>
        <v>-8.2747239006053519E-4</v>
      </c>
      <c r="D1063" s="68"/>
      <c r="E1063" s="68"/>
      <c r="F1063" s="68"/>
      <c r="G1063" s="68"/>
      <c r="H1063" s="68"/>
      <c r="I1063">
        <f>_xlfn.STDEV.S(C1043:C1063)</f>
        <v>4.1572526136240883E-3</v>
      </c>
      <c r="J1063">
        <f>_xlfn.NORM.S.INV(0.99)*I1063*SQRT(10)</f>
        <v>3.0583069606355099E-2</v>
      </c>
      <c r="K1063">
        <f>LN(B1072)-LN(B1063)</f>
        <v>-2.9123163071380631E-3</v>
      </c>
      <c r="L1063">
        <f>IF(K1063&lt;-(J1063),1,0)</f>
        <v>0</v>
      </c>
      <c r="M1063" s="72">
        <f t="shared" si="16"/>
        <v>1.9012348213570306E-2</v>
      </c>
      <c r="N1063">
        <f>SQRT((N1062^2)*0.72+(1-0.72)*(C1062^2))</f>
        <v>2.5880081009635983E-3</v>
      </c>
      <c r="O1063">
        <f>_xlfn.NORM.S.INV(0.99)*N1063*SQRT(10)</f>
        <v>1.9038831471100377E-2</v>
      </c>
      <c r="P1063">
        <f>LN(B1072)-LN(B1063)</f>
        <v>-2.9123163071380631E-3</v>
      </c>
      <c r="Q1063">
        <f>IF(P1063&lt;-(O1063),1,0)</f>
        <v>0</v>
      </c>
    </row>
    <row r="1064" spans="1:17">
      <c r="A1064" s="64">
        <v>42835</v>
      </c>
      <c r="B1064">
        <v>2357.1599120000001</v>
      </c>
      <c r="C1064" s="68">
        <f>LN(B1064)-LN(B1063)</f>
        <v>6.8745011591531124E-4</v>
      </c>
      <c r="D1064" s="68"/>
      <c r="E1064" s="68"/>
      <c r="F1064" s="68"/>
      <c r="G1064" s="68"/>
      <c r="H1064" s="68"/>
      <c r="I1064">
        <f>_xlfn.STDEV.S(C1044:C1064)</f>
        <v>4.087740462730232E-3</v>
      </c>
      <c r="J1064">
        <f>_xlfn.NORM.S.INV(0.99)*I1064*SQRT(10)</f>
        <v>3.0071699442726522E-2</v>
      </c>
      <c r="K1064">
        <f>LN(B1073)-LN(B1064)</f>
        <v>7.1819701932387403E-3</v>
      </c>
      <c r="L1064">
        <f>IF(K1064&lt;-(J1064),1,0)</f>
        <v>0</v>
      </c>
      <c r="M1064" s="72">
        <f t="shared" si="16"/>
        <v>1.6444068534526585E-2</v>
      </c>
      <c r="N1064">
        <f>SQRT((N1063^2)*0.72+(1-0.72)*(C1063^2))</f>
        <v>2.2392241571217945E-3</v>
      </c>
      <c r="O1064">
        <f>_xlfn.NORM.S.INV(0.99)*N1064*SQRT(10)</f>
        <v>1.647298218950138E-2</v>
      </c>
      <c r="P1064">
        <f>LN(B1073)-LN(B1064)</f>
        <v>7.1819701932387403E-3</v>
      </c>
      <c r="Q1064">
        <f>IF(P1064&lt;-(O1064),1,0)</f>
        <v>0</v>
      </c>
    </row>
    <row r="1065" spans="1:17">
      <c r="A1065" s="64">
        <v>42836</v>
      </c>
      <c r="B1065">
        <v>2353.780029</v>
      </c>
      <c r="C1065" s="68">
        <f>LN(B1065)-LN(B1064)</f>
        <v>-1.4349083716842514E-3</v>
      </c>
      <c r="D1065" s="68"/>
      <c r="E1065" s="68"/>
      <c r="F1065" s="68"/>
      <c r="G1065" s="68"/>
      <c r="H1065" s="68"/>
      <c r="I1065">
        <f>_xlfn.STDEV.S(C1045:C1065)</f>
        <v>4.0917131237586954E-3</v>
      </c>
      <c r="J1065">
        <f>_xlfn.NORM.S.INV(0.99)*I1065*SQRT(10)</f>
        <v>3.0100924553646602E-2</v>
      </c>
      <c r="K1065">
        <f>LN(B1074)-LN(B1065)</f>
        <v>1.4689092744842647E-2</v>
      </c>
      <c r="L1065">
        <f>IF(K1065&lt;-(J1065),1,0)</f>
        <v>0</v>
      </c>
      <c r="M1065" s="72">
        <f t="shared" si="16"/>
        <v>1.4207453376037127E-2</v>
      </c>
      <c r="N1065">
        <f>SQRT((N1064^2)*0.72+(1-0.72)*(C1064^2))</f>
        <v>1.9345527700032835E-3</v>
      </c>
      <c r="O1065">
        <f>_xlfn.NORM.S.INV(0.99)*N1065*SQRT(10)</f>
        <v>1.4231649486077472E-2</v>
      </c>
      <c r="P1065">
        <f>LN(B1074)-LN(B1065)</f>
        <v>1.4689092744842647E-2</v>
      </c>
      <c r="Q1065">
        <f>IF(P1065&lt;-(O1065),1,0)</f>
        <v>0</v>
      </c>
    </row>
    <row r="1066" spans="1:17">
      <c r="A1066" s="64">
        <v>42837</v>
      </c>
      <c r="B1066">
        <v>2344.929932</v>
      </c>
      <c r="C1066" s="68">
        <f>LN(B1066)-LN(B1065)</f>
        <v>-3.7670371396041347E-3</v>
      </c>
      <c r="D1066" s="68"/>
      <c r="E1066" s="68"/>
      <c r="F1066" s="68"/>
      <c r="G1066" s="68"/>
      <c r="H1066" s="68"/>
      <c r="I1066">
        <f>_xlfn.STDEV.S(C1046:C1066)</f>
        <v>4.1064955266335718E-3</v>
      </c>
      <c r="J1066">
        <f>_xlfn.NORM.S.INV(0.99)*I1066*SQRT(10)</f>
        <v>3.0209672156472064E-2</v>
      </c>
      <c r="K1066">
        <f>LN(B1075)-LN(B1066)</f>
        <v>1.7970308513388211E-2</v>
      </c>
      <c r="L1066">
        <f>IF(K1066&lt;-(J1066),1,0)</f>
        <v>0</v>
      </c>
      <c r="M1066" s="72">
        <f t="shared" si="16"/>
        <v>1.3277423956843998E-2</v>
      </c>
      <c r="N1066">
        <f>SQRT((N1065^2)*0.72+(1-0.72)*(C1065^2))</f>
        <v>1.8086197367561778E-3</v>
      </c>
      <c r="O1066">
        <f>_xlfn.NORM.S.INV(0.99)*N1066*SQRT(10)</f>
        <v>1.3305215833979004E-2</v>
      </c>
      <c r="P1066">
        <f>LN(B1075)-LN(B1066)</f>
        <v>1.7970308513388211E-2</v>
      </c>
      <c r="Q1066">
        <f>IF(P1066&lt;-(O1066),1,0)</f>
        <v>0</v>
      </c>
    </row>
    <row r="1067" spans="1:17">
      <c r="A1067" s="64">
        <v>42838</v>
      </c>
      <c r="B1067">
        <v>2328.9499510000001</v>
      </c>
      <c r="C1067" s="68">
        <f>LN(B1067)-LN(B1066)</f>
        <v>-6.8380205168594443E-3</v>
      </c>
      <c r="D1067" s="68"/>
      <c r="E1067" s="68"/>
      <c r="F1067" s="68"/>
      <c r="G1067" s="68"/>
      <c r="H1067" s="68"/>
      <c r="I1067">
        <f>_xlfn.STDEV.S(C1047:C1067)</f>
        <v>3.8138348691410529E-3</v>
      </c>
      <c r="J1067">
        <f>_xlfn.NORM.S.INV(0.99)*I1067*SQRT(10)</f>
        <v>2.8056697081105458E-2</v>
      </c>
      <c r="K1067">
        <f>LN(B1076)-LN(B1067)</f>
        <v>2.536109629876826E-2</v>
      </c>
      <c r="L1067">
        <f>IF(K1067&lt;-(J1067),1,0)</f>
        <v>0</v>
      </c>
      <c r="M1067" s="72">
        <f t="shared" si="16"/>
        <v>1.8452248424249005E-2</v>
      </c>
      <c r="N1067">
        <f>SQRT((N1066^2)*0.72+(1-0.72)*(C1066^2))</f>
        <v>2.5156619647115552E-3</v>
      </c>
      <c r="O1067">
        <f>_xlfn.NORM.S.INV(0.99)*N1067*SQRT(10)</f>
        <v>1.8506612930062942E-2</v>
      </c>
      <c r="P1067">
        <f>LN(B1076)-LN(B1067)</f>
        <v>2.536109629876826E-2</v>
      </c>
      <c r="Q1067">
        <f>IF(P1067&lt;-(O1067),1,0)</f>
        <v>0</v>
      </c>
    </row>
    <row r="1068" spans="1:17">
      <c r="A1068" s="64">
        <v>42842</v>
      </c>
      <c r="B1068">
        <v>2349.01001</v>
      </c>
      <c r="C1068" s="68">
        <f>LN(B1068)-LN(B1067)</f>
        <v>8.5764658646825254E-3</v>
      </c>
      <c r="D1068" s="68"/>
      <c r="E1068" s="68"/>
      <c r="F1068" s="68"/>
      <c r="G1068" s="68"/>
      <c r="H1068" s="68"/>
      <c r="I1068">
        <f>_xlfn.STDEV.S(C1048:C1068)</f>
        <v>4.3593097254005023E-3</v>
      </c>
      <c r="J1068">
        <f>_xlfn.NORM.S.INV(0.99)*I1068*SQRT(10)</f>
        <v>3.2069514450641365E-2</v>
      </c>
      <c r="K1068">
        <f>LN(B1077)-LN(B1068)</f>
        <v>1.486965069427626E-2</v>
      </c>
      <c r="L1068">
        <f>IF(K1068&lt;-(J1068),1,0)</f>
        <v>0</v>
      </c>
      <c r="M1068" s="72">
        <f t="shared" si="16"/>
        <v>3.0881052436241525E-2</v>
      </c>
      <c r="N1068">
        <f>SQRT((N1067^2)*0.72+(1-0.72)*(C1067^2))</f>
        <v>4.2010649330638545E-3</v>
      </c>
      <c r="O1068">
        <f>_xlfn.NORM.S.INV(0.99)*N1068*SQRT(10)</f>
        <v>3.0905377471566627E-2</v>
      </c>
      <c r="P1068">
        <f>LN(B1077)-LN(B1068)</f>
        <v>1.486965069427626E-2</v>
      </c>
      <c r="Q1068">
        <f>IF(P1068&lt;-(O1068),1,0)</f>
        <v>0</v>
      </c>
    </row>
    <row r="1069" spans="1:17">
      <c r="A1069" s="64">
        <v>42843</v>
      </c>
      <c r="B1069">
        <v>2342.1899410000001</v>
      </c>
      <c r="C1069" s="68">
        <f>LN(B1069)-LN(B1068)</f>
        <v>-2.9076031190582441E-3</v>
      </c>
      <c r="D1069" s="68"/>
      <c r="E1069" s="68"/>
      <c r="F1069" s="68"/>
      <c r="G1069" s="68"/>
      <c r="H1069" s="68"/>
      <c r="I1069">
        <f>_xlfn.STDEV.S(C1049:C1069)</f>
        <v>4.3852006831455381E-3</v>
      </c>
      <c r="J1069">
        <f>_xlfn.NORM.S.INV(0.99)*I1069*SQRT(10)</f>
        <v>3.225998278068623E-2</v>
      </c>
      <c r="K1069">
        <f>LN(B1078)-LN(B1069)</f>
        <v>1.9508045659979878E-2</v>
      </c>
      <c r="L1069">
        <f>IF(K1069&lt;-(J1069),1,0)</f>
        <v>0</v>
      </c>
      <c r="M1069" s="72">
        <f t="shared" si="16"/>
        <v>4.2440506038638096E-2</v>
      </c>
      <c r="N1069">
        <f>SQRT((N1068^2)*0.72+(1-0.72)*(C1068^2))</f>
        <v>5.7708626924895404E-3</v>
      </c>
      <c r="O1069">
        <f>_xlfn.NORM.S.INV(0.99)*N1069*SQRT(10)</f>
        <v>4.2453685598689055E-2</v>
      </c>
      <c r="P1069">
        <f>LN(B1078)-LN(B1069)</f>
        <v>1.9508045659979878E-2</v>
      </c>
      <c r="Q1069">
        <f>IF(P1069&lt;-(O1069),1,0)</f>
        <v>0</v>
      </c>
    </row>
    <row r="1070" spans="1:17">
      <c r="A1070" s="64">
        <v>42844</v>
      </c>
      <c r="B1070">
        <v>2338.169922</v>
      </c>
      <c r="C1070" s="68">
        <f>LN(B1070)-LN(B1069)</f>
        <v>-1.7178251699592195E-3</v>
      </c>
      <c r="D1070" s="68"/>
      <c r="E1070" s="68"/>
      <c r="F1070" s="68"/>
      <c r="G1070" s="68"/>
      <c r="H1070" s="68"/>
      <c r="I1070">
        <f>_xlfn.STDEV.S(C1050:C1070)</f>
        <v>4.3813618393640317E-3</v>
      </c>
      <c r="J1070">
        <f>_xlfn.NORM.S.INV(0.99)*I1070*SQRT(10)</f>
        <v>3.2231742104092999E-2</v>
      </c>
      <c r="K1070">
        <f>LN(B1079)-LN(B1070)</f>
        <v>2.2414214520363629E-2</v>
      </c>
      <c r="L1070">
        <f>IF(K1070&lt;-(J1070),1,0)</f>
        <v>0</v>
      </c>
      <c r="M1070" s="72">
        <f t="shared" si="16"/>
        <v>3.7747634891609656E-2</v>
      </c>
      <c r="N1070">
        <f>SQRT((N1069^2)*0.72+(1-0.72)*(C1069^2))</f>
        <v>5.1327595040715395E-3</v>
      </c>
      <c r="O1070">
        <f>_xlfn.NORM.S.INV(0.99)*N1070*SQRT(10)</f>
        <v>3.7759442539349805E-2</v>
      </c>
      <c r="P1070">
        <f>LN(B1079)-LN(B1070)</f>
        <v>2.2414214520363629E-2</v>
      </c>
      <c r="Q1070">
        <f>IF(P1070&lt;-(O1070),1,0)</f>
        <v>0</v>
      </c>
    </row>
    <row r="1071" spans="1:17">
      <c r="A1071" s="64">
        <v>42845</v>
      </c>
      <c r="B1071">
        <v>2355.8400879999999</v>
      </c>
      <c r="C1071" s="68">
        <f>LN(B1071)-LN(B1070)</f>
        <v>7.5288503559400866E-3</v>
      </c>
      <c r="D1071" s="68"/>
      <c r="E1071" s="68"/>
      <c r="F1071" s="68"/>
      <c r="G1071" s="68"/>
      <c r="H1071" s="68"/>
      <c r="I1071">
        <f>_xlfn.STDEV.S(C1051:C1071)</f>
        <v>3.835410436384609E-3</v>
      </c>
      <c r="J1071">
        <f>_xlfn.NORM.S.INV(0.99)*I1071*SQRT(10)</f>
        <v>2.8215418991013902E-2</v>
      </c>
      <c r="K1071">
        <f>LN(B1080)-LN(B1071)</f>
        <v>1.3613194794833916E-2</v>
      </c>
      <c r="L1071">
        <f>IF(K1071&lt;-(J1071),1,0)</f>
        <v>0</v>
      </c>
      <c r="M1071" s="72">
        <f t="shared" si="16"/>
        <v>3.2669887508760112E-2</v>
      </c>
      <c r="N1071">
        <f>SQRT((N1070^2)*0.72+(1-0.72)*(C1070^2))</f>
        <v>4.4491366599882223E-3</v>
      </c>
      <c r="O1071">
        <f>_xlfn.NORM.S.INV(0.99)*N1071*SQRT(10)</f>
        <v>3.2730331496980743E-2</v>
      </c>
      <c r="P1071">
        <f>LN(B1080)-LN(B1071)</f>
        <v>1.3613194794833916E-2</v>
      </c>
      <c r="Q1071">
        <f>IF(P1071&lt;-(O1071),1,0)</f>
        <v>0</v>
      </c>
    </row>
    <row r="1072" spans="1:17">
      <c r="A1072" s="64">
        <v>42846</v>
      </c>
      <c r="B1072">
        <v>2348.6899410000001</v>
      </c>
      <c r="C1072" s="68">
        <f>LN(B1072)-LN(B1071)</f>
        <v>-3.0396883265106922E-3</v>
      </c>
      <c r="D1072" s="68"/>
      <c r="E1072" s="68"/>
      <c r="F1072" s="68"/>
      <c r="G1072" s="68"/>
      <c r="H1072" s="68"/>
      <c r="I1072">
        <f>_xlfn.STDEV.S(C1052:C1072)</f>
        <v>3.8799905564805043E-3</v>
      </c>
      <c r="J1072">
        <f>_xlfn.NORM.S.INV(0.99)*I1072*SQRT(10)</f>
        <v>2.8543375226217006E-2</v>
      </c>
      <c r="K1072">
        <f>LN(B1081)-LN(B1072)</f>
        <v>1.7234816526869423E-2</v>
      </c>
      <c r="L1072">
        <f>IF(K1072&lt;-(J1072),1,0)</f>
        <v>0</v>
      </c>
      <c r="M1072" s="72">
        <f t="shared" si="16"/>
        <v>4.0340295676699361E-2</v>
      </c>
      <c r="N1072">
        <f>SQRT((N1071^2)*0.72+(1-0.72)*(C1071^2))</f>
        <v>5.4885036945291205E-3</v>
      </c>
      <c r="O1072">
        <f>_xlfn.NORM.S.INV(0.99)*N1072*SQRT(10)</f>
        <v>4.0376495278258595E-2</v>
      </c>
      <c r="P1072">
        <f>LN(B1081)-LN(B1072)</f>
        <v>1.7234816526869423E-2</v>
      </c>
      <c r="Q1072">
        <f>IF(P1072&lt;-(O1072),1,0)</f>
        <v>0</v>
      </c>
    </row>
    <row r="1073" spans="1:17">
      <c r="A1073" s="64">
        <v>42849</v>
      </c>
      <c r="B1073">
        <v>2374.1499020000001</v>
      </c>
      <c r="C1073" s="68">
        <f>LN(B1073)-LN(B1072)</f>
        <v>1.0781736616292115E-2</v>
      </c>
      <c r="D1073" s="68"/>
      <c r="E1073" s="68"/>
      <c r="F1073" s="68"/>
      <c r="G1073" s="68"/>
      <c r="H1073" s="68"/>
      <c r="I1073">
        <f>_xlfn.STDEV.S(C1053:C1073)</f>
        <v>4.5244522389027786E-3</v>
      </c>
      <c r="J1073">
        <f>_xlfn.NORM.S.INV(0.99)*I1073*SQRT(10)</f>
        <v>3.3284394914930911E-2</v>
      </c>
      <c r="K1073">
        <f>LN(B1082)-LN(B1073)</f>
        <v>1.0533439095837593E-2</v>
      </c>
      <c r="L1073">
        <f>IF(K1073&lt;-(J1073),1,0)</f>
        <v>0</v>
      </c>
      <c r="M1073" s="72">
        <f t="shared" si="16"/>
        <v>3.6217020435928442E-2</v>
      </c>
      <c r="N1073">
        <f>SQRT((N1072^2)*0.72+(1-0.72)*(C1072^2))</f>
        <v>4.927084518632714E-3</v>
      </c>
      <c r="O1073">
        <f>_xlfn.NORM.S.INV(0.99)*N1073*SQRT(10)</f>
        <v>3.6246382597948212E-2</v>
      </c>
      <c r="P1073">
        <f>LN(B1082)-LN(B1073)</f>
        <v>1.0533439095837593E-2</v>
      </c>
      <c r="Q1073">
        <f>IF(P1073&lt;-(O1073),1,0)</f>
        <v>0</v>
      </c>
    </row>
    <row r="1074" spans="1:17">
      <c r="A1074" s="64">
        <v>42850</v>
      </c>
      <c r="B1074">
        <v>2388.610107</v>
      </c>
      <c r="C1074" s="68">
        <f>LN(B1074)-LN(B1073)</f>
        <v>6.072214179919655E-3</v>
      </c>
      <c r="D1074" s="68"/>
      <c r="E1074" s="68"/>
      <c r="F1074" s="68"/>
      <c r="G1074" s="68"/>
      <c r="H1074" s="68"/>
      <c r="I1074">
        <f>_xlfn.STDEV.S(C1054:C1074)</f>
        <v>4.665972120749355E-3</v>
      </c>
      <c r="J1074">
        <f>_xlfn.NORM.S.INV(0.99)*I1074*SQRT(10)</f>
        <v>3.4325494121414772E-2</v>
      </c>
      <c r="K1074">
        <f>LN(B1083)-LN(B1074)</f>
        <v>4.4986702920208899E-3</v>
      </c>
      <c r="L1074">
        <f>IF(K1074&lt;-(J1074),1,0)</f>
        <v>0</v>
      </c>
      <c r="M1074" s="72">
        <f t="shared" si="16"/>
        <v>5.2018244629219799E-2</v>
      </c>
      <c r="N1074">
        <f>SQRT((N1073^2)*0.72+(1-0.72)*(C1073^2))</f>
        <v>7.0730243166814066E-3</v>
      </c>
      <c r="O1074">
        <f>_xlfn.NORM.S.INV(0.99)*N1074*SQRT(10)</f>
        <v>5.2033112997657616E-2</v>
      </c>
      <c r="P1074">
        <f>LN(B1083)-LN(B1074)</f>
        <v>4.4986702920208899E-3</v>
      </c>
      <c r="Q1074">
        <f>IF(P1074&lt;-(O1074),1,0)</f>
        <v>0</v>
      </c>
    </row>
    <row r="1075" spans="1:17">
      <c r="A1075" s="64">
        <v>42851</v>
      </c>
      <c r="B1075">
        <v>2387.4499510000001</v>
      </c>
      <c r="C1075" s="68">
        <f>LN(B1075)-LN(B1074)</f>
        <v>-4.8582137105857015E-4</v>
      </c>
      <c r="D1075" s="68"/>
      <c r="E1075" s="68"/>
      <c r="F1075" s="68"/>
      <c r="G1075" s="68"/>
      <c r="H1075" s="68"/>
      <c r="I1075">
        <f>_xlfn.STDEV.S(C1055:C1075)</f>
        <v>4.6564362986609613E-3</v>
      </c>
      <c r="J1075">
        <f>_xlfn.NORM.S.INV(0.99)*I1075*SQRT(10)</f>
        <v>3.425534329398431E-2</v>
      </c>
      <c r="K1075">
        <f>LN(B1084)-LN(B1075)</f>
        <v>3.9587170802910521E-3</v>
      </c>
      <c r="L1075">
        <f>IF(K1075&lt;-(J1075),1,0)</f>
        <v>0</v>
      </c>
      <c r="M1075" s="72">
        <f t="shared" si="16"/>
        <v>5.0069488488042477E-2</v>
      </c>
      <c r="N1075">
        <f>SQRT((N1074^2)*0.72+(1-0.72)*(C1074^2))</f>
        <v>6.8076445531367689E-3</v>
      </c>
      <c r="O1075">
        <f>_xlfn.NORM.S.INV(0.99)*N1075*SQRT(10)</f>
        <v>5.0080831398505894E-2</v>
      </c>
      <c r="P1075">
        <f>LN(B1084)-LN(B1075)</f>
        <v>3.9587170802910521E-3</v>
      </c>
      <c r="Q1075">
        <f>IF(P1075&lt;-(O1075),1,0)</f>
        <v>0</v>
      </c>
    </row>
    <row r="1076" spans="1:17">
      <c r="A1076" s="64">
        <v>42852</v>
      </c>
      <c r="B1076">
        <v>2388.7700199999999</v>
      </c>
      <c r="C1076" s="68">
        <f>LN(B1076)-LN(B1075)</f>
        <v>5.527672685206042E-4</v>
      </c>
      <c r="D1076" s="68"/>
      <c r="E1076" s="68"/>
      <c r="F1076" s="68"/>
      <c r="G1076" s="68"/>
      <c r="H1076" s="68"/>
      <c r="I1076">
        <f>_xlfn.STDEV.S(C1056:C1076)</f>
        <v>4.4269280316050763E-3</v>
      </c>
      <c r="J1076">
        <f>_xlfn.NORM.S.INV(0.99)*I1076*SQRT(10)</f>
        <v>3.2566952436137164E-2</v>
      </c>
      <c r="K1076">
        <f>LN(B1085)-LN(B1076)</f>
        <v>4.5359125552071333E-3</v>
      </c>
      <c r="L1076">
        <f>IF(K1076&lt;-(J1076),1,0)</f>
        <v>0</v>
      </c>
      <c r="M1076" s="72">
        <f t="shared" si="16"/>
        <v>4.2514401372387954E-2</v>
      </c>
      <c r="N1076">
        <f>SQRT((N1075^2)*0.72+(1-0.72)*(C1075^2))</f>
        <v>5.7821954147032747E-3</v>
      </c>
      <c r="O1076">
        <f>_xlfn.NORM.S.INV(0.99)*N1076*SQRT(10)</f>
        <v>4.2537055425953409E-2</v>
      </c>
      <c r="P1076">
        <f>LN(B1085)-LN(B1076)</f>
        <v>4.5359125552071333E-3</v>
      </c>
      <c r="Q1076">
        <f>IF(P1076&lt;-(O1076),1,0)</f>
        <v>0</v>
      </c>
    </row>
    <row r="1077" spans="1:17">
      <c r="A1077" s="64">
        <v>42853</v>
      </c>
      <c r="B1077">
        <v>2384.1999510000001</v>
      </c>
      <c r="C1077" s="68">
        <f>LN(B1077)-LN(B1076)</f>
        <v>-1.9149797398094748E-3</v>
      </c>
      <c r="D1077" s="68"/>
      <c r="E1077" s="68"/>
      <c r="F1077" s="68"/>
      <c r="G1077" s="68"/>
      <c r="H1077" s="68"/>
      <c r="I1077">
        <f>_xlfn.STDEV.S(C1057:C1077)</f>
        <v>4.4589833904044853E-3</v>
      </c>
      <c r="J1077">
        <f>_xlfn.NORM.S.INV(0.99)*I1077*SQRT(10)</f>
        <v>3.2802769539530457E-2</v>
      </c>
      <c r="K1077">
        <f>LN(B1086)-LN(B1077)</f>
        <v>4.2857406731089398E-3</v>
      </c>
      <c r="L1077">
        <f>IF(K1077&lt;-(J1077),1,0)</f>
        <v>0</v>
      </c>
      <c r="M1077" s="72">
        <f t="shared" si="16"/>
        <v>3.6138437130821932E-2</v>
      </c>
      <c r="N1077">
        <f>SQRT((N1076^2)*0.72+(1-0.72)*(C1076^2))</f>
        <v>4.915066511129689E-3</v>
      </c>
      <c r="O1077">
        <f>_xlfn.NORM.S.INV(0.99)*N1077*SQRT(10)</f>
        <v>3.6157971429767052E-2</v>
      </c>
      <c r="P1077">
        <f>LN(B1086)-LN(B1077)</f>
        <v>4.2857406731089398E-3</v>
      </c>
      <c r="Q1077">
        <f>IF(P1077&lt;-(O1077),1,0)</f>
        <v>0</v>
      </c>
    </row>
    <row r="1078" spans="1:17">
      <c r="A1078" s="64">
        <v>42856</v>
      </c>
      <c r="B1078">
        <v>2388.330078</v>
      </c>
      <c r="C1078" s="68">
        <f>LN(B1078)-LN(B1077)</f>
        <v>1.7307918466453742E-3</v>
      </c>
      <c r="D1078" s="68"/>
      <c r="E1078" s="68"/>
      <c r="F1078" s="68"/>
      <c r="G1078" s="68"/>
      <c r="H1078" s="68"/>
      <c r="I1078">
        <f>_xlfn.STDEV.S(C1058:C1078)</f>
        <v>4.4333922048271201E-3</v>
      </c>
      <c r="J1078">
        <f>_xlfn.NORM.S.INV(0.99)*I1078*SQRT(10)</f>
        <v>3.2614506500797426E-2</v>
      </c>
      <c r="K1078">
        <f>LN(B1087)-LN(B1078)</f>
        <v>1.0754135115584873E-3</v>
      </c>
      <c r="L1078">
        <f>IF(K1078&lt;-(J1078),1,0)</f>
        <v>0</v>
      </c>
      <c r="M1078" s="72">
        <f t="shared" si="16"/>
        <v>3.1554672159102452E-2</v>
      </c>
      <c r="N1078">
        <f>SQRT((N1077^2)*0.72+(1-0.72)*(C1077^2))</f>
        <v>4.2919079691255248E-3</v>
      </c>
      <c r="O1078">
        <f>_xlfn.NORM.S.INV(0.99)*N1078*SQRT(10)</f>
        <v>3.1573669527243449E-2</v>
      </c>
      <c r="P1078">
        <f>LN(B1087)-LN(B1078)</f>
        <v>1.0754135115584873E-3</v>
      </c>
      <c r="Q1078">
        <f>IF(P1078&lt;-(O1078),1,0)</f>
        <v>0</v>
      </c>
    </row>
    <row r="1079" spans="1:17">
      <c r="A1079" s="64">
        <v>42857</v>
      </c>
      <c r="B1079">
        <v>2391.169922</v>
      </c>
      <c r="C1079" s="68">
        <f>LN(B1079)-LN(B1078)</f>
        <v>1.1883436904245315E-3</v>
      </c>
      <c r="D1079" s="68"/>
      <c r="E1079" s="68"/>
      <c r="F1079" s="68"/>
      <c r="G1079" s="68"/>
      <c r="H1079" s="68"/>
      <c r="I1079">
        <f>_xlfn.STDEV.S(C1059:C1079)</f>
        <v>4.3934728976268191E-3</v>
      </c>
      <c r="J1079">
        <f>_xlfn.NORM.S.INV(0.99)*I1079*SQRT(10)</f>
        <v>3.2320837805577096E-2</v>
      </c>
      <c r="K1079">
        <f>LN(B1088)-LN(B1079)</f>
        <v>4.652212118328336E-3</v>
      </c>
      <c r="L1079">
        <f>IF(K1079&lt;-(J1079),1,0)</f>
        <v>0</v>
      </c>
      <c r="M1079" s="72">
        <f t="shared" si="16"/>
        <v>2.7607746686865418E-2</v>
      </c>
      <c r="N1079">
        <f>SQRT((N1078^2)*0.72+(1-0.72)*(C1078^2))</f>
        <v>3.7551991435495189E-3</v>
      </c>
      <c r="O1079">
        <f>_xlfn.NORM.S.INV(0.99)*N1079*SQRT(10)</f>
        <v>2.7625339970087433E-2</v>
      </c>
      <c r="P1079">
        <f>LN(B1088)-LN(B1079)</f>
        <v>4.652212118328336E-3</v>
      </c>
      <c r="Q1079">
        <f>IF(P1079&lt;-(O1079),1,0)</f>
        <v>0</v>
      </c>
    </row>
    <row r="1080" spans="1:17">
      <c r="A1080" s="64">
        <v>42858</v>
      </c>
      <c r="B1080">
        <v>2388.1298830000001</v>
      </c>
      <c r="C1080" s="68">
        <f>LN(B1080)-LN(B1079)</f>
        <v>-1.2721693695896263E-3</v>
      </c>
      <c r="D1080" s="68"/>
      <c r="E1080" s="68"/>
      <c r="F1080" s="68"/>
      <c r="G1080" s="68"/>
      <c r="H1080" s="68"/>
      <c r="I1080">
        <f>_xlfn.STDEV.S(C1060:C1080)</f>
        <v>4.3848583641954266E-3</v>
      </c>
      <c r="J1080">
        <f>_xlfn.NORM.S.INV(0.99)*I1080*SQRT(10)</f>
        <v>3.2257464491505405E-2</v>
      </c>
      <c r="K1080">
        <f>LN(B1089)-LN(B1080)</f>
        <v>5.2372486525955608E-3</v>
      </c>
      <c r="L1080">
        <f>IF(K1080&lt;-(J1080),1,0)</f>
        <v>0</v>
      </c>
      <c r="M1080" s="72">
        <f t="shared" si="16"/>
        <v>2.387711580249937E-2</v>
      </c>
      <c r="N1080">
        <f>SQRT((N1079^2)*0.72+(1-0.72)*(C1079^2))</f>
        <v>3.2478454151937297E-3</v>
      </c>
      <c r="O1080">
        <f>_xlfn.NORM.S.INV(0.99)*N1080*SQRT(10)</f>
        <v>2.3892962885640211E-2</v>
      </c>
      <c r="P1080">
        <f>LN(B1089)-LN(B1080)</f>
        <v>5.2372486525955608E-3</v>
      </c>
      <c r="Q1080">
        <f>IF(P1080&lt;-(O1080),1,0)</f>
        <v>0</v>
      </c>
    </row>
    <row r="1081" spans="1:17">
      <c r="A1081" s="64">
        <v>42859</v>
      </c>
      <c r="B1081">
        <v>2389.5200199999999</v>
      </c>
      <c r="C1081" s="68">
        <f>LN(B1081)-LN(B1080)</f>
        <v>5.8193340552481487E-4</v>
      </c>
      <c r="D1081" s="68"/>
      <c r="E1081" s="68"/>
      <c r="F1081" s="68"/>
      <c r="G1081" s="68"/>
      <c r="H1081" s="68"/>
      <c r="I1081">
        <f>_xlfn.STDEV.S(C1061:C1081)</f>
        <v>4.3848538521068636E-3</v>
      </c>
      <c r="J1081">
        <f>_xlfn.NORM.S.INV(0.99)*I1081*SQRT(10)</f>
        <v>3.225743129806459E-2</v>
      </c>
      <c r="K1081">
        <f>LN(B1090)-LN(B1081)</f>
        <v>-1.3690153102065672E-2</v>
      </c>
      <c r="L1081">
        <f>IF(K1081&lt;-(J1081),1,0)</f>
        <v>0</v>
      </c>
      <c r="M1081" s="72">
        <f t="shared" si="16"/>
        <v>2.0856693946832261E-2</v>
      </c>
      <c r="N1081">
        <f>SQRT((N1080^2)*0.72+(1-0.72)*(C1080^2))</f>
        <v>2.8369131214921843E-3</v>
      </c>
      <c r="O1081">
        <f>_xlfn.NORM.S.INV(0.99)*N1081*SQRT(10)</f>
        <v>2.0869915669171513E-2</v>
      </c>
      <c r="P1081">
        <f>LN(B1090)-LN(B1081)</f>
        <v>-1.3690153102065672E-2</v>
      </c>
      <c r="Q1081">
        <f>IF(P1081&lt;-(O1081),1,0)</f>
        <v>0</v>
      </c>
    </row>
    <row r="1082" spans="1:17">
      <c r="A1082" s="64">
        <v>42860</v>
      </c>
      <c r="B1082">
        <v>2399.290039</v>
      </c>
      <c r="C1082" s="68">
        <f>LN(B1082)-LN(B1081)</f>
        <v>4.080359185260285E-3</v>
      </c>
      <c r="D1082" s="68"/>
      <c r="E1082" s="68"/>
      <c r="F1082" s="68"/>
      <c r="G1082" s="68"/>
      <c r="H1082" s="68"/>
      <c r="I1082">
        <f>_xlfn.STDEV.S(C1062:C1082)</f>
        <v>4.3645909807039189E-3</v>
      </c>
      <c r="J1082">
        <f>_xlfn.NORM.S.INV(0.99)*I1082*SQRT(10)</f>
        <v>3.2108366311128261E-2</v>
      </c>
      <c r="K1082">
        <f>LN(B1091)-LN(B1082)</f>
        <v>-1.4090473408666426E-2</v>
      </c>
      <c r="L1082">
        <f>IF(K1082&lt;-(J1082),1,0)</f>
        <v>0</v>
      </c>
      <c r="M1082" s="72">
        <f t="shared" si="16"/>
        <v>1.783631129802813E-2</v>
      </c>
      <c r="N1082">
        <f>SQRT((N1081^2)*0.72+(1-0.72)*(C1081^2))</f>
        <v>2.4268159755478904E-3</v>
      </c>
      <c r="O1082">
        <f>_xlfn.NORM.S.INV(0.99)*N1082*SQRT(10)</f>
        <v>1.7853012265543994E-2</v>
      </c>
      <c r="P1082">
        <f>LN(B1091)-LN(B1082)</f>
        <v>-1.4090473408666426E-2</v>
      </c>
      <c r="Q1082">
        <f>IF(P1082&lt;-(O1082),1,0)</f>
        <v>0</v>
      </c>
    </row>
    <row r="1083" spans="1:17">
      <c r="A1083" s="64">
        <v>42863</v>
      </c>
      <c r="B1083">
        <v>2399.3798830000001</v>
      </c>
      <c r="C1083" s="68">
        <f>LN(B1083)-LN(B1082)</f>
        <v>3.74453761029514E-5</v>
      </c>
      <c r="D1083" s="68"/>
      <c r="E1083" s="68"/>
      <c r="F1083" s="68"/>
      <c r="G1083" s="68"/>
      <c r="H1083" s="68"/>
      <c r="I1083">
        <f>_xlfn.STDEV.S(C1063:C1083)</f>
        <v>4.362450260918505E-3</v>
      </c>
      <c r="J1083">
        <f>_xlfn.NORM.S.INV(0.99)*I1083*SQRT(10)</f>
        <v>3.2092617982053803E-2</v>
      </c>
      <c r="K1083">
        <f>LN(B1092)-LN(B1083)</f>
        <v>-7.3832158988702545E-3</v>
      </c>
      <c r="L1083">
        <f>IF(K1083&lt;-(J1083),1,0)</f>
        <v>0</v>
      </c>
      <c r="M1083" s="72">
        <f t="shared" si="16"/>
        <v>2.1937865386304552E-2</v>
      </c>
      <c r="N1083">
        <f>SQRT((N1082^2)*0.72+(1-0.72)*(C1082^2))</f>
        <v>2.983656559259501E-3</v>
      </c>
      <c r="O1083">
        <f>_xlfn.NORM.S.INV(0.99)*N1083*SQRT(10)</f>
        <v>2.1949442267292136E-2</v>
      </c>
      <c r="P1083">
        <f>LN(B1092)-LN(B1083)</f>
        <v>-7.3832158988702545E-3</v>
      </c>
      <c r="Q1083">
        <f>IF(P1083&lt;-(O1083),1,0)</f>
        <v>0</v>
      </c>
    </row>
    <row r="1084" spans="1:17">
      <c r="A1084" s="64">
        <v>42864</v>
      </c>
      <c r="B1084">
        <v>2396.919922</v>
      </c>
      <c r="C1084" s="68">
        <f>LN(B1084)-LN(B1083)</f>
        <v>-1.0257745827884079E-3</v>
      </c>
      <c r="D1084" s="68"/>
      <c r="E1084" s="68"/>
      <c r="F1084" s="68"/>
      <c r="G1084" s="68"/>
      <c r="H1084" s="68"/>
      <c r="I1084">
        <f>_xlfn.STDEV.S(C1064:C1084)</f>
        <v>4.3664499914493841E-3</v>
      </c>
      <c r="J1084">
        <f>_xlfn.NORM.S.INV(0.99)*I1084*SQRT(10)</f>
        <v>3.2122042231336051E-2</v>
      </c>
      <c r="K1084">
        <f>LN(B1093)-LN(B1084)</f>
        <v>-1.2105776274626834E-3</v>
      </c>
      <c r="L1084">
        <f>IF(K1084&lt;-(J1084),1,0)</f>
        <v>0</v>
      </c>
      <c r="M1084" s="72">
        <f t="shared" si="16"/>
        <v>1.8615076124053633E-2</v>
      </c>
      <c r="N1084">
        <f>SQRT((N1083^2)*0.72+(1-0.72)*(C1083^2))</f>
        <v>2.5317940788173181E-3</v>
      </c>
      <c r="O1084">
        <f>_xlfn.NORM.S.INV(0.99)*N1084*SQRT(10)</f>
        <v>1.8625289761722712E-2</v>
      </c>
      <c r="P1084">
        <f>LN(B1093)-LN(B1084)</f>
        <v>-1.2105776274626834E-3</v>
      </c>
      <c r="Q1084">
        <f>IF(P1084&lt;-(O1084),1,0)</f>
        <v>0</v>
      </c>
    </row>
    <row r="1085" spans="1:17">
      <c r="A1085" s="64">
        <v>42865</v>
      </c>
      <c r="B1085">
        <v>2399.6298830000001</v>
      </c>
      <c r="C1085" s="68">
        <f>LN(B1085)-LN(B1084)</f>
        <v>1.1299627434366855E-3</v>
      </c>
      <c r="D1085" s="68"/>
      <c r="E1085" s="68"/>
      <c r="F1085" s="68"/>
      <c r="G1085" s="68"/>
      <c r="H1085" s="68"/>
      <c r="I1085">
        <f>_xlfn.STDEV.S(C1065:C1085)</f>
        <v>4.3667991427102579E-3</v>
      </c>
      <c r="J1085">
        <f>_xlfn.NORM.S.INV(0.99)*I1085*SQRT(10)</f>
        <v>3.2124610782806665E-2</v>
      </c>
      <c r="K1085">
        <f>LN(B1094)-LN(B1085)</f>
        <v>-5.043553422012792E-4</v>
      </c>
      <c r="L1085">
        <f>IF(K1085&lt;-(J1085),1,0)</f>
        <v>0</v>
      </c>
      <c r="M1085" s="72">
        <f t="shared" si="16"/>
        <v>1.6292011420186527E-2</v>
      </c>
      <c r="N1085">
        <f>SQRT((N1084^2)*0.72+(1-0.72)*(C1084^2))</f>
        <v>2.2158082687677009E-3</v>
      </c>
      <c r="O1085">
        <f>_xlfn.NORM.S.INV(0.99)*N1085*SQRT(10)</f>
        <v>1.630072185076685E-2</v>
      </c>
      <c r="P1085">
        <f>LN(B1094)-LN(B1085)</f>
        <v>-5.043553422012792E-4</v>
      </c>
      <c r="Q1085">
        <f>IF(P1085&lt;-(O1085),1,0)</f>
        <v>0</v>
      </c>
    </row>
    <row r="1086" spans="1:17">
      <c r="A1086" s="64">
        <v>42866</v>
      </c>
      <c r="B1086">
        <v>2394.4399410000001</v>
      </c>
      <c r="C1086" s="68">
        <f>LN(B1086)-LN(B1085)</f>
        <v>-2.1651516219076683E-3</v>
      </c>
      <c r="D1086" s="68"/>
      <c r="E1086" s="68"/>
      <c r="F1086" s="68"/>
      <c r="G1086" s="68"/>
      <c r="H1086" s="68"/>
      <c r="I1086">
        <f>_xlfn.STDEV.S(C1066:C1086)</f>
        <v>4.3887590774264705E-3</v>
      </c>
      <c r="J1086">
        <f>_xlfn.NORM.S.INV(0.99)*I1086*SQRT(10)</f>
        <v>3.2286160314287139E-2</v>
      </c>
      <c r="K1086">
        <f>LN(B1095)-LN(B1086)</f>
        <v>4.1468302076257402E-3</v>
      </c>
      <c r="L1086">
        <f>IF(K1086&lt;-(J1086),1,0)</f>
        <v>0</v>
      </c>
      <c r="M1086" s="72">
        <f t="shared" si="16"/>
        <v>1.4505639726801786E-2</v>
      </c>
      <c r="N1086">
        <f>SQRT((N1085^2)*0.72+(1-0.72)*(C1085^2))</f>
        <v>1.9729594392363203E-3</v>
      </c>
      <c r="O1086">
        <f>_xlfn.NORM.S.INV(0.99)*N1086*SQRT(10)</f>
        <v>1.4514190372491942E-2</v>
      </c>
      <c r="P1086">
        <f>LN(B1095)-LN(B1086)</f>
        <v>4.1468302076257402E-3</v>
      </c>
      <c r="Q1086">
        <f>IF(P1086&lt;-(O1086),1,0)</f>
        <v>0</v>
      </c>
    </row>
    <row r="1087" spans="1:17">
      <c r="A1087" s="64">
        <v>42867</v>
      </c>
      <c r="B1087">
        <v>2390.8999020000001</v>
      </c>
      <c r="C1087" s="68">
        <f>LN(B1087)-LN(B1086)</f>
        <v>-1.4795353149050783E-3</v>
      </c>
      <c r="D1087" s="68"/>
      <c r="E1087" s="68"/>
      <c r="F1087" s="68"/>
      <c r="G1087" s="68"/>
      <c r="H1087" s="68"/>
      <c r="I1087">
        <f>_xlfn.STDEV.S(C1067:C1087)</f>
        <v>4.2967557972728356E-3</v>
      </c>
      <c r="J1087">
        <f>_xlfn.NORM.S.INV(0.99)*I1087*SQRT(10)</f>
        <v>3.1609332855755887E-2</v>
      </c>
      <c r="K1087">
        <f>LN(B1096)-LN(B1087)</f>
        <v>1.005847724024278E-2</v>
      </c>
      <c r="L1087">
        <f>IF(K1087&lt;-(J1087),1,0)</f>
        <v>0</v>
      </c>
      <c r="M1087" s="72">
        <f t="shared" si="16"/>
        <v>1.4907490294633089E-2</v>
      </c>
      <c r="N1087">
        <f>SQRT((N1086^2)*0.72+(1-0.72)*(C1086^2))</f>
        <v>2.0286094932306354E-3</v>
      </c>
      <c r="O1087">
        <f>_xlfn.NORM.S.INV(0.99)*N1087*SQRT(10)</f>
        <v>1.4923583217499233E-2</v>
      </c>
      <c r="P1087">
        <f>LN(B1096)-LN(B1087)</f>
        <v>1.005847724024278E-2</v>
      </c>
      <c r="Q1087">
        <f>IF(P1087&lt;-(O1087),1,0)</f>
        <v>0</v>
      </c>
    </row>
    <row r="1088" spans="1:17">
      <c r="A1088" s="64">
        <v>42870</v>
      </c>
      <c r="B1088">
        <v>2402.320068</v>
      </c>
      <c r="C1088" s="68">
        <f>LN(B1088)-LN(B1087)</f>
        <v>4.7651422971943802E-3</v>
      </c>
      <c r="D1088" s="68"/>
      <c r="E1088" s="68"/>
      <c r="F1088" s="68"/>
      <c r="G1088" s="68"/>
      <c r="H1088" s="68"/>
      <c r="I1088">
        <f>_xlfn.STDEV.S(C1068:C1088)</f>
        <v>3.9832469286565772E-3</v>
      </c>
      <c r="J1088">
        <f>_xlfn.NORM.S.INV(0.99)*I1088*SQRT(10)</f>
        <v>2.9302986707898809E-2</v>
      </c>
      <c r="K1088">
        <f>LN(B1097)-LN(B1088)</f>
        <v>5.6038367283974821E-3</v>
      </c>
      <c r="L1088">
        <f>IF(K1088&lt;-(J1088),1,0)</f>
        <v>0</v>
      </c>
      <c r="M1088" s="72">
        <f t="shared" si="16"/>
        <v>1.3863107629090158E-2</v>
      </c>
      <c r="N1088">
        <f>SQRT((N1087^2)*0.72+(1-0.72)*(C1087^2))</f>
        <v>1.8910080888755296E-3</v>
      </c>
      <c r="O1088">
        <f>_xlfn.NORM.S.INV(0.99)*N1088*SQRT(10)</f>
        <v>1.3911310517607692E-2</v>
      </c>
      <c r="P1088">
        <f>LN(B1097)-LN(B1088)</f>
        <v>5.6038367283974821E-3</v>
      </c>
      <c r="Q1088">
        <f>IF(P1088&lt;-(O1088),1,0)</f>
        <v>0</v>
      </c>
    </row>
    <row r="1089" spans="1:17">
      <c r="A1089" s="64">
        <v>42871</v>
      </c>
      <c r="B1089">
        <v>2400.669922</v>
      </c>
      <c r="C1089" s="68">
        <f>LN(B1089)-LN(B1088)</f>
        <v>-6.8713283532240155E-4</v>
      </c>
      <c r="D1089" s="68"/>
      <c r="E1089" s="68"/>
      <c r="F1089" s="68"/>
      <c r="G1089" s="68"/>
      <c r="H1089" s="68"/>
      <c r="I1089">
        <f>_xlfn.STDEV.S(C1069:C1089)</f>
        <v>3.6573227464576849E-3</v>
      </c>
      <c r="J1089">
        <f>_xlfn.NORM.S.INV(0.99)*I1089*SQRT(10)</f>
        <v>2.6905306586677197E-2</v>
      </c>
      <c r="K1089">
        <f>LN(B1098)-LN(B1089)</f>
        <v>5.0856189376160543E-3</v>
      </c>
      <c r="L1089">
        <f>IF(K1089&lt;-(J1089),1,0)</f>
        <v>0</v>
      </c>
      <c r="M1089" s="72">
        <f t="shared" si="16"/>
        <v>2.1929230343740003E-2</v>
      </c>
      <c r="N1089">
        <f>SQRT((N1088^2)*0.72+(1-0.72)*(C1088^2))</f>
        <v>2.9887286691638293E-3</v>
      </c>
      <c r="O1089">
        <f>_xlfn.NORM.S.INV(0.99)*N1089*SQRT(10)</f>
        <v>2.1986755537538646E-2</v>
      </c>
      <c r="P1089">
        <f>LN(B1098)-LN(B1089)</f>
        <v>5.0856189376160543E-3</v>
      </c>
      <c r="Q1089">
        <f>IF(P1089&lt;-(O1089),1,0)</f>
        <v>0</v>
      </c>
    </row>
    <row r="1090" spans="1:17">
      <c r="A1090" s="64">
        <v>42872</v>
      </c>
      <c r="B1090">
        <v>2357.030029</v>
      </c>
      <c r="C1090" s="68">
        <f>LN(B1090)-LN(B1089)</f>
        <v>-1.8345468349136418E-2</v>
      </c>
      <c r="D1090" s="68"/>
      <c r="E1090" s="68"/>
      <c r="F1090" s="68"/>
      <c r="G1090" s="68"/>
      <c r="H1090" s="68"/>
      <c r="I1090">
        <f>_xlfn.STDEV.S(C1070:C1090)</f>
        <v>5.5509342803151717E-3</v>
      </c>
      <c r="J1090">
        <f>_xlfn.NORM.S.INV(0.99)*I1090*SQRT(10)</f>
        <v>4.0835769498064993E-2</v>
      </c>
      <c r="K1090">
        <f>LN(B1099)-LN(B1090)</f>
        <v>2.2971012783393974E-2</v>
      </c>
      <c r="L1090">
        <f>IF(K1090&lt;-(J1090),1,0)</f>
        <v>0</v>
      </c>
      <c r="M1090" s="72">
        <f t="shared" si="16"/>
        <v>1.8794060545688097E-2</v>
      </c>
      <c r="N1090">
        <f>SQRT((N1089^2)*0.72+(1-0.72)*(C1089^2))</f>
        <v>2.5619527222454338E-3</v>
      </c>
      <c r="O1090">
        <f>_xlfn.NORM.S.INV(0.99)*N1090*SQRT(10)</f>
        <v>1.8847153568644769E-2</v>
      </c>
      <c r="P1090">
        <f>LN(B1099)-LN(B1090)</f>
        <v>2.2971012783393974E-2</v>
      </c>
      <c r="Q1090">
        <f>IF(P1090&lt;-(O1090),1,0)</f>
        <v>0</v>
      </c>
    </row>
    <row r="1091" spans="1:17">
      <c r="A1091" s="64">
        <v>42873</v>
      </c>
      <c r="B1091">
        <v>2365.719971</v>
      </c>
      <c r="C1091" s="68">
        <f>LN(B1091)-LN(B1090)</f>
        <v>3.6800388786595306E-3</v>
      </c>
      <c r="D1091" s="68"/>
      <c r="E1091" s="68"/>
      <c r="F1091" s="68"/>
      <c r="G1091" s="68"/>
      <c r="H1091" s="68"/>
      <c r="I1091">
        <f>_xlfn.STDEV.S(C1071:C1091)</f>
        <v>5.5777001240339373E-3</v>
      </c>
      <c r="J1091">
        <f>_xlfn.NORM.S.INV(0.99)*I1091*SQRT(10)</f>
        <v>4.1032673977441883E-2</v>
      </c>
      <c r="K1091">
        <f>LN(B1100)-LN(B1091)</f>
        <v>2.6833569585495098E-2</v>
      </c>
      <c r="L1091">
        <f>IF(K1091&lt;-(J1091),1,0)</f>
        <v>0</v>
      </c>
      <c r="M1091" s="72">
        <f t="shared" si="16"/>
        <v>7.317234476726224E-2</v>
      </c>
      <c r="N1091">
        <f>SQRT((N1090^2)*0.72+(1-0.72)*(C1090^2))</f>
        <v>9.9479410817767452E-3</v>
      </c>
      <c r="O1091">
        <f>_xlfn.NORM.S.INV(0.99)*N1091*SQRT(10)</f>
        <v>7.3182604671857415E-2</v>
      </c>
      <c r="P1091">
        <f>LN(B1100)-LN(B1091)</f>
        <v>2.6833569585495098E-2</v>
      </c>
      <c r="Q1091">
        <f>IF(P1091&lt;-(O1091),1,0)</f>
        <v>0</v>
      </c>
    </row>
    <row r="1092" spans="1:17">
      <c r="A1092" s="64">
        <v>42874</v>
      </c>
      <c r="B1092">
        <v>2381.7299800000001</v>
      </c>
      <c r="C1092" s="68">
        <f>LN(B1092)-LN(B1091)</f>
        <v>6.7447028858991231E-3</v>
      </c>
      <c r="D1092" s="68"/>
      <c r="E1092" s="68"/>
      <c r="F1092" s="68"/>
      <c r="G1092" s="68"/>
      <c r="H1092" s="68"/>
      <c r="I1092">
        <f>_xlfn.STDEV.S(C1072:C1092)</f>
        <v>5.531128827763911E-3</v>
      </c>
      <c r="J1092">
        <f>_xlfn.NORM.S.INV(0.99)*I1092*SQRT(10)</f>
        <v>4.0690069539401061E-2</v>
      </c>
      <c r="K1092">
        <f>LN(B1101)-LN(B1092)</f>
        <v>2.3789741003123588E-2</v>
      </c>
      <c r="L1092">
        <f>IF(K1092&lt;-(J1092),1,0)</f>
        <v>0</v>
      </c>
      <c r="M1092" s="72">
        <f t="shared" si="16"/>
        <v>6.3710523043865541E-2</v>
      </c>
      <c r="N1092">
        <f>SQRT((N1091^2)*0.72+(1-0.72)*(C1091^2))</f>
        <v>8.6628087242790874E-3</v>
      </c>
      <c r="O1092">
        <f>_xlfn.NORM.S.INV(0.99)*N1092*SQRT(10)</f>
        <v>6.3728454059521294E-2</v>
      </c>
      <c r="P1092">
        <f>LN(B1101)-LN(B1092)</f>
        <v>2.3789741003123588E-2</v>
      </c>
      <c r="Q1092">
        <f>IF(P1092&lt;-(O1092),1,0)</f>
        <v>0</v>
      </c>
    </row>
    <row r="1093" spans="1:17">
      <c r="A1093" s="64">
        <v>42877</v>
      </c>
      <c r="B1093">
        <v>2394.0200199999999</v>
      </c>
      <c r="C1093" s="68">
        <f>LN(B1093)-LN(B1092)</f>
        <v>5.1468636886191632E-3</v>
      </c>
      <c r="D1093" s="68"/>
      <c r="E1093" s="68"/>
      <c r="F1093" s="68"/>
      <c r="G1093" s="68"/>
      <c r="H1093" s="68"/>
      <c r="I1093">
        <f>_xlfn.STDEV.S(C1073:C1093)</f>
        <v>5.5561012486160417E-3</v>
      </c>
      <c r="J1093">
        <f>_xlfn.NORM.S.INV(0.99)*I1093*SQRT(10)</f>
        <v>4.0873780599599091E-2</v>
      </c>
      <c r="K1093">
        <f>LN(B1102)-LN(B1093)</f>
        <v>1.7424470462524155E-2</v>
      </c>
      <c r="L1093">
        <f>IF(K1093&lt;-(J1093),1,0)</f>
        <v>0</v>
      </c>
      <c r="M1093" s="72">
        <f t="shared" si="16"/>
        <v>6.0096964262618645E-2</v>
      </c>
      <c r="N1093">
        <f>SQRT((N1092^2)*0.72+(1-0.72)*(C1092^2))</f>
        <v>8.1712513338298865E-3</v>
      </c>
      <c r="O1093">
        <f>_xlfn.NORM.S.INV(0.99)*N1093*SQRT(10)</f>
        <v>6.0112283649679188E-2</v>
      </c>
      <c r="P1093">
        <f>LN(B1102)-LN(B1093)</f>
        <v>1.7424470462524155E-2</v>
      </c>
      <c r="Q1093">
        <f>IF(P1093&lt;-(O1093),1,0)</f>
        <v>0</v>
      </c>
    </row>
    <row r="1094" spans="1:17">
      <c r="A1094" s="64">
        <v>42878</v>
      </c>
      <c r="B1094">
        <v>2398.419922</v>
      </c>
      <c r="C1094" s="68">
        <f>LN(B1094)-LN(B1093)</f>
        <v>1.8361850286980896E-3</v>
      </c>
      <c r="D1094" s="68"/>
      <c r="E1094" s="68"/>
      <c r="F1094" s="68"/>
      <c r="G1094" s="68"/>
      <c r="H1094" s="68"/>
      <c r="I1094">
        <f>_xlfn.STDEV.S(C1074:C1094)</f>
        <v>5.0843218989237568E-3</v>
      </c>
      <c r="J1094">
        <f>_xlfn.NORM.S.INV(0.99)*I1094*SQRT(10)</f>
        <v>3.7403108491968352E-2</v>
      </c>
      <c r="K1094">
        <f>LN(B1103)-LN(B1094)</f>
        <v>1.2805376575060201E-2</v>
      </c>
      <c r="L1094">
        <f>IF(K1094&lt;-(J1094),1,0)</f>
        <v>0</v>
      </c>
      <c r="M1094" s="72">
        <f t="shared" si="16"/>
        <v>5.4766135129867402E-2</v>
      </c>
      <c r="N1094">
        <f>SQRT((N1093^2)*0.72+(1-0.72)*(C1093^2))</f>
        <v>7.4492407970092791E-3</v>
      </c>
      <c r="O1094">
        <f>_xlfn.NORM.S.INV(0.99)*N1094*SQRT(10)</f>
        <v>5.4800771322585581E-2</v>
      </c>
      <c r="P1094">
        <f>LN(B1103)-LN(B1094)</f>
        <v>1.2805376575060201E-2</v>
      </c>
      <c r="Q1094">
        <f>IF(P1094&lt;-(O1094),1,0)</f>
        <v>0</v>
      </c>
    </row>
    <row r="1095" spans="1:17">
      <c r="A1095" s="64">
        <v>42879</v>
      </c>
      <c r="B1095">
        <v>2404.389893</v>
      </c>
      <c r="C1095" s="68">
        <f>LN(B1095)-LN(B1094)</f>
        <v>2.4860339279193511E-3</v>
      </c>
      <c r="D1095" s="68"/>
      <c r="E1095" s="68"/>
      <c r="F1095" s="68"/>
      <c r="G1095" s="68"/>
      <c r="H1095" s="68"/>
      <c r="I1095">
        <f>_xlfn.STDEV.S(C1075:C1095)</f>
        <v>4.9455862445363487E-3</v>
      </c>
      <c r="J1095">
        <f>_xlfn.NORM.S.INV(0.99)*I1095*SQRT(10)</f>
        <v>3.6382491616027655E-2</v>
      </c>
      <c r="K1095">
        <f>LN(B1104)-LN(B1095)</f>
        <v>1.1886371668330398E-2</v>
      </c>
      <c r="L1095">
        <f>IF(K1095&lt;-(J1095),1,0)</f>
        <v>0</v>
      </c>
      <c r="M1095" s="72">
        <f t="shared" si="16"/>
        <v>4.700877182672826E-2</v>
      </c>
      <c r="N1095">
        <f>SQRT((N1094^2)*0.72+(1-0.72)*(C1094^2))</f>
        <v>6.3951307112527387E-3</v>
      </c>
      <c r="O1095">
        <f>_xlfn.NORM.S.INV(0.99)*N1095*SQRT(10)</f>
        <v>4.7046149431242357E-2</v>
      </c>
      <c r="P1095">
        <f>LN(B1104)-LN(B1095)</f>
        <v>1.1886371668330398E-2</v>
      </c>
      <c r="Q1095">
        <f>IF(P1095&lt;-(O1095),1,0)</f>
        <v>0</v>
      </c>
    </row>
    <row r="1096" spans="1:17">
      <c r="A1096" s="64">
        <v>42880</v>
      </c>
      <c r="B1096">
        <v>2415.070068</v>
      </c>
      <c r="C1096" s="68">
        <f>LN(B1096)-LN(B1095)</f>
        <v>4.4321117177119618E-3</v>
      </c>
      <c r="D1096" s="68"/>
      <c r="E1096" s="68"/>
      <c r="F1096" s="68"/>
      <c r="G1096" s="68"/>
      <c r="H1096" s="68"/>
      <c r="I1096">
        <f>_xlfn.STDEV.S(C1076:C1096)</f>
        <v>5.0216944885436579E-3</v>
      </c>
      <c r="J1096">
        <f>_xlfn.NORM.S.INV(0.99)*I1096*SQRT(10)</f>
        <v>3.6942386320637365E-2</v>
      </c>
      <c r="K1096">
        <f>LN(B1105)-LN(B1096)</f>
        <v>7.7214287872156007E-3</v>
      </c>
      <c r="L1096">
        <f>IF(K1096&lt;-(J1096),1,0)</f>
        <v>0</v>
      </c>
      <c r="M1096" s="72">
        <f t="shared" si="16"/>
        <v>4.1045361089783163E-2</v>
      </c>
      <c r="N1096">
        <f>SQRT((N1095^2)*0.72+(1-0.72)*(C1095^2))</f>
        <v>5.5836228221021736E-3</v>
      </c>
      <c r="O1096">
        <f>_xlfn.NORM.S.INV(0.99)*N1096*SQRT(10)</f>
        <v>4.1076244648775316E-2</v>
      </c>
      <c r="P1096">
        <f>LN(B1105)-LN(B1096)</f>
        <v>7.7214287872156007E-3</v>
      </c>
      <c r="Q1096">
        <f>IF(P1096&lt;-(O1096),1,0)</f>
        <v>0</v>
      </c>
    </row>
    <row r="1097" spans="1:17">
      <c r="A1097" s="64">
        <v>42881</v>
      </c>
      <c r="B1097">
        <v>2415.820068</v>
      </c>
      <c r="C1097" s="68">
        <f>LN(B1097)-LN(B1096)</f>
        <v>3.1050178534908213E-4</v>
      </c>
      <c r="D1097" s="68"/>
      <c r="E1097" s="68"/>
      <c r="F1097" s="68"/>
      <c r="G1097" s="68"/>
      <c r="H1097" s="68"/>
      <c r="I1097">
        <f>_xlfn.STDEV.S(C1077:C1097)</f>
        <v>5.0219606277143967E-3</v>
      </c>
      <c r="J1097">
        <f>_xlfn.NORM.S.INV(0.99)*I1097*SQRT(10)</f>
        <v>3.6944344188859522E-2</v>
      </c>
      <c r="K1097">
        <f>LN(B1106)-LN(B1097)</f>
        <v>6.5805933541200901E-3</v>
      </c>
      <c r="L1097">
        <f>IF(K1097&lt;-(J1097),1,0)</f>
        <v>0</v>
      </c>
      <c r="M1097" s="72">
        <f t="shared" si="16"/>
        <v>3.8867194098448798E-2</v>
      </c>
      <c r="N1097">
        <f>SQRT((N1096^2)*0.72+(1-0.72)*(C1096^2))</f>
        <v>5.2865432513087875E-3</v>
      </c>
      <c r="O1097">
        <f>_xlfn.NORM.S.INV(0.99)*N1097*SQRT(10)</f>
        <v>3.8890761581803393E-2</v>
      </c>
      <c r="P1097">
        <f>LN(B1106)-LN(B1097)</f>
        <v>6.5805933541200901E-3</v>
      </c>
      <c r="Q1097">
        <f>IF(P1097&lt;-(O1097),1,0)</f>
        <v>0</v>
      </c>
    </row>
    <row r="1098" spans="1:17">
      <c r="A1098" s="64">
        <v>42885</v>
      </c>
      <c r="B1098">
        <v>2412.9099120000001</v>
      </c>
      <c r="C1098" s="68">
        <f>LN(B1098)-LN(B1097)</f>
        <v>-1.2053506261038294E-3</v>
      </c>
      <c r="D1098" s="68"/>
      <c r="E1098" s="68"/>
      <c r="F1098" s="68"/>
      <c r="G1098" s="68"/>
      <c r="H1098" s="68"/>
      <c r="I1098">
        <f>_xlfn.STDEV.S(C1078:C1098)</f>
        <v>5.0070076262642479E-3</v>
      </c>
      <c r="J1098">
        <f>_xlfn.NORM.S.INV(0.99)*I1098*SQRT(10)</f>
        <v>3.6834341567735379E-2</v>
      </c>
      <c r="K1098">
        <f>LN(B1107)-LN(B1098)</f>
        <v>6.8067014814001681E-3</v>
      </c>
      <c r="L1098">
        <f>IF(K1098&lt;-(J1098),1,0)</f>
        <v>0</v>
      </c>
      <c r="M1098" s="72">
        <f t="shared" si="16"/>
        <v>3.3000869374343163E-2</v>
      </c>
      <c r="N1098">
        <f>SQRT((N1097^2)*0.72+(1-0.72)*(C1097^2))</f>
        <v>4.488788662319435E-3</v>
      </c>
      <c r="O1098">
        <f>_xlfn.NORM.S.INV(0.99)*N1098*SQRT(10)</f>
        <v>3.3022033748451501E-2</v>
      </c>
      <c r="P1098">
        <f>LN(B1107)-LN(B1098)</f>
        <v>6.8067014814001681E-3</v>
      </c>
      <c r="Q1098">
        <f>IF(P1098&lt;-(O1098),1,0)</f>
        <v>0</v>
      </c>
    </row>
    <row r="1099" spans="1:17">
      <c r="A1099" s="64">
        <v>42886</v>
      </c>
      <c r="B1099">
        <v>2411.8000489999999</v>
      </c>
      <c r="C1099" s="68">
        <f>LN(B1099)-LN(B1098)</f>
        <v>-4.6007450335849853E-4</v>
      </c>
      <c r="D1099" s="68"/>
      <c r="E1099" s="68"/>
      <c r="F1099" s="68"/>
      <c r="G1099" s="68"/>
      <c r="H1099" s="68"/>
      <c r="I1099">
        <f>_xlfn.STDEV.S(C1079:C1099)</f>
        <v>5.0044356426454358E-3</v>
      </c>
      <c r="J1099">
        <f>_xlfn.NORM.S.INV(0.99)*I1099*SQRT(10)</f>
        <v>3.6815420621295232E-2</v>
      </c>
      <c r="K1099">
        <f>LN(B1108)-LN(B1099)</f>
        <v>1.1768134795194563E-2</v>
      </c>
      <c r="L1099">
        <f>IF(K1099&lt;-(J1099),1,0)</f>
        <v>0</v>
      </c>
      <c r="M1099" s="72">
        <f t="shared" si="16"/>
        <v>2.8391433017325426E-2</v>
      </c>
      <c r="N1099">
        <f>SQRT((N1098^2)*0.72+(1-0.72)*(C1098^2))</f>
        <v>3.8618965118830274E-3</v>
      </c>
      <c r="O1099">
        <f>_xlfn.NORM.S.INV(0.99)*N1099*SQRT(10)</f>
        <v>2.84102653392759E-2</v>
      </c>
      <c r="P1099">
        <f>LN(B1108)-LN(B1099)</f>
        <v>1.1768134795194563E-2</v>
      </c>
      <c r="Q1099">
        <f>IF(P1099&lt;-(O1099),1,0)</f>
        <v>0</v>
      </c>
    </row>
    <row r="1100" spans="1:17">
      <c r="A1100" s="64">
        <v>42887</v>
      </c>
      <c r="B1100">
        <v>2430.0600589999999</v>
      </c>
      <c r="C1100" s="68">
        <f>LN(B1100)-LN(B1099)</f>
        <v>7.5425956807606553E-3</v>
      </c>
      <c r="D1100" s="68"/>
      <c r="E1100" s="68"/>
      <c r="F1100" s="68"/>
      <c r="G1100" s="68"/>
      <c r="H1100" s="68"/>
      <c r="I1100">
        <f>_xlfn.STDEV.S(C1080:C1100)</f>
        <v>5.2370101803936127E-3</v>
      </c>
      <c r="J1100">
        <f>_xlfn.NORM.S.INV(0.99)*I1100*SQRT(10)</f>
        <v>3.852636867706366E-2</v>
      </c>
      <c r="K1100">
        <f>LN(B1109)-LN(B1100)</f>
        <v>3.2292120595291962E-3</v>
      </c>
      <c r="L1100">
        <f>IF(K1100&lt;-(J1100),1,0)</f>
        <v>0</v>
      </c>
      <c r="M1100" s="72">
        <f t="shared" si="16"/>
        <v>2.4156787472382278E-2</v>
      </c>
      <c r="N1100">
        <f>SQRT((N1099^2)*0.72+(1-0.72)*(C1099^2))</f>
        <v>3.2859585138792073E-3</v>
      </c>
      <c r="O1100">
        <f>_xlfn.NORM.S.INV(0.99)*N1100*SQRT(10)</f>
        <v>2.4173344103320345E-2</v>
      </c>
      <c r="P1100">
        <f>LN(B1109)-LN(B1100)</f>
        <v>3.2292120595291962E-3</v>
      </c>
      <c r="Q1100">
        <f>IF(P1100&lt;-(O1100),1,0)</f>
        <v>0</v>
      </c>
    </row>
    <row r="1101" spans="1:17">
      <c r="A1101" s="64">
        <v>42888</v>
      </c>
      <c r="B1101">
        <v>2439.070068</v>
      </c>
      <c r="C1101" s="68">
        <f>LN(B1101)-LN(B1100)</f>
        <v>3.7008743035276126E-3</v>
      </c>
      <c r="D1101" s="68"/>
      <c r="E1101" s="68"/>
      <c r="F1101" s="68"/>
      <c r="G1101" s="68"/>
      <c r="H1101" s="68"/>
      <c r="I1101">
        <f>_xlfn.STDEV.S(C1081:C1101)</f>
        <v>5.2525461765707557E-3</v>
      </c>
      <c r="J1101">
        <f>_xlfn.NORM.S.INV(0.99)*I1101*SQRT(10)</f>
        <v>3.8640660132659245E-2</v>
      </c>
      <c r="K1101">
        <f>LN(B1110)-LN(B1101)</f>
        <v>-2.7137720664178744E-3</v>
      </c>
      <c r="L1101">
        <f>IF(K1101&lt;-(J1101),1,0)</f>
        <v>0</v>
      </c>
      <c r="M1101" s="72">
        <f t="shared" si="16"/>
        <v>3.5807886640218875E-2</v>
      </c>
      <c r="N1101">
        <f>SQRT((N1100^2)*0.72+(1-0.72)*(C1100^2))</f>
        <v>4.8686370479338039E-3</v>
      </c>
      <c r="O1101">
        <f>_xlfn.NORM.S.INV(0.99)*N1101*SQRT(10)</f>
        <v>3.5816410394949968E-2</v>
      </c>
      <c r="P1101">
        <f>LN(B1110)-LN(B1101)</f>
        <v>-2.7137720664178744E-3</v>
      </c>
      <c r="Q1101">
        <f>IF(P1101&lt;-(O1101),1,0)</f>
        <v>0</v>
      </c>
    </row>
    <row r="1102" spans="1:17">
      <c r="A1102" s="64">
        <v>42891</v>
      </c>
      <c r="B1102">
        <v>2436.1000979999999</v>
      </c>
      <c r="C1102" s="68">
        <f>LN(B1102)-LN(B1101)</f>
        <v>-1.2184068519802693E-3</v>
      </c>
      <c r="D1102" s="68"/>
      <c r="E1102" s="68"/>
      <c r="F1102" s="68"/>
      <c r="G1102" s="68"/>
      <c r="H1102" s="68"/>
      <c r="I1102">
        <f>_xlfn.STDEV.S(C1082:C1102)</f>
        <v>5.2744442927382795E-3</v>
      </c>
      <c r="J1102">
        <f>_xlfn.NORM.S.INV(0.99)*I1102*SQRT(10)</f>
        <v>3.8801754892406261E-2</v>
      </c>
      <c r="K1102">
        <f>LN(B1111)-LN(B1102)</f>
        <v>-1.2117662313499977E-3</v>
      </c>
      <c r="L1102">
        <f>IF(K1102&lt;-(J1102),1,0)</f>
        <v>0</v>
      </c>
      <c r="M1102" s="72">
        <f t="shared" si="16"/>
        <v>3.3626284546835347E-2</v>
      </c>
      <c r="N1102">
        <f>SQRT((N1101^2)*0.72+(1-0.72)*(C1101^2))</f>
        <v>4.5718292835792611E-3</v>
      </c>
      <c r="O1102">
        <f>_xlfn.NORM.S.INV(0.99)*N1102*SQRT(10)</f>
        <v>3.3632926887786213E-2</v>
      </c>
      <c r="P1102">
        <f>LN(B1111)-LN(B1102)</f>
        <v>-1.2117662313499977E-3</v>
      </c>
      <c r="Q1102">
        <f>IF(P1102&lt;-(O1102),1,0)</f>
        <v>0</v>
      </c>
    </row>
    <row r="1103" spans="1:17">
      <c r="A1103" s="64">
        <v>42892</v>
      </c>
      <c r="B1103">
        <v>2429.330078</v>
      </c>
      <c r="C1103" s="68">
        <f>LN(B1103)-LN(B1102)</f>
        <v>-2.7829088587658646E-3</v>
      </c>
      <c r="D1103" s="68"/>
      <c r="E1103" s="68"/>
      <c r="F1103" s="68"/>
      <c r="G1103" s="68"/>
      <c r="H1103" s="68"/>
      <c r="I1103">
        <f>_xlfn.STDEV.S(C1083:C1103)</f>
        <v>5.2814138511384527E-3</v>
      </c>
      <c r="J1103">
        <f>_xlfn.NORM.S.INV(0.99)*I1103*SQRT(10)</f>
        <v>3.8853026852397221E-2</v>
      </c>
      <c r="K1103">
        <f>LN(B1112)-LN(B1103)</f>
        <v>9.8837260010613548E-3</v>
      </c>
      <c r="L1103">
        <f>IF(K1103&lt;-(J1103),1,0)</f>
        <v>0</v>
      </c>
      <c r="M1103" s="72">
        <f t="shared" si="16"/>
        <v>2.8918249021829181E-2</v>
      </c>
      <c r="N1103">
        <f>SQRT((N1102^2)*0.72+(1-0.72)*(C1102^2))</f>
        <v>3.9325351658498304E-3</v>
      </c>
      <c r="O1103">
        <f>_xlfn.NORM.S.INV(0.99)*N1103*SQRT(10)</f>
        <v>2.8929922687998492E-2</v>
      </c>
      <c r="P1103">
        <f>LN(B1112)-LN(B1103)</f>
        <v>9.8837260010613548E-3</v>
      </c>
      <c r="Q1103">
        <f>IF(P1103&lt;-(O1103),1,0)</f>
        <v>0</v>
      </c>
    </row>
    <row r="1104" spans="1:17">
      <c r="A1104" s="64">
        <v>42893</v>
      </c>
      <c r="B1104">
        <v>2433.139893</v>
      </c>
      <c r="C1104" s="68">
        <f>LN(B1104)-LN(B1103)</f>
        <v>1.5670290211895477E-3</v>
      </c>
      <c r="D1104" s="68"/>
      <c r="E1104" s="68"/>
      <c r="F1104" s="68"/>
      <c r="G1104" s="68"/>
      <c r="H1104" s="68"/>
      <c r="I1104">
        <f>_xlfn.STDEV.S(C1084:C1104)</f>
        <v>5.283922942301485E-3</v>
      </c>
      <c r="J1104">
        <f>_xlfn.NORM.S.INV(0.99)*I1104*SQRT(10)</f>
        <v>3.8871485126844206E-2</v>
      </c>
      <c r="K1104">
        <f>LN(B1113)-LN(B1104)</f>
        <v>1.5975363856481906E-3</v>
      </c>
      <c r="L1104">
        <f>IF(K1104&lt;-(J1104),1,0)</f>
        <v>0</v>
      </c>
      <c r="M1104" s="72">
        <f t="shared" si="16"/>
        <v>2.6822879516184655E-2</v>
      </c>
      <c r="N1104">
        <f>SQRT((N1103^2)*0.72+(1-0.72)*(C1103^2))</f>
        <v>3.647350068008294E-3</v>
      </c>
      <c r="O1104">
        <f>_xlfn.NORM.S.INV(0.99)*N1104*SQRT(10)</f>
        <v>2.6831942000127899E-2</v>
      </c>
      <c r="P1104">
        <f>LN(B1113)-LN(B1104)</f>
        <v>1.5975363856481906E-3</v>
      </c>
      <c r="Q1104">
        <f>IF(P1104&lt;-(O1104),1,0)</f>
        <v>0</v>
      </c>
    </row>
    <row r="1105" spans="1:17">
      <c r="A1105" s="64">
        <v>42894</v>
      </c>
      <c r="B1105">
        <v>2433.790039</v>
      </c>
      <c r="C1105" s="68">
        <f>LN(B1105)-LN(B1104)</f>
        <v>2.6716883659716473E-4</v>
      </c>
      <c r="D1105" s="68"/>
      <c r="E1105" s="68"/>
      <c r="F1105" s="68"/>
      <c r="G1105" s="68"/>
      <c r="H1105" s="68"/>
      <c r="I1105">
        <f>_xlfn.STDEV.S(C1085:C1105)</f>
        <v>5.2707489407982245E-3</v>
      </c>
      <c r="J1105">
        <f>_xlfn.NORM.S.INV(0.99)*I1105*SQRT(10)</f>
        <v>3.8774569821854545E-2</v>
      </c>
      <c r="K1105">
        <f>LN(B1114)-LN(B1105)</f>
        <v>7.4755330438591727E-4</v>
      </c>
      <c r="L1105">
        <f>IF(K1105&lt;-(J1105),1,0)</f>
        <v>0</v>
      </c>
      <c r="M1105" s="72">
        <f t="shared" si="16"/>
        <v>2.3562766063409325E-2</v>
      </c>
      <c r="N1105">
        <f>SQRT((N1104^2)*0.72+(1-0.72)*(C1104^2))</f>
        <v>3.2040348625291442E-3</v>
      </c>
      <c r="O1105">
        <f>_xlfn.NORM.S.INV(0.99)*N1105*SQRT(10)</f>
        <v>2.3570668017812612E-2</v>
      </c>
      <c r="P1105">
        <f>LN(B1114)-LN(B1105)</f>
        <v>7.4755330438591727E-4</v>
      </c>
      <c r="Q1105">
        <f>IF(P1105&lt;-(O1105),1,0)</f>
        <v>0</v>
      </c>
    </row>
    <row r="1106" spans="1:17">
      <c r="A1106" s="64">
        <v>42895</v>
      </c>
      <c r="B1106">
        <v>2431.7700199999999</v>
      </c>
      <c r="C1106" s="68">
        <f>LN(B1106)-LN(B1105)</f>
        <v>-8.3033364774642848E-4</v>
      </c>
      <c r="D1106" s="68"/>
      <c r="E1106" s="68"/>
      <c r="F1106" s="68"/>
      <c r="G1106" s="68"/>
      <c r="H1106" s="68"/>
      <c r="I1106">
        <f>_xlfn.STDEV.S(C1086:C1106)</f>
        <v>5.2806035116743644E-3</v>
      </c>
      <c r="J1106">
        <f>_xlfn.NORM.S.INV(0.99)*I1106*SQRT(10)</f>
        <v>3.8847065543201387E-2</v>
      </c>
      <c r="K1106">
        <f>LN(B1115)-LN(B1106)</f>
        <v>1.1220011529058382E-3</v>
      </c>
      <c r="L1106">
        <f>IF(K1106&lt;-(J1106),1,0)</f>
        <v>0</v>
      </c>
      <c r="M1106" s="72">
        <f t="shared" si="16"/>
        <v>2.0020023748610706E-2</v>
      </c>
      <c r="N1106">
        <f>SQRT((N1105^2)*0.72+(1-0.72)*(C1105^2))</f>
        <v>2.7223869197171772E-3</v>
      </c>
      <c r="O1106">
        <f>_xlfn.NORM.S.INV(0.99)*N1106*SQRT(10)</f>
        <v>2.002739703338836E-2</v>
      </c>
      <c r="P1106">
        <f>LN(B1115)-LN(B1106)</f>
        <v>1.1220011529058382E-3</v>
      </c>
      <c r="Q1106">
        <f>IF(P1106&lt;-(O1106),1,0)</f>
        <v>0</v>
      </c>
    </row>
    <row r="1107" spans="1:17">
      <c r="A1107" s="64">
        <v>42898</v>
      </c>
      <c r="B1107">
        <v>2429.389893</v>
      </c>
      <c r="C1107" s="68">
        <f>LN(B1107)-LN(B1106)</f>
        <v>-9.7924249882375136E-4</v>
      </c>
      <c r="D1107" s="68"/>
      <c r="E1107" s="68"/>
      <c r="F1107" s="68"/>
      <c r="G1107" s="68"/>
      <c r="H1107" s="68"/>
      <c r="I1107">
        <f>_xlfn.STDEV.S(C1087:C1107)</f>
        <v>5.2554582551964076E-3</v>
      </c>
      <c r="J1107">
        <f>_xlfn.NORM.S.INV(0.99)*I1107*SQRT(10)</f>
        <v>3.866208300771274E-2</v>
      </c>
      <c r="K1107">
        <f>LN(B1116)-LN(B1107)</f>
        <v>3.6609422776283651E-3</v>
      </c>
      <c r="L1107">
        <f>IF(K1107&lt;-(J1107),1,0)</f>
        <v>0</v>
      </c>
      <c r="M1107" s="72">
        <f t="shared" si="16"/>
        <v>1.7289444966129299E-2</v>
      </c>
      <c r="N1107">
        <f>SQRT((N1106^2)*0.72+(1-0.72)*(C1106^2))</f>
        <v>2.3514353701321114E-3</v>
      </c>
      <c r="O1107">
        <f>_xlfn.NORM.S.INV(0.99)*N1107*SQRT(10)</f>
        <v>1.7298470476371786E-2</v>
      </c>
      <c r="P1107">
        <f>LN(B1116)-LN(B1107)</f>
        <v>3.6609422776283651E-3</v>
      </c>
      <c r="Q1107">
        <f>IF(P1107&lt;-(O1107),1,0)</f>
        <v>0</v>
      </c>
    </row>
    <row r="1108" spans="1:17">
      <c r="A1108" s="64">
        <v>42899</v>
      </c>
      <c r="B1108">
        <v>2440.3500979999999</v>
      </c>
      <c r="C1108" s="68">
        <f>LN(B1108)-LN(B1107)</f>
        <v>4.5013588104358959E-3</v>
      </c>
      <c r="D1108" s="68"/>
      <c r="E1108" s="68"/>
      <c r="F1108" s="68"/>
      <c r="G1108" s="68"/>
      <c r="H1108" s="68"/>
      <c r="I1108">
        <f>_xlfn.STDEV.S(C1088:C1108)</f>
        <v>5.2939237050385682E-3</v>
      </c>
      <c r="J1108">
        <f>_xlfn.NORM.S.INV(0.99)*I1108*SQRT(10)</f>
        <v>3.8945056317082324E-2</v>
      </c>
      <c r="K1108">
        <f>LN(B1117)-LN(B1108)</f>
        <v>-5.2466481090629458E-4</v>
      </c>
      <c r="L1108">
        <f>IF(K1108&lt;-(J1108),1,0)</f>
        <v>0</v>
      </c>
      <c r="M1108" s="72">
        <f t="shared" si="16"/>
        <v>1.5156192863991686E-2</v>
      </c>
      <c r="N1108">
        <f>SQRT((N1107^2)*0.72+(1-0.72)*(C1107^2))</f>
        <v>2.0614449349800079E-3</v>
      </c>
      <c r="O1108">
        <f>_xlfn.NORM.S.INV(0.99)*N1108*SQRT(10)</f>
        <v>1.5165139046289982E-2</v>
      </c>
      <c r="P1108">
        <f>LN(B1117)-LN(B1108)</f>
        <v>-5.2466481090629458E-4</v>
      </c>
      <c r="Q1108">
        <f>IF(P1108&lt;-(O1108),1,0)</f>
        <v>0</v>
      </c>
    </row>
    <row r="1109" spans="1:17">
      <c r="A1109" s="64">
        <v>42900</v>
      </c>
      <c r="B1109">
        <v>2437.919922</v>
      </c>
      <c r="C1109" s="68">
        <f>LN(B1109)-LN(B1108)</f>
        <v>-9.9632705490471096E-4</v>
      </c>
      <c r="D1109" s="68"/>
      <c r="E1109" s="68"/>
      <c r="F1109" s="68"/>
      <c r="G1109" s="68"/>
      <c r="H1109" s="68"/>
      <c r="I1109">
        <f>_xlfn.STDEV.S(C1089:C1109)</f>
        <v>5.2366544988447445E-3</v>
      </c>
      <c r="J1109">
        <f>_xlfn.NORM.S.INV(0.99)*I1109*SQRT(10)</f>
        <v>3.8523752085151235E-2</v>
      </c>
      <c r="K1109">
        <f>LN(B1118)-LN(B1109)</f>
        <v>-7.6339241068339447E-3</v>
      </c>
      <c r="L1109">
        <f>IF(K1109&lt;-(J1109),1,0)</f>
        <v>0</v>
      </c>
      <c r="M1109" s="72">
        <f t="shared" si="16"/>
        <v>2.1724382539319995E-2</v>
      </c>
      <c r="N1109">
        <f>SQRT((N1108^2)*0.72+(1-0.72)*(C1108^2))</f>
        <v>2.9551826470877039E-3</v>
      </c>
      <c r="O1109">
        <f>_xlfn.NORM.S.INV(0.99)*N1109*SQRT(10)</f>
        <v>2.1739972283423108E-2</v>
      </c>
      <c r="P1109">
        <f>LN(B1118)-LN(B1109)</f>
        <v>-7.6339241068339447E-3</v>
      </c>
      <c r="Q1109">
        <f>IF(P1109&lt;-(O1109),1,0)</f>
        <v>0</v>
      </c>
    </row>
    <row r="1110" spans="1:17">
      <c r="A1110" s="64">
        <v>42901</v>
      </c>
      <c r="B1110">
        <v>2432.459961</v>
      </c>
      <c r="C1110" s="68">
        <f>LN(B1110)-LN(B1109)</f>
        <v>-2.242109822419458E-3</v>
      </c>
      <c r="D1110" s="68"/>
      <c r="E1110" s="68"/>
      <c r="F1110" s="68"/>
      <c r="G1110" s="68"/>
      <c r="H1110" s="68"/>
      <c r="I1110">
        <f>_xlfn.STDEV.S(C1090:C1110)</f>
        <v>5.2681555229667464E-3</v>
      </c>
      <c r="J1110">
        <f>_xlfn.NORM.S.INV(0.99)*I1110*SQRT(10)</f>
        <v>3.8755491193387628E-2</v>
      </c>
      <c r="K1110">
        <f>LN(B1119)-LN(B1110)</f>
        <v>3.3776871181885326E-3</v>
      </c>
      <c r="L1110">
        <f>IF(K1110&lt;-(J1110),1,0)</f>
        <v>0</v>
      </c>
      <c r="M1110" s="72">
        <f t="shared" si="16"/>
        <v>1.8837072474113745E-2</v>
      </c>
      <c r="N1110">
        <f>SQRT((N1109^2)*0.72+(1-0.72)*(C1109^2))</f>
        <v>2.5623782218869634E-3</v>
      </c>
      <c r="O1110">
        <f>_xlfn.NORM.S.INV(0.99)*N1110*SQRT(10)</f>
        <v>1.8850283781399156E-2</v>
      </c>
      <c r="P1110">
        <f>LN(B1119)-LN(B1110)</f>
        <v>3.3776871181885326E-3</v>
      </c>
      <c r="Q1110">
        <f>IF(P1110&lt;-(O1110),1,0)</f>
        <v>0</v>
      </c>
    </row>
    <row r="1111" spans="1:17">
      <c r="A1111" s="64">
        <v>42902</v>
      </c>
      <c r="B1111">
        <v>2433.1499020000001</v>
      </c>
      <c r="C1111" s="68">
        <f>LN(B1111)-LN(B1110)</f>
        <v>2.8359898308760734E-4</v>
      </c>
      <c r="D1111" s="68"/>
      <c r="E1111" s="68"/>
      <c r="F1111" s="68"/>
      <c r="G1111" s="68"/>
      <c r="H1111" s="68"/>
      <c r="I1111">
        <f>_xlfn.STDEV.S(C1091:C1111)</f>
        <v>2.9893784054057563E-3</v>
      </c>
      <c r="J1111">
        <f>_xlfn.NORM.S.INV(0.99)*I1111*SQRT(10)</f>
        <v>2.1991535359829815E-2</v>
      </c>
      <c r="K1111">
        <f>LN(B1120)-LN(B1111)</f>
        <v>-5.5431286136231606E-3</v>
      </c>
      <c r="L1111">
        <f>IF(K1111&lt;-(J1111),1,0)</f>
        <v>0</v>
      </c>
      <c r="M1111" s="72">
        <f t="shared" si="16"/>
        <v>1.8014145356881905E-2</v>
      </c>
      <c r="N1111">
        <f>SQRT((N1110^2)*0.72+(1-0.72)*(C1110^2))</f>
        <v>2.4768808927886654E-3</v>
      </c>
      <c r="O1111">
        <f>_xlfn.NORM.S.INV(0.99)*N1111*SQRT(10)</f>
        <v>1.8221317728578212E-2</v>
      </c>
      <c r="P1111">
        <f>LN(B1120)-LN(B1111)</f>
        <v>-5.5431286136231606E-3</v>
      </c>
      <c r="Q1111">
        <f>IF(P1111&lt;-(O1111),1,0)</f>
        <v>0</v>
      </c>
    </row>
    <row r="1112" spans="1:17">
      <c r="A1112" s="64">
        <v>42905</v>
      </c>
      <c r="B1112">
        <v>2453.459961</v>
      </c>
      <c r="C1112" s="68">
        <f>LN(B1112)-LN(B1111)</f>
        <v>8.3125833736454879E-3</v>
      </c>
      <c r="D1112" s="68"/>
      <c r="E1112" s="68"/>
      <c r="F1112" s="68"/>
      <c r="G1112" s="68"/>
      <c r="H1112" s="68"/>
      <c r="I1112">
        <f>_xlfn.STDEV.S(C1092:C1112)</f>
        <v>3.3108837545538648E-3</v>
      </c>
      <c r="J1112">
        <f>_xlfn.NORM.S.INV(0.99)*I1112*SQRT(10)</f>
        <v>2.43567080798105E-2</v>
      </c>
      <c r="K1112">
        <f>LN(B1121)-LN(B1112)</f>
        <v>-1.2323654350495872E-2</v>
      </c>
      <c r="L1112">
        <f>IF(K1112&lt;-(J1112),1,0)</f>
        <v>0</v>
      </c>
      <c r="M1112" s="72">
        <f t="shared" si="16"/>
        <v>1.5315936112602367E-2</v>
      </c>
      <c r="N1112">
        <f>SQRT((N1111^2)*0.72+(1-0.72)*(C1111^2))</f>
        <v>2.1070538665118807E-3</v>
      </c>
      <c r="O1112">
        <f>_xlfn.NORM.S.INV(0.99)*N1112*SQRT(10)</f>
        <v>1.5500663792402241E-2</v>
      </c>
      <c r="P1112">
        <f>LN(B1121)-LN(B1112)</f>
        <v>-1.2323654350495872E-2</v>
      </c>
      <c r="Q1112">
        <f>IF(P1112&lt;-(O1112),1,0)</f>
        <v>0</v>
      </c>
    </row>
    <row r="1113" spans="1:17">
      <c r="A1113" s="64">
        <v>42906</v>
      </c>
      <c r="B1113">
        <v>2437.030029</v>
      </c>
      <c r="C1113" s="68">
        <f>LN(B1113)-LN(B1112)</f>
        <v>-6.7191605942236166E-3</v>
      </c>
      <c r="D1113" s="68"/>
      <c r="E1113" s="68"/>
      <c r="F1113" s="68"/>
      <c r="G1113" s="68"/>
      <c r="H1113" s="68"/>
      <c r="I1113">
        <f>_xlfn.STDEV.S(C1093:C1113)</f>
        <v>3.5844057583416934E-3</v>
      </c>
      <c r="J1113">
        <f>_xlfn.NORM.S.INV(0.99)*I1113*SQRT(10)</f>
        <v>2.636888854084353E-2</v>
      </c>
      <c r="K1113">
        <f>LN(B1122)-LN(B1113)</f>
        <v>-3.2963256355023063E-3</v>
      </c>
      <c r="L1113">
        <f>IF(K1113&lt;-(J1113),1,0)</f>
        <v>0</v>
      </c>
      <c r="M1113" s="72">
        <f t="shared" ref="M1113:M1176" si="17">EWMAV(B1092:B1112,0.72,0.99)*SQRT(10)</f>
        <v>3.4856974550266928E-2</v>
      </c>
      <c r="N1113">
        <f>SQRT((N1112^2)*0.72+(1-0.72)*(C1112^2))</f>
        <v>4.7480836738269042E-3</v>
      </c>
      <c r="O1113">
        <f>_xlfn.NORM.S.INV(0.99)*N1113*SQRT(10)</f>
        <v>3.4929552516862493E-2</v>
      </c>
      <c r="P1113">
        <f>LN(B1122)-LN(B1113)</f>
        <v>-3.2963256355023063E-3</v>
      </c>
      <c r="Q1113">
        <f>IF(P1113&lt;-(O1113),1,0)</f>
        <v>0</v>
      </c>
    </row>
    <row r="1114" spans="1:17">
      <c r="A1114" s="64">
        <v>42907</v>
      </c>
      <c r="B1114">
        <v>2435.610107</v>
      </c>
      <c r="C1114" s="68">
        <f>LN(B1114)-LN(B1113)</f>
        <v>-5.8281424466510856E-4</v>
      </c>
      <c r="D1114" s="68"/>
      <c r="E1114" s="68"/>
      <c r="F1114" s="68"/>
      <c r="G1114" s="68"/>
      <c r="H1114" s="68"/>
      <c r="I1114">
        <f>_xlfn.STDEV.S(C1094:C1114)</f>
        <v>3.4768558686907804E-3</v>
      </c>
      <c r="J1114">
        <f>_xlfn.NORM.S.INV(0.99)*I1114*SQRT(10)</f>
        <v>2.5577691549212484E-2</v>
      </c>
      <c r="K1114">
        <f>LN(B1123)-LN(B1114)</f>
        <v>-1.2612874767317095E-3</v>
      </c>
      <c r="L1114">
        <f>IF(K1114&lt;-(J1114),1,0)</f>
        <v>0</v>
      </c>
      <c r="M1114" s="72">
        <f t="shared" si="17"/>
        <v>3.9476215991207639E-2</v>
      </c>
      <c r="N1114">
        <f>SQRT((N1113^2)*0.72+(1-0.72)*(C1113^2))</f>
        <v>5.3733684331625014E-3</v>
      </c>
      <c r="O1114">
        <f>_xlfn.NORM.S.INV(0.99)*N1114*SQRT(10)</f>
        <v>3.9529496060317977E-2</v>
      </c>
      <c r="P1114">
        <f>LN(B1123)-LN(B1114)</f>
        <v>-1.2612874767317095E-3</v>
      </c>
      <c r="Q1114">
        <f>IF(P1114&lt;-(O1114),1,0)</f>
        <v>0</v>
      </c>
    </row>
    <row r="1115" spans="1:17">
      <c r="A1115" s="64">
        <v>42908</v>
      </c>
      <c r="B1115">
        <v>2434.5</v>
      </c>
      <c r="C1115" s="68">
        <f>LN(B1115)-LN(B1114)</f>
        <v>-4.5588579922650752E-4</v>
      </c>
      <c r="D1115" s="68"/>
      <c r="E1115" s="68"/>
      <c r="F1115" s="68"/>
      <c r="G1115" s="68"/>
      <c r="H1115" s="68"/>
      <c r="I1115">
        <f>_xlfn.STDEV.S(C1095:C1115)</f>
        <v>3.4793414567659028E-3</v>
      </c>
      <c r="J1115">
        <f>_xlfn.NORM.S.INV(0.99)*I1115*SQRT(10)</f>
        <v>2.5595976921832152E-2</v>
      </c>
      <c r="K1115">
        <f>LN(B1124)-LN(B1115)</f>
        <v>-1.0218388958677771E-2</v>
      </c>
      <c r="L1115">
        <f>IF(K1115&lt;-(J1115),1,0)</f>
        <v>0</v>
      </c>
      <c r="M1115" s="72">
        <f t="shared" si="17"/>
        <v>3.357235648699132E-2</v>
      </c>
      <c r="N1115">
        <f>SQRT((N1114^2)*0.72+(1-0.72)*(C1114^2))</f>
        <v>4.5698721944475518E-3</v>
      </c>
      <c r="O1115">
        <f>_xlfn.NORM.S.INV(0.99)*N1115*SQRT(10)</f>
        <v>3.3618529448250119E-2</v>
      </c>
      <c r="P1115">
        <f>LN(B1124)-LN(B1115)</f>
        <v>-1.0218388958677771E-2</v>
      </c>
      <c r="Q1115">
        <f>IF(P1115&lt;-(O1115),1,0)</f>
        <v>0</v>
      </c>
    </row>
    <row r="1116" spans="1:17">
      <c r="A1116" s="64">
        <v>42909</v>
      </c>
      <c r="B1116">
        <v>2438.3000489999999</v>
      </c>
      <c r="C1116" s="68">
        <f>LN(B1116)-LN(B1115)</f>
        <v>1.5596986258987755E-3</v>
      </c>
      <c r="D1116" s="68"/>
      <c r="E1116" s="68"/>
      <c r="F1116" s="68"/>
      <c r="G1116" s="68"/>
      <c r="H1116" s="68"/>
      <c r="I1116">
        <f>_xlfn.STDEV.S(C1096:C1116)</f>
        <v>3.4615389853778502E-3</v>
      </c>
      <c r="J1116">
        <f>_xlfn.NORM.S.INV(0.99)*I1116*SQRT(10)</f>
        <v>2.5465012010091714E-2</v>
      </c>
      <c r="K1116">
        <f>LN(B1125)-LN(B1116)</f>
        <v>-5.3953748667767698E-3</v>
      </c>
      <c r="L1116">
        <f>IF(K1116&lt;-(J1116),1,0)</f>
        <v>0</v>
      </c>
      <c r="M1116" s="72">
        <f t="shared" si="17"/>
        <v>2.8540012511428212E-2</v>
      </c>
      <c r="N1116">
        <f>SQRT((N1115^2)*0.72+(1-0.72)*(C1115^2))</f>
        <v>3.8851614986153797E-3</v>
      </c>
      <c r="O1116">
        <f>_xlfn.NORM.S.INV(0.99)*N1116*SQRT(10)</f>
        <v>2.8581415561491096E-2</v>
      </c>
      <c r="P1116">
        <f>LN(B1125)-LN(B1116)</f>
        <v>-5.3953748667767698E-3</v>
      </c>
      <c r="Q1116">
        <f>IF(P1116&lt;-(O1116),1,0)</f>
        <v>0</v>
      </c>
    </row>
    <row r="1117" spans="1:17">
      <c r="A1117" s="64">
        <v>42912</v>
      </c>
      <c r="B1117">
        <v>2439.070068</v>
      </c>
      <c r="C1117" s="68">
        <f>LN(B1117)-LN(B1116)</f>
        <v>3.1575172190123624E-4</v>
      </c>
      <c r="D1117" s="68"/>
      <c r="E1117" s="68"/>
      <c r="F1117" s="68"/>
      <c r="G1117" s="68"/>
      <c r="H1117" s="68"/>
      <c r="I1117">
        <f>_xlfn.STDEV.S(C1097:C1117)</f>
        <v>3.3524964896091652E-3</v>
      </c>
      <c r="J1117">
        <f>_xlfn.NORM.S.INV(0.99)*I1117*SQRT(10)</f>
        <v>2.4662834575115686E-2</v>
      </c>
      <c r="K1117">
        <f>LN(B1126)-LN(B1117)</f>
        <v>-4.7837904853027524E-3</v>
      </c>
      <c r="L1117">
        <f>IF(K1117&lt;-(J1117),1,0)</f>
        <v>0</v>
      </c>
      <c r="M1117" s="72">
        <f t="shared" si="17"/>
        <v>2.4958142312484086E-2</v>
      </c>
      <c r="N1117">
        <f>SQRT((N1116^2)*0.72+(1-0.72)*(C1116^2))</f>
        <v>3.3984070167726119E-3</v>
      </c>
      <c r="O1117">
        <f>_xlfn.NORM.S.INV(0.99)*N1117*SQRT(10)</f>
        <v>2.5000578026957581E-2</v>
      </c>
      <c r="P1117">
        <f>LN(B1126)-LN(B1117)</f>
        <v>-4.7837904853027524E-3</v>
      </c>
      <c r="Q1117">
        <f>IF(P1117&lt;-(O1117),1,0)</f>
        <v>0</v>
      </c>
    </row>
    <row r="1118" spans="1:17">
      <c r="A1118" s="64">
        <v>42913</v>
      </c>
      <c r="B1118">
        <v>2419.3798830000001</v>
      </c>
      <c r="C1118" s="68">
        <f>LN(B1118)-LN(B1117)</f>
        <v>-8.1055863508323611E-3</v>
      </c>
      <c r="D1118" s="68"/>
      <c r="E1118" s="68"/>
      <c r="F1118" s="68"/>
      <c r="G1118" s="68"/>
      <c r="H1118" s="68"/>
      <c r="I1118">
        <f>_xlfn.STDEV.S(C1098:C1118)</f>
        <v>3.8401945180694488E-3</v>
      </c>
      <c r="J1118">
        <f>_xlfn.NORM.S.INV(0.99)*I1118*SQRT(10)</f>
        <v>2.8250613364983492E-2</v>
      </c>
      <c r="K1118">
        <f>LN(B1127)-LN(B1118)</f>
        <v>2.5388085290041218E-3</v>
      </c>
      <c r="L1118">
        <f>IF(K1118&lt;-(J1118),1,0)</f>
        <v>0</v>
      </c>
      <c r="M1118" s="72">
        <f t="shared" si="17"/>
        <v>2.121327670384672E-2</v>
      </c>
      <c r="N1118">
        <f>SQRT((N1117^2)*0.72+(1-0.72)*(C1117^2))</f>
        <v>2.8884802826321869E-3</v>
      </c>
      <c r="O1118">
        <f>_xlfn.NORM.S.INV(0.99)*N1118*SQRT(10)</f>
        <v>2.1249272476448134E-2</v>
      </c>
      <c r="P1118">
        <f>LN(B1127)-LN(B1118)</f>
        <v>2.5388085290041218E-3</v>
      </c>
      <c r="Q1118">
        <f>IF(P1118&lt;-(O1118),1,0)</f>
        <v>0</v>
      </c>
    </row>
    <row r="1119" spans="1:17">
      <c r="A1119" s="64">
        <v>42914</v>
      </c>
      <c r="B1119">
        <v>2440.6899410000001</v>
      </c>
      <c r="C1119" s="68">
        <f>LN(B1119)-LN(B1118)</f>
        <v>8.7695014026030194E-3</v>
      </c>
      <c r="D1119" s="68"/>
      <c r="E1119" s="68"/>
      <c r="F1119" s="68"/>
      <c r="G1119" s="68"/>
      <c r="H1119" s="68"/>
      <c r="I1119">
        <f>_xlfn.STDEV.S(C1099:C1119)</f>
        <v>4.2676478544635089E-3</v>
      </c>
      <c r="J1119">
        <f>_xlfn.NORM.S.INV(0.99)*I1119*SQRT(10)</f>
        <v>3.1395198588783979E-2</v>
      </c>
      <c r="K1119">
        <f>LN(B1128)-LN(B1119)</f>
        <v>1.0483581966189703E-3</v>
      </c>
      <c r="L1119">
        <f>IF(K1119&lt;-(J1119),1,0)</f>
        <v>0</v>
      </c>
      <c r="M1119" s="72">
        <f t="shared" si="17"/>
        <v>3.6325631599961904E-2</v>
      </c>
      <c r="N1119">
        <f>SQRT((N1118^2)*0.72+(1-0.72)*(C1118^2))</f>
        <v>4.9399734445131896E-3</v>
      </c>
      <c r="O1119">
        <f>_xlfn.NORM.S.INV(0.99)*N1119*SQRT(10)</f>
        <v>3.6341200727609602E-2</v>
      </c>
      <c r="P1119">
        <f>LN(B1128)-LN(B1119)</f>
        <v>1.0483581966189703E-3</v>
      </c>
      <c r="Q1119">
        <f>IF(P1119&lt;-(O1119),1,0)</f>
        <v>0</v>
      </c>
    </row>
    <row r="1120" spans="1:17">
      <c r="A1120" s="64">
        <v>42915</v>
      </c>
      <c r="B1120">
        <v>2419.6999510000001</v>
      </c>
      <c r="C1120" s="68">
        <f>LN(B1120)-LN(B1119)</f>
        <v>-8.6372167487240858E-3</v>
      </c>
      <c r="D1120" s="68"/>
      <c r="E1120" s="68"/>
      <c r="F1120" s="68"/>
      <c r="G1120" s="68"/>
      <c r="H1120" s="68"/>
      <c r="I1120">
        <f>_xlfn.STDEV.S(C1100:C1120)</f>
        <v>4.7136875926374316E-3</v>
      </c>
      <c r="J1120">
        <f>_xlfn.NORM.S.INV(0.99)*I1120*SQRT(10)</f>
        <v>3.4676515753651112E-2</v>
      </c>
      <c r="K1120">
        <f>LN(B1129)-LN(B1120)</f>
        <v>1.1558404367749908E-2</v>
      </c>
      <c r="L1120">
        <f>IF(K1120&lt;-(J1120),1,0)</f>
        <v>0</v>
      </c>
      <c r="M1120" s="72">
        <f t="shared" si="17"/>
        <v>4.5993745887400649E-2</v>
      </c>
      <c r="N1120">
        <f>SQRT((N1119^2)*0.72+(1-0.72)*(C1119^2))</f>
        <v>6.2532844532668212E-3</v>
      </c>
      <c r="O1120">
        <f>_xlfn.NORM.S.INV(0.99)*N1120*SQRT(10)</f>
        <v>4.6002649219788382E-2</v>
      </c>
      <c r="P1120">
        <f>LN(B1129)-LN(B1120)</f>
        <v>1.1558404367749908E-2</v>
      </c>
      <c r="Q1120">
        <f>IF(P1120&lt;-(O1120),1,0)</f>
        <v>0</v>
      </c>
    </row>
    <row r="1121" spans="1:17">
      <c r="A1121" s="64">
        <v>42916</v>
      </c>
      <c r="B1121">
        <v>2423.4099120000001</v>
      </c>
      <c r="C1121" s="68">
        <f>LN(B1121)-LN(B1120)</f>
        <v>1.5320576367727767E-3</v>
      </c>
      <c r="D1121" s="68"/>
      <c r="E1121" s="68"/>
      <c r="F1121" s="68"/>
      <c r="G1121" s="68"/>
      <c r="H1121" s="68"/>
      <c r="I1121">
        <f>_xlfn.STDEV.S(C1101:C1121)</f>
        <v>4.4157960906640046E-3</v>
      </c>
      <c r="J1121">
        <f>_xlfn.NORM.S.INV(0.99)*I1121*SQRT(10)</f>
        <v>3.2485059667932775E-2</v>
      </c>
      <c r="K1121">
        <f>LN(B1130)-LN(B1121)</f>
        <v>1.4688963142657663E-2</v>
      </c>
      <c r="L1121">
        <f>IF(K1121&lt;-(J1121),1,0)</f>
        <v>0</v>
      </c>
      <c r="M1121" s="72">
        <f t="shared" si="17"/>
        <v>5.1501037142292962E-2</v>
      </c>
      <c r="N1121">
        <f>SQRT((N1120^2)*0.72+(1-0.72)*(C1120^2))</f>
        <v>7.0030701504797529E-3</v>
      </c>
      <c r="O1121">
        <f>_xlfn.NORM.S.INV(0.99)*N1121*SQRT(10)</f>
        <v>5.1518491122819303E-2</v>
      </c>
      <c r="P1121">
        <f>LN(B1130)-LN(B1121)</f>
        <v>1.4688963142657663E-2</v>
      </c>
      <c r="Q1121">
        <f>IF(P1121&lt;-(O1121),1,0)</f>
        <v>0</v>
      </c>
    </row>
    <row r="1122" spans="1:17">
      <c r="A1122" s="64">
        <v>42919</v>
      </c>
      <c r="B1122">
        <v>2429.01001</v>
      </c>
      <c r="C1122" s="68">
        <f>LN(B1122)-LN(B1121)</f>
        <v>2.3081681207699489E-3</v>
      </c>
      <c r="D1122" s="68"/>
      <c r="E1122" s="68"/>
      <c r="F1122" s="68"/>
      <c r="G1122" s="68"/>
      <c r="H1122" s="68"/>
      <c r="I1122">
        <f>_xlfn.STDEV.S(C1102:C1122)</f>
        <v>4.3655493889865338E-3</v>
      </c>
      <c r="J1122">
        <f>_xlfn.NORM.S.INV(0.99)*I1122*SQRT(10)</f>
        <v>3.2115416897162526E-2</v>
      </c>
      <c r="K1122">
        <f>LN(B1131)-LN(B1122)</f>
        <v>1.232788076612934E-2</v>
      </c>
      <c r="L1122">
        <f>IF(K1122&lt;-(J1122),1,0)</f>
        <v>0</v>
      </c>
      <c r="M1122" s="72">
        <f t="shared" si="17"/>
        <v>4.4101857620649214E-2</v>
      </c>
      <c r="N1122">
        <f>SQRT((N1121^2)*0.72+(1-0.72)*(C1121^2))</f>
        <v>5.9973469194385806E-3</v>
      </c>
      <c r="O1122">
        <f>_xlfn.NORM.S.INV(0.99)*N1122*SQRT(10)</f>
        <v>4.4119829930362418E-2</v>
      </c>
      <c r="P1122">
        <f>LN(B1131)-LN(B1122)</f>
        <v>1.232788076612934E-2</v>
      </c>
      <c r="Q1122">
        <f>IF(P1122&lt;-(O1122),1,0)</f>
        <v>0</v>
      </c>
    </row>
    <row r="1123" spans="1:17">
      <c r="A1123" s="64">
        <v>42921</v>
      </c>
      <c r="B1123">
        <v>2432.540039</v>
      </c>
      <c r="C1123" s="68">
        <f>LN(B1123)-LN(B1122)</f>
        <v>1.4522239141054882E-3</v>
      </c>
      <c r="D1123" s="68"/>
      <c r="E1123" s="68"/>
      <c r="F1123" s="68"/>
      <c r="G1123" s="68"/>
      <c r="H1123" s="68"/>
      <c r="I1123">
        <f>_xlfn.STDEV.S(C1103:C1123)</f>
        <v>4.373193724296909E-3</v>
      </c>
      <c r="J1123">
        <f>_xlfn.NORM.S.INV(0.99)*I1123*SQRT(10)</f>
        <v>3.217165289257097E-2</v>
      </c>
      <c r="K1123">
        <f>LN(B1132)-LN(B1123)</f>
        <v>1.147333520713012E-2</v>
      </c>
      <c r="L1123">
        <f>IF(K1123&lt;-(J1123),1,0)</f>
        <v>0</v>
      </c>
      <c r="M1123" s="72">
        <f t="shared" si="17"/>
        <v>3.8484815048660144E-2</v>
      </c>
      <c r="N1123">
        <f>SQRT((N1122^2)*0.72+(1-0.72)*(C1122^2))</f>
        <v>5.2334330675531168E-3</v>
      </c>
      <c r="O1123">
        <f>_xlfn.NORM.S.INV(0.99)*N1123*SQRT(10)</f>
        <v>3.8500053439295301E-2</v>
      </c>
      <c r="P1123">
        <f>LN(B1132)-LN(B1123)</f>
        <v>1.147333520713012E-2</v>
      </c>
      <c r="Q1123">
        <f>IF(P1123&lt;-(O1123),1,0)</f>
        <v>0</v>
      </c>
    </row>
    <row r="1124" spans="1:17">
      <c r="A1124" s="64">
        <v>42922</v>
      </c>
      <c r="B1124">
        <v>2409.75</v>
      </c>
      <c r="C1124" s="68">
        <f>LN(B1124)-LN(B1123)</f>
        <v>-9.412987281172569E-3</v>
      </c>
      <c r="D1124" s="68"/>
      <c r="E1124" s="68"/>
      <c r="F1124" s="68"/>
      <c r="G1124" s="68"/>
      <c r="H1124" s="68"/>
      <c r="I1124">
        <f>_xlfn.STDEV.S(C1104:C1124)</f>
        <v>4.797601166322045E-3</v>
      </c>
      <c r="J1124">
        <f>_xlfn.NORM.S.INV(0.99)*I1124*SQRT(10)</f>
        <v>3.5293830818053068E-2</v>
      </c>
      <c r="K1124">
        <f>LN(B1133)-LN(B1124)</f>
        <v>2.6244580825278696E-2</v>
      </c>
      <c r="L1124">
        <f>IF(K1124&lt;-(J1124),1,0)</f>
        <v>0</v>
      </c>
      <c r="M1124" s="72">
        <f t="shared" si="17"/>
        <v>3.3138669900782618E-2</v>
      </c>
      <c r="N1124">
        <f>SQRT((N1123^2)*0.72+(1-0.72)*(C1123^2))</f>
        <v>4.5067126386444953E-3</v>
      </c>
      <c r="O1124">
        <f>_xlfn.NORM.S.INV(0.99)*N1124*SQRT(10)</f>
        <v>3.315389251829761E-2</v>
      </c>
      <c r="P1124">
        <f>LN(B1133)-LN(B1124)</f>
        <v>2.6244580825278696E-2</v>
      </c>
      <c r="Q1124">
        <f>IF(P1124&lt;-(O1124),1,0)</f>
        <v>0</v>
      </c>
    </row>
    <row r="1125" spans="1:17">
      <c r="A1125" s="64">
        <v>42923</v>
      </c>
      <c r="B1125">
        <v>2425.179932</v>
      </c>
      <c r="C1125" s="68">
        <f>LN(B1125)-LN(B1124)</f>
        <v>6.3827127177997767E-3</v>
      </c>
      <c r="D1125" s="68"/>
      <c r="E1125" s="68"/>
      <c r="F1125" s="68"/>
      <c r="G1125" s="68"/>
      <c r="H1125" s="68"/>
      <c r="I1125">
        <f>_xlfn.STDEV.S(C1105:C1125)</f>
        <v>5.0061471387118318E-3</v>
      </c>
      <c r="J1125">
        <f>_xlfn.NORM.S.INV(0.99)*I1125*SQRT(10)</f>
        <v>3.6828011341223592E-2</v>
      </c>
      <c r="K1125">
        <f>LN(B1134)-LN(B1125)</f>
        <v>1.9708196999911998E-2</v>
      </c>
      <c r="L1125">
        <f>IF(K1125&lt;-(J1125),1,0)</f>
        <v>0</v>
      </c>
      <c r="M1125" s="72">
        <f t="shared" si="17"/>
        <v>4.6187440495113044E-2</v>
      </c>
      <c r="N1125">
        <f>SQRT((N1124^2)*0.72+(1-0.72)*(C1124^2))</f>
        <v>6.2795495552478622E-3</v>
      </c>
      <c r="O1125">
        <f>_xlfn.NORM.S.INV(0.99)*N1125*SQRT(10)</f>
        <v>4.6195869963572805E-2</v>
      </c>
      <c r="P1125">
        <f>LN(B1134)-LN(B1125)</f>
        <v>1.9708196999911998E-2</v>
      </c>
      <c r="Q1125">
        <f>IF(P1125&lt;-(O1125),1,0)</f>
        <v>0</v>
      </c>
    </row>
    <row r="1126" spans="1:17">
      <c r="A1126" s="64">
        <v>42926</v>
      </c>
      <c r="B1126">
        <v>2427.429932</v>
      </c>
      <c r="C1126" s="68">
        <f>LN(B1126)-LN(B1125)</f>
        <v>9.2733610337525363E-4</v>
      </c>
      <c r="D1126" s="68"/>
      <c r="E1126" s="68"/>
      <c r="F1126" s="68"/>
      <c r="G1126" s="68"/>
      <c r="H1126" s="68"/>
      <c r="I1126">
        <f>_xlfn.STDEV.S(C1106:C1126)</f>
        <v>5.0110080232020904E-3</v>
      </c>
      <c r="J1126">
        <f>_xlfn.NORM.S.INV(0.99)*I1126*SQRT(10)</f>
        <v>3.6863770719479043E-2</v>
      </c>
      <c r="K1126">
        <f>LN(B1135)-LN(B1126)</f>
        <v>1.8412921611538735E-2</v>
      </c>
      <c r="L1126">
        <f>IF(K1126&lt;-(J1126),1,0)</f>
        <v>0</v>
      </c>
      <c r="M1126" s="72">
        <f t="shared" si="17"/>
        <v>4.6403562738765503E-2</v>
      </c>
      <c r="N1126">
        <f>SQRT((N1125^2)*0.72+(1-0.72)*(C1125^2))</f>
        <v>6.3086052929895251E-3</v>
      </c>
      <c r="O1126">
        <f>_xlfn.NORM.S.INV(0.99)*N1126*SQRT(10)</f>
        <v>4.640962018094115E-2</v>
      </c>
      <c r="P1126">
        <f>LN(B1135)-LN(B1126)</f>
        <v>1.8412921611538735E-2</v>
      </c>
      <c r="Q1126">
        <f>IF(P1126&lt;-(O1126),1,0)</f>
        <v>0</v>
      </c>
    </row>
    <row r="1127" spans="1:17">
      <c r="A1127" s="64">
        <v>42927</v>
      </c>
      <c r="B1127">
        <v>2425.530029</v>
      </c>
      <c r="C1127" s="68">
        <f>LN(B1127)-LN(B1126)</f>
        <v>-7.8298733652548691E-4</v>
      </c>
      <c r="D1127" s="68"/>
      <c r="E1127" s="68"/>
      <c r="F1127" s="68"/>
      <c r="G1127" s="68"/>
      <c r="H1127" s="68"/>
      <c r="I1127">
        <f>_xlfn.STDEV.S(C1107:C1127)</f>
        <v>5.0106852608022565E-3</v>
      </c>
      <c r="J1127">
        <f>_xlfn.NORM.S.INV(0.99)*I1127*SQRT(10)</f>
        <v>3.686139629919289E-2</v>
      </c>
      <c r="K1127">
        <f>LN(B1136)-LN(B1127)</f>
        <v>1.8131607933650429E-2</v>
      </c>
      <c r="L1127">
        <f>IF(K1127&lt;-(J1127),1,0)</f>
        <v>0</v>
      </c>
      <c r="M1127" s="72">
        <f t="shared" si="17"/>
        <v>3.9539672876691558E-2</v>
      </c>
      <c r="N1127">
        <f>SQRT((N1126^2)*0.72+(1-0.72)*(C1126^2))</f>
        <v>5.3754727386885722E-3</v>
      </c>
      <c r="O1127">
        <f>_xlfn.NORM.S.INV(0.99)*N1127*SQRT(10)</f>
        <v>3.9544976505784757E-2</v>
      </c>
      <c r="P1127">
        <f>LN(B1136)-LN(B1127)</f>
        <v>1.8131607933650429E-2</v>
      </c>
      <c r="Q1127">
        <f>IF(P1127&lt;-(O1127),1,0)</f>
        <v>0</v>
      </c>
    </row>
    <row r="1128" spans="1:17">
      <c r="A1128" s="64">
        <v>42928</v>
      </c>
      <c r="B1128">
        <v>2443.25</v>
      </c>
      <c r="C1128" s="68">
        <f>LN(B1128)-LN(B1127)</f>
        <v>7.2790510702178679E-3</v>
      </c>
      <c r="D1128" s="68"/>
      <c r="E1128" s="68"/>
      <c r="F1128" s="68"/>
      <c r="G1128" s="68"/>
      <c r="H1128" s="68"/>
      <c r="I1128">
        <f>_xlfn.STDEV.S(C1108:C1128)</f>
        <v>5.258032897391021E-3</v>
      </c>
      <c r="J1128">
        <f>_xlfn.NORM.S.INV(0.99)*I1128*SQRT(10)</f>
        <v>3.868102351211973E-2</v>
      </c>
      <c r="K1128">
        <f>LN(B1137)-LN(B1128)</f>
        <v>1.3771464503305353E-2</v>
      </c>
      <c r="L1128">
        <f>IF(K1128&lt;-(J1128),1,0)</f>
        <v>0</v>
      </c>
      <c r="M1128" s="72">
        <f t="shared" si="17"/>
        <v>3.3688386466273812E-2</v>
      </c>
      <c r="N1128">
        <f>SQRT((N1127^2)*0.72+(1-0.72)*(C1127^2))</f>
        <v>4.580018397967533E-3</v>
      </c>
      <c r="O1128">
        <f>_xlfn.NORM.S.INV(0.99)*N1128*SQRT(10)</f>
        <v>3.3693170582030377E-2</v>
      </c>
      <c r="P1128">
        <f>LN(B1137)-LN(B1128)</f>
        <v>1.3771464503305353E-2</v>
      </c>
      <c r="Q1128">
        <f>IF(P1128&lt;-(O1128),1,0)</f>
        <v>0</v>
      </c>
    </row>
    <row r="1129" spans="1:17">
      <c r="A1129" s="64">
        <v>42929</v>
      </c>
      <c r="B1129">
        <v>2447.830078</v>
      </c>
      <c r="C1129" s="68">
        <f>LN(B1129)-LN(B1128)</f>
        <v>1.872829422406852E-3</v>
      </c>
      <c r="D1129" s="68"/>
      <c r="E1129" s="68"/>
      <c r="F1129" s="68"/>
      <c r="G1129" s="68"/>
      <c r="H1129" s="68"/>
      <c r="I1129">
        <f>_xlfn.STDEV.S(C1109:C1129)</f>
        <v>5.1830425621583924E-3</v>
      </c>
      <c r="J1129">
        <f>_xlfn.NORM.S.INV(0.99)*I1129*SQRT(10)</f>
        <v>3.8129352768151138E-2</v>
      </c>
      <c r="K1129">
        <f>LN(B1138)-LN(B1129)</f>
        <v>1.2181258960878516E-2</v>
      </c>
      <c r="L1129">
        <f>IF(K1129&lt;-(J1129),1,0)</f>
        <v>0</v>
      </c>
      <c r="M1129" s="72">
        <f t="shared" si="17"/>
        <v>4.0244185673966003E-2</v>
      </c>
      <c r="N1129">
        <f>SQRT((N1128^2)*0.72+(1-0.72)*(C1128^2))</f>
        <v>5.4716371401724324E-3</v>
      </c>
      <c r="O1129">
        <f>_xlfn.NORM.S.INV(0.99)*N1129*SQRT(10)</f>
        <v>4.0252415494360087E-2</v>
      </c>
      <c r="P1129">
        <f>LN(B1138)-LN(B1129)</f>
        <v>1.2181258960878516E-2</v>
      </c>
      <c r="Q1129">
        <f>IF(P1129&lt;-(O1129),1,0)</f>
        <v>0</v>
      </c>
    </row>
    <row r="1130" spans="1:17">
      <c r="A1130" s="64">
        <v>42930</v>
      </c>
      <c r="B1130">
        <v>2459.2700199999999</v>
      </c>
      <c r="C1130" s="68">
        <f>LN(B1130)-LN(B1129)</f>
        <v>4.6626164116805313E-3</v>
      </c>
      <c r="D1130" s="68"/>
      <c r="E1130" s="68"/>
      <c r="F1130" s="68"/>
      <c r="G1130" s="68"/>
      <c r="H1130" s="68"/>
      <c r="I1130">
        <f>_xlfn.STDEV.S(C1110:C1130)</f>
        <v>5.2671224550900316E-3</v>
      </c>
      <c r="J1130">
        <f>_xlfn.NORM.S.INV(0.99)*I1130*SQRT(10)</f>
        <v>3.8747891369725687E-2</v>
      </c>
      <c r="K1130">
        <f>LN(B1139)-LN(B1130)</f>
        <v>6.545481012747878E-3</v>
      </c>
      <c r="L1130">
        <f>IF(K1130&lt;-(J1130),1,0)</f>
        <v>0</v>
      </c>
      <c r="M1130" s="72">
        <f t="shared" si="17"/>
        <v>3.4917574457176859E-2</v>
      </c>
      <c r="N1130">
        <f>SQRT((N1129^2)*0.72+(1-0.72)*(C1129^2))</f>
        <v>4.7474248354445287E-3</v>
      </c>
      <c r="O1130">
        <f>_xlfn.NORM.S.INV(0.99)*N1130*SQRT(10)</f>
        <v>3.4924705734147993E-2</v>
      </c>
      <c r="P1130">
        <f>LN(B1139)-LN(B1130)</f>
        <v>6.545481012747878E-3</v>
      </c>
      <c r="Q1130">
        <f>IF(P1130&lt;-(O1130),1,0)</f>
        <v>0</v>
      </c>
    </row>
    <row r="1131" spans="1:17">
      <c r="A1131" s="64">
        <v>42933</v>
      </c>
      <c r="B1131">
        <v>2459.139893</v>
      </c>
      <c r="C1131" s="68">
        <f>LN(B1131)-LN(B1130)</f>
        <v>-5.291425575837394E-5</v>
      </c>
      <c r="D1131" s="68"/>
      <c r="E1131" s="68"/>
      <c r="F1131" s="68"/>
      <c r="G1131" s="68"/>
      <c r="H1131" s="68"/>
      <c r="I1131">
        <f>_xlfn.STDEV.S(C1111:C1131)</f>
        <v>5.2334556405565814E-3</v>
      </c>
      <c r="J1131">
        <f>_xlfn.NORM.S.INV(0.99)*I1131*SQRT(10)</f>
        <v>3.8500219498902533E-2</v>
      </c>
      <c r="K1131">
        <f>LN(B1140)-LN(B1131)</f>
        <v>5.2563796789453221E-3</v>
      </c>
      <c r="L1131">
        <f>IF(K1131&lt;-(J1131),1,0)</f>
        <v>0</v>
      </c>
      <c r="M1131" s="72">
        <f t="shared" si="17"/>
        <v>3.4744446786918688E-2</v>
      </c>
      <c r="N1131">
        <f>SQRT((N1130^2)*0.72+(1-0.72)*(C1130^2))</f>
        <v>4.7238319565574205E-3</v>
      </c>
      <c r="O1131">
        <f>_xlfn.NORM.S.INV(0.99)*N1131*SQRT(10)</f>
        <v>3.4751143354307491E-2</v>
      </c>
      <c r="P1131">
        <f>LN(B1140)-LN(B1131)</f>
        <v>5.2563796789453221E-3</v>
      </c>
      <c r="Q1131">
        <f>IF(P1131&lt;-(O1131),1,0)</f>
        <v>0</v>
      </c>
    </row>
    <row r="1132" spans="1:17">
      <c r="A1132" s="64">
        <v>42934</v>
      </c>
      <c r="B1132">
        <v>2460.610107</v>
      </c>
      <c r="C1132" s="68">
        <f>LN(B1132)-LN(B1131)</f>
        <v>5.976783551062681E-4</v>
      </c>
      <c r="D1132" s="68"/>
      <c r="E1132" s="68"/>
      <c r="F1132" s="68"/>
      <c r="G1132" s="68"/>
      <c r="H1132" s="68"/>
      <c r="I1132">
        <f>_xlfn.STDEV.S(C1112:C1132)</f>
        <v>5.2331966884001484E-3</v>
      </c>
      <c r="J1132">
        <f>_xlfn.NORM.S.INV(0.99)*I1132*SQRT(10)</f>
        <v>3.8498314502367327E-2</v>
      </c>
      <c r="K1132">
        <f>LN(B1141)-LN(B1132)</f>
        <v>3.9302904198041944E-3</v>
      </c>
      <c r="L1132">
        <f>IF(K1132&lt;-(J1132),1,0)</f>
        <v>0</v>
      </c>
      <c r="M1132" s="72">
        <f t="shared" si="17"/>
        <v>2.948233130415474E-2</v>
      </c>
      <c r="N1132">
        <f>SQRT((N1131^2)*0.72+(1-0.72)*(C1131^2))</f>
        <v>4.0084021245254979E-3</v>
      </c>
      <c r="O1132">
        <f>_xlfn.NORM.S.INV(0.99)*N1132*SQRT(10)</f>
        <v>2.9488042363092694E-2</v>
      </c>
      <c r="P1132">
        <f>LN(B1141)-LN(B1132)</f>
        <v>3.9302904198041944E-3</v>
      </c>
      <c r="Q1132">
        <f>IF(P1132&lt;-(O1132),1,0)</f>
        <v>0</v>
      </c>
    </row>
    <row r="1133" spans="1:17">
      <c r="A1133" s="64">
        <v>42935</v>
      </c>
      <c r="B1133">
        <v>2473.830078</v>
      </c>
      <c r="C1133" s="68">
        <f>LN(B1133)-LN(B1132)</f>
        <v>5.3582583369760073E-3</v>
      </c>
      <c r="D1133" s="68"/>
      <c r="E1133" s="68"/>
      <c r="F1133" s="68"/>
      <c r="G1133" s="68"/>
      <c r="H1133" s="68"/>
      <c r="I1133">
        <f>_xlfn.STDEV.S(C1113:C1133)</f>
        <v>5.0501528470564758E-3</v>
      </c>
      <c r="J1133">
        <f>_xlfn.NORM.S.INV(0.99)*I1133*SQRT(10)</f>
        <v>3.7151741883113369E-2</v>
      </c>
      <c r="K1133">
        <f>LN(B1142)-LN(B1133)</f>
        <v>1.0181529270036904E-3</v>
      </c>
      <c r="L1133">
        <f>IF(K1133&lt;-(J1133),1,0)</f>
        <v>0</v>
      </c>
      <c r="M1133" s="72">
        <f t="shared" si="17"/>
        <v>2.5095319087942564E-2</v>
      </c>
      <c r="N1133">
        <f>SQRT((N1132^2)*0.72+(1-0.72)*(C1132^2))</f>
        <v>3.4159140069231673E-3</v>
      </c>
      <c r="O1133">
        <f>_xlfn.NORM.S.INV(0.99)*N1133*SQRT(10)</f>
        <v>2.5129369213862496E-2</v>
      </c>
      <c r="P1133">
        <f>LN(B1142)-LN(B1133)</f>
        <v>1.0181529270036904E-3</v>
      </c>
      <c r="Q1133">
        <f>IF(P1133&lt;-(O1133),1,0)</f>
        <v>0</v>
      </c>
    </row>
    <row r="1134" spans="1:17">
      <c r="A1134" s="64">
        <v>42936</v>
      </c>
      <c r="B1134">
        <v>2473.4499510000001</v>
      </c>
      <c r="C1134" s="68">
        <f>LN(B1134)-LN(B1133)</f>
        <v>-1.5367110756692171E-4</v>
      </c>
      <c r="D1134" s="68"/>
      <c r="E1134" s="68"/>
      <c r="F1134" s="68"/>
      <c r="G1134" s="68"/>
      <c r="H1134" s="68"/>
      <c r="I1134">
        <f>_xlfn.STDEV.S(C1114:C1134)</f>
        <v>4.7840080480018882E-3</v>
      </c>
      <c r="J1134">
        <f>_xlfn.NORM.S.INV(0.99)*I1134*SQRT(10)</f>
        <v>3.5193832255928072E-2</v>
      </c>
      <c r="K1134">
        <f>LN(B1143)-LN(B1134)</f>
        <v>1.6643511580527459E-3</v>
      </c>
      <c r="L1134">
        <f>IF(K1134&lt;-(J1134),1,0)</f>
        <v>0</v>
      </c>
      <c r="M1134" s="72">
        <f t="shared" si="17"/>
        <v>2.9791686701669519E-2</v>
      </c>
      <c r="N1134">
        <f>SQRT((N1133^2)*0.72+(1-0.72)*(C1133^2))</f>
        <v>4.0546711821744571E-3</v>
      </c>
      <c r="O1134">
        <f>_xlfn.NORM.S.INV(0.99)*N1134*SQRT(10)</f>
        <v>2.9828423365214435E-2</v>
      </c>
      <c r="P1134">
        <f>LN(B1143)-LN(B1134)</f>
        <v>1.6643511580527459E-3</v>
      </c>
      <c r="Q1134">
        <f>IF(P1134&lt;-(O1134),1,0)</f>
        <v>0</v>
      </c>
    </row>
    <row r="1135" spans="1:17">
      <c r="A1135" s="64">
        <v>42937</v>
      </c>
      <c r="B1135">
        <v>2472.540039</v>
      </c>
      <c r="C1135" s="68">
        <f>LN(B1135)-LN(B1134)</f>
        <v>-3.6793928499800899E-4</v>
      </c>
      <c r="D1135" s="68"/>
      <c r="E1135" s="68"/>
      <c r="F1135" s="68"/>
      <c r="G1135" s="68"/>
      <c r="H1135" s="68"/>
      <c r="I1135">
        <f>_xlfn.STDEV.S(C1115:C1135)</f>
        <v>4.7813418870718549E-3</v>
      </c>
      <c r="J1135">
        <f>_xlfn.NORM.S.INV(0.99)*I1135*SQRT(10)</f>
        <v>3.5174218488643945E-2</v>
      </c>
      <c r="K1135">
        <f>LN(B1144)-LN(B1135)</f>
        <v>-1.537512910854133E-4</v>
      </c>
      <c r="L1135">
        <f>IF(K1135&lt;-(J1135),1,0)</f>
        <v>0</v>
      </c>
      <c r="M1135" s="72">
        <f t="shared" si="17"/>
        <v>2.5286018611223374E-2</v>
      </c>
      <c r="N1135">
        <f>SQRT((N1134^2)*0.72+(1-0.72)*(C1134^2))</f>
        <v>3.4414633793496282E-3</v>
      </c>
      <c r="O1135">
        <f>_xlfn.NORM.S.INV(0.99)*N1135*SQRT(10)</f>
        <v>2.5317324651729423E-2</v>
      </c>
      <c r="P1135">
        <f>LN(B1144)-LN(B1135)</f>
        <v>-1.537512910854133E-4</v>
      </c>
      <c r="Q1135">
        <f>IF(P1135&lt;-(O1135),1,0)</f>
        <v>0</v>
      </c>
    </row>
    <row r="1136" spans="1:17">
      <c r="A1136" s="64">
        <v>42940</v>
      </c>
      <c r="B1136">
        <v>2469.9099120000001</v>
      </c>
      <c r="C1136" s="68">
        <f>LN(B1136)-LN(B1135)</f>
        <v>-1.0643010144137932E-3</v>
      </c>
      <c r="D1136" s="68"/>
      <c r="E1136" s="68"/>
      <c r="F1136" s="68"/>
      <c r="G1136" s="68"/>
      <c r="H1136" s="68"/>
      <c r="I1136">
        <f>_xlfn.STDEV.S(C1116:C1136)</f>
        <v>4.7906360159176891E-3</v>
      </c>
      <c r="J1136">
        <f>_xlfn.NORM.S.INV(0.99)*I1136*SQRT(10)</f>
        <v>3.524259128573861E-2</v>
      </c>
      <c r="K1136">
        <f>LN(B1145)-LN(B1136)</f>
        <v>2.7978711346428042E-3</v>
      </c>
      <c r="L1136">
        <f>IF(K1136&lt;-(J1136),1,0)</f>
        <v>0</v>
      </c>
      <c r="M1136" s="72">
        <f t="shared" si="17"/>
        <v>2.1503548554132858E-2</v>
      </c>
      <c r="N1136">
        <f>SQRT((N1135^2)*0.72+(1-0.72)*(C1135^2))</f>
        <v>2.9266617069104248E-3</v>
      </c>
      <c r="O1136">
        <f>_xlfn.NORM.S.INV(0.99)*N1136*SQRT(10)</f>
        <v>2.1530156335308272E-2</v>
      </c>
      <c r="P1136">
        <f>LN(B1145)-LN(B1136)</f>
        <v>2.7978711346428042E-3</v>
      </c>
      <c r="Q1136">
        <f>IF(P1136&lt;-(O1136),1,0)</f>
        <v>0</v>
      </c>
    </row>
    <row r="1137" spans="1:17">
      <c r="A1137" s="64">
        <v>42941</v>
      </c>
      <c r="B1137">
        <v>2477.1298830000001</v>
      </c>
      <c r="C1137" s="68">
        <f>LN(B1137)-LN(B1136)</f>
        <v>2.918907639872792E-3</v>
      </c>
      <c r="D1137" s="68"/>
      <c r="E1137" s="68"/>
      <c r="F1137" s="68"/>
      <c r="G1137" s="68"/>
      <c r="H1137" s="68"/>
      <c r="I1137">
        <f>_xlfn.STDEV.S(C1117:C1137)</f>
        <v>4.8121408159851591E-3</v>
      </c>
      <c r="J1137">
        <f>_xlfn.NORM.S.INV(0.99)*I1137*SQRT(10)</f>
        <v>3.5400792592817913E-2</v>
      </c>
      <c r="K1137">
        <f>LN(B1146)-LN(B1137)</f>
        <v>1.5248081454313223E-3</v>
      </c>
      <c r="L1137">
        <f>IF(K1137&lt;-(J1137),1,0)</f>
        <v>0</v>
      </c>
      <c r="M1137" s="72">
        <f t="shared" si="17"/>
        <v>1.8709433597487661E-2</v>
      </c>
      <c r="N1137">
        <f>SQRT((N1136^2)*0.72+(1-0.72)*(C1136^2))</f>
        <v>2.5464126451578955E-3</v>
      </c>
      <c r="O1137">
        <f>_xlfn.NORM.S.INV(0.99)*N1137*SQRT(10)</f>
        <v>1.8732832091595531E-2</v>
      </c>
      <c r="P1137">
        <f>LN(B1146)-LN(B1137)</f>
        <v>1.5248081454313223E-3</v>
      </c>
      <c r="Q1137">
        <f>IF(P1137&lt;-(O1137),1,0)</f>
        <v>0</v>
      </c>
    </row>
    <row r="1138" spans="1:17">
      <c r="A1138" s="64">
        <v>42942</v>
      </c>
      <c r="B1138">
        <v>2477.830078</v>
      </c>
      <c r="C1138" s="68">
        <f>LN(B1138)-LN(B1137)</f>
        <v>2.8262387998001515E-4</v>
      </c>
      <c r="D1138" s="68"/>
      <c r="E1138" s="68"/>
      <c r="F1138" s="68"/>
      <c r="G1138" s="68"/>
      <c r="H1138" s="68"/>
      <c r="I1138">
        <f>_xlfn.STDEV.S(C1118:C1138)</f>
        <v>4.8122965276940809E-3</v>
      </c>
      <c r="J1138">
        <f>_xlfn.NORM.S.INV(0.99)*I1138*SQRT(10)</f>
        <v>3.5401938095022151E-2</v>
      </c>
      <c r="K1138">
        <f>LN(B1147)-LN(B1138)</f>
        <v>-1.1751678703406654E-3</v>
      </c>
      <c r="L1138">
        <f>IF(K1138&lt;-(J1138),1,0)</f>
        <v>0</v>
      </c>
      <c r="M1138" s="72">
        <f t="shared" si="17"/>
        <v>1.9522685737546831E-2</v>
      </c>
      <c r="N1138">
        <f>SQRT((N1137^2)*0.72+(1-0.72)*(C1137^2))</f>
        <v>2.6559824181670694E-3</v>
      </c>
      <c r="O1138">
        <f>_xlfn.NORM.S.INV(0.99)*N1138*SQRT(10)</f>
        <v>1.9538888472126825E-2</v>
      </c>
      <c r="P1138">
        <f>LN(B1147)-LN(B1138)</f>
        <v>-1.1751678703406654E-3</v>
      </c>
      <c r="Q1138">
        <f>IF(P1138&lt;-(O1138),1,0)</f>
        <v>0</v>
      </c>
    </row>
    <row r="1139" spans="1:17">
      <c r="A1139" s="64">
        <v>42943</v>
      </c>
      <c r="B1139">
        <v>2475.419922</v>
      </c>
      <c r="C1139" s="68">
        <f>LN(B1139)-LN(B1138)</f>
        <v>-9.7316153645010672E-4</v>
      </c>
      <c r="D1139" s="68"/>
      <c r="E1139" s="68"/>
      <c r="F1139" s="68"/>
      <c r="G1139" s="68"/>
      <c r="H1139" s="68"/>
      <c r="I1139">
        <f>_xlfn.STDEV.S(C1119:C1139)</f>
        <v>4.3890674850186407E-3</v>
      </c>
      <c r="J1139">
        <f>_xlfn.NORM.S.INV(0.99)*I1139*SQRT(10)</f>
        <v>3.2288429132599397E-2</v>
      </c>
      <c r="K1139">
        <f>LN(B1148)-LN(B1139)</f>
        <v>-5.6568098764131491E-4</v>
      </c>
      <c r="L1139">
        <f>IF(K1139&lt;-(J1139),1,0)</f>
        <v>0</v>
      </c>
      <c r="M1139" s="72">
        <f t="shared" si="17"/>
        <v>1.6559960361014193E-2</v>
      </c>
      <c r="N1139">
        <f>SQRT((N1138^2)*0.72+(1-0.72)*(C1138^2))</f>
        <v>2.2586323357622539E-3</v>
      </c>
      <c r="O1139">
        <f>_xlfn.NORM.S.INV(0.99)*N1139*SQRT(10)</f>
        <v>1.6615759579633634E-2</v>
      </c>
      <c r="P1139">
        <f>LN(B1148)-LN(B1139)</f>
        <v>-5.6568098764131491E-4</v>
      </c>
      <c r="Q1139">
        <f>IF(P1139&lt;-(O1139),1,0)</f>
        <v>0</v>
      </c>
    </row>
    <row r="1140" spans="1:17">
      <c r="A1140" s="64">
        <v>42944</v>
      </c>
      <c r="B1140">
        <v>2472.1000979999999</v>
      </c>
      <c r="C1140" s="68">
        <f>LN(B1140)-LN(B1139)</f>
        <v>-1.3420155895609298E-3</v>
      </c>
      <c r="D1140" s="68"/>
      <c r="E1140" s="68"/>
      <c r="F1140" s="68"/>
      <c r="G1140" s="68"/>
      <c r="H1140" s="68"/>
      <c r="I1140">
        <f>_xlfn.STDEV.S(C1120:C1140)</f>
        <v>4.0457260383307426E-3</v>
      </c>
      <c r="J1140">
        <f>_xlfn.NORM.S.INV(0.99)*I1140*SQRT(10)</f>
        <v>2.9762617896498235E-2</v>
      </c>
      <c r="K1140">
        <f>LN(B1149)-LN(B1140)</f>
        <v>-1.3803883962657082E-2</v>
      </c>
      <c r="L1140">
        <f>IF(K1140&lt;-(J1140),1,0)</f>
        <v>0</v>
      </c>
      <c r="M1140" s="72">
        <f t="shared" si="17"/>
        <v>1.4497055862250561E-2</v>
      </c>
      <c r="N1140">
        <f>SQRT((N1139^2)*0.72+(1-0.72)*(C1139^2))</f>
        <v>1.9844884896506394E-3</v>
      </c>
      <c r="O1140">
        <f>_xlfn.NORM.S.INV(0.99)*N1140*SQRT(10)</f>
        <v>1.4599004499533628E-2</v>
      </c>
      <c r="P1140">
        <f>LN(B1149)-LN(B1140)</f>
        <v>-1.3803883962657082E-2</v>
      </c>
      <c r="Q1140">
        <f>IF(P1140&lt;-(O1140),1,0)</f>
        <v>0</v>
      </c>
    </row>
    <row r="1141" spans="1:17">
      <c r="A1141" s="64">
        <v>42947</v>
      </c>
      <c r="B1141">
        <v>2470.3000489999999</v>
      </c>
      <c r="C1141" s="68">
        <f>LN(B1141)-LN(B1140)</f>
        <v>-7.2841090403485964E-4</v>
      </c>
      <c r="D1141" s="68"/>
      <c r="E1141" s="68"/>
      <c r="F1141" s="68"/>
      <c r="G1141" s="68"/>
      <c r="H1141" s="68"/>
      <c r="I1141">
        <f>_xlfn.STDEV.S(C1121:C1141)</f>
        <v>3.468983258704263E-3</v>
      </c>
      <c r="J1141">
        <f>_xlfn.NORM.S.INV(0.99)*I1141*SQRT(10)</f>
        <v>2.5519776237929188E-2</v>
      </c>
      <c r="K1141">
        <f>LN(B1150)-LN(B1141)</f>
        <v>-1.1800716103473441E-2</v>
      </c>
      <c r="L1141">
        <f>IF(K1141&lt;-(J1141),1,0)</f>
        <v>0</v>
      </c>
      <c r="M1141" s="72">
        <f t="shared" si="17"/>
        <v>1.3305080841281985E-2</v>
      </c>
      <c r="N1141">
        <f>SQRT((N1140^2)*0.72+(1-0.72)*(C1140^2))</f>
        <v>1.8275069693807215E-3</v>
      </c>
      <c r="O1141">
        <f>_xlfn.NORM.S.INV(0.99)*N1141*SQRT(10)</f>
        <v>1.3444160854576222E-2</v>
      </c>
      <c r="P1141">
        <f>LN(B1150)-LN(B1141)</f>
        <v>-1.1800716103473441E-2</v>
      </c>
      <c r="Q1141">
        <f>IF(P1141&lt;-(O1141),1,0)</f>
        <v>0</v>
      </c>
    </row>
    <row r="1142" spans="1:17">
      <c r="A1142" s="64">
        <v>42948</v>
      </c>
      <c r="B1142">
        <v>2476.3500979999999</v>
      </c>
      <c r="C1142" s="68">
        <f>LN(B1142)-LN(B1141)</f>
        <v>2.4461208441755034E-3</v>
      </c>
      <c r="D1142" s="68"/>
      <c r="E1142" s="68"/>
      <c r="F1142" s="68"/>
      <c r="G1142" s="68"/>
      <c r="H1142" s="68"/>
      <c r="I1142">
        <f>_xlfn.STDEV.S(C1122:C1142)</f>
        <v>3.4818942304265248E-3</v>
      </c>
      <c r="J1142">
        <f>_xlfn.NORM.S.INV(0.99)*I1142*SQRT(10)</f>
        <v>2.5614756549102388E-2</v>
      </c>
      <c r="K1142">
        <f>LN(B1151)-LN(B1142)</f>
        <v>-4.2531855100387261E-3</v>
      </c>
      <c r="L1142">
        <f>IF(K1142&lt;-(J1142),1,0)</f>
        <v>0</v>
      </c>
      <c r="M1142" s="72">
        <f t="shared" si="17"/>
        <v>1.1638227928029595E-2</v>
      </c>
      <c r="N1142">
        <f>SQRT((N1141^2)*0.72+(1-0.72)*(C1141^2))</f>
        <v>1.5978754411060975E-3</v>
      </c>
      <c r="O1142">
        <f>_xlfn.NORM.S.INV(0.99)*N1142*SQRT(10)</f>
        <v>1.1754863218435137E-2</v>
      </c>
      <c r="P1142">
        <f>LN(B1151)-LN(B1142)</f>
        <v>-4.2531855100387261E-3</v>
      </c>
      <c r="Q1142">
        <f>IF(P1142&lt;-(O1142),1,0)</f>
        <v>0</v>
      </c>
    </row>
    <row r="1143" spans="1:17">
      <c r="A1143" s="64">
        <v>42949</v>
      </c>
      <c r="B1143">
        <v>2477.570068</v>
      </c>
      <c r="C1143" s="68">
        <f>LN(B1143)-LN(B1142)</f>
        <v>4.9252712348213379E-4</v>
      </c>
      <c r="D1143" s="68"/>
      <c r="E1143" s="68"/>
      <c r="F1143" s="68"/>
      <c r="G1143" s="68"/>
      <c r="H1143" s="68"/>
      <c r="I1143">
        <f>_xlfn.STDEV.S(C1123:C1143)</f>
        <v>3.4710697118778954E-3</v>
      </c>
      <c r="J1143">
        <f>_xlfn.NORM.S.INV(0.99)*I1143*SQRT(10)</f>
        <v>2.5535125351531393E-2</v>
      </c>
      <c r="K1143">
        <f>LN(B1152)-LN(B1143)</f>
        <v>-5.2446451759333712E-3</v>
      </c>
      <c r="L1143">
        <f>IF(K1143&lt;-(J1143),1,0)</f>
        <v>0</v>
      </c>
      <c r="M1143" s="72">
        <f t="shared" si="17"/>
        <v>1.3714210057057957E-2</v>
      </c>
      <c r="N1143">
        <f>SQRT((N1142^2)*0.72+(1-0.72)*(C1142^2))</f>
        <v>1.8744840030834006E-3</v>
      </c>
      <c r="O1143">
        <f>_xlfn.NORM.S.INV(0.99)*N1143*SQRT(10)</f>
        <v>1.3789750123537357E-2</v>
      </c>
      <c r="P1143">
        <f>LN(B1152)-LN(B1143)</f>
        <v>-5.2446451759333712E-3</v>
      </c>
      <c r="Q1143">
        <f>IF(P1143&lt;-(O1143),1,0)</f>
        <v>0</v>
      </c>
    </row>
    <row r="1144" spans="1:17">
      <c r="A1144" s="64">
        <v>42950</v>
      </c>
      <c r="B1144">
        <v>2472.1599120000001</v>
      </c>
      <c r="C1144" s="68">
        <f>LN(B1144)-LN(B1143)</f>
        <v>-2.1860417341361682E-3</v>
      </c>
      <c r="D1144" s="68"/>
      <c r="E1144" s="68"/>
      <c r="F1144" s="68"/>
      <c r="G1144" s="68"/>
      <c r="H1144" s="68"/>
      <c r="I1144">
        <f>_xlfn.STDEV.S(C1124:C1144)</f>
        <v>3.5345778652694569E-3</v>
      </c>
      <c r="J1144">
        <f>_xlfn.NORM.S.INV(0.99)*I1144*SQRT(10)</f>
        <v>2.6002326759831676E-2</v>
      </c>
      <c r="K1144">
        <f>LN(B1153)-LN(B1144)</f>
        <v>-1.639507918222094E-3</v>
      </c>
      <c r="L1144">
        <f>IF(K1144&lt;-(J1144),1,0)</f>
        <v>0</v>
      </c>
      <c r="M1144" s="72">
        <f t="shared" si="17"/>
        <v>1.1791879428923515E-2</v>
      </c>
      <c r="N1144">
        <f>SQRT((N1143^2)*0.72+(1-0.72)*(C1143^2))</f>
        <v>1.6117630815009924E-3</v>
      </c>
      <c r="O1144">
        <f>_xlfn.NORM.S.INV(0.99)*N1144*SQRT(10)</f>
        <v>1.185702844925926E-2</v>
      </c>
      <c r="P1144">
        <f>LN(B1153)-LN(B1144)</f>
        <v>-1.639507918222094E-3</v>
      </c>
      <c r="Q1144">
        <f>IF(P1144&lt;-(O1144),1,0)</f>
        <v>0</v>
      </c>
    </row>
    <row r="1145" spans="1:17">
      <c r="A1145" s="64">
        <v>42951</v>
      </c>
      <c r="B1145">
        <v>2476.830078</v>
      </c>
      <c r="C1145" s="68">
        <f>LN(B1145)-LN(B1144)</f>
        <v>1.8873214113144243E-3</v>
      </c>
      <c r="D1145" s="68"/>
      <c r="E1145" s="68"/>
      <c r="F1145" s="68"/>
      <c r="G1145" s="68"/>
      <c r="H1145" s="68"/>
      <c r="I1145">
        <f>_xlfn.STDEV.S(C1125:C1145)</f>
        <v>2.6585146230481086E-3</v>
      </c>
      <c r="J1145">
        <f>_xlfn.NORM.S.INV(0.99)*I1145*SQRT(10)</f>
        <v>1.9557516783978882E-2</v>
      </c>
      <c r="K1145">
        <f>LN(B1154)-LN(B1145)</f>
        <v>-1.9084171549347495E-2</v>
      </c>
      <c r="L1145">
        <f>IF(K1145&lt;-(J1145),1,0)</f>
        <v>0</v>
      </c>
      <c r="M1145" s="72">
        <f t="shared" si="17"/>
        <v>1.306319943766634E-2</v>
      </c>
      <c r="N1145">
        <f>SQRT((N1144^2)*0.72+(1-0.72)*(C1144^2))</f>
        <v>1.7912173893719077E-3</v>
      </c>
      <c r="O1145">
        <f>_xlfn.NORM.S.INV(0.99)*N1145*SQRT(10)</f>
        <v>1.3177194457644323E-2</v>
      </c>
      <c r="P1145">
        <f>LN(B1154)-LN(B1145)</f>
        <v>-1.9084171549347495E-2</v>
      </c>
      <c r="Q1145" s="74">
        <f>IF(P1145&lt;-(O1145),1,0)</f>
        <v>1</v>
      </c>
    </row>
    <row r="1146" spans="1:17">
      <c r="A1146" s="64">
        <v>42954</v>
      </c>
      <c r="B1146">
        <v>2480.9099120000001</v>
      </c>
      <c r="C1146" s="68">
        <f>LN(B1146)-LN(B1145)</f>
        <v>1.64584465066131E-3</v>
      </c>
      <c r="D1146" s="68"/>
      <c r="E1146" s="68"/>
      <c r="F1146" s="68"/>
      <c r="G1146" s="68"/>
      <c r="H1146" s="68"/>
      <c r="I1146">
        <f>_xlfn.STDEV.S(C1126:C1146)</f>
        <v>2.3941782287237126E-3</v>
      </c>
      <c r="J1146">
        <f>_xlfn.NORM.S.INV(0.99)*I1146*SQRT(10)</f>
        <v>1.7612910790919322E-2</v>
      </c>
      <c r="K1146">
        <f>LN(B1155)-LN(B1146)</f>
        <v>-2.2567069886950897E-2</v>
      </c>
      <c r="L1146" s="74">
        <f>IF(K1146&lt;-(J1146),1,0)</f>
        <v>1</v>
      </c>
      <c r="M1146" s="72">
        <f t="shared" si="17"/>
        <v>1.3265612166324657E-2</v>
      </c>
      <c r="N1146">
        <f>SQRT((N1145^2)*0.72+(1-0.72)*(C1145^2))</f>
        <v>1.8186385019022411E-3</v>
      </c>
      <c r="O1146">
        <f>_xlfn.NORM.S.INV(0.99)*N1146*SQRT(10)</f>
        <v>1.3378919459981339E-2</v>
      </c>
      <c r="P1146">
        <f>LN(B1155)-LN(B1146)</f>
        <v>-2.2567069886950897E-2</v>
      </c>
      <c r="Q1146" s="74">
        <f>IF(P1146&lt;-(O1146),1,0)</f>
        <v>1</v>
      </c>
    </row>
    <row r="1147" spans="1:17">
      <c r="A1147" s="64">
        <v>42955</v>
      </c>
      <c r="B1147">
        <v>2474.919922</v>
      </c>
      <c r="C1147" s="68">
        <f>LN(B1147)-LN(B1146)</f>
        <v>-2.4173521357919725E-3</v>
      </c>
      <c r="D1147" s="68"/>
      <c r="E1147" s="68"/>
      <c r="F1147" s="68"/>
      <c r="G1147" s="68"/>
      <c r="H1147" s="68"/>
      <c r="I1147">
        <f>_xlfn.STDEV.S(C1127:C1147)</f>
        <v>2.5132636098906323E-3</v>
      </c>
      <c r="J1147">
        <f>_xlfn.NORM.S.INV(0.99)*I1147*SQRT(10)</f>
        <v>1.8488969293929635E-2</v>
      </c>
      <c r="K1147">
        <f>LN(B1156)-LN(B1147)</f>
        <v>-1.8987742184664924E-2</v>
      </c>
      <c r="L1147" s="74">
        <f>IF(K1147&lt;-(J1147),1,0)</f>
        <v>1</v>
      </c>
      <c r="M1147" s="72">
        <f t="shared" si="17"/>
        <v>1.2951144004321215E-2</v>
      </c>
      <c r="N1147">
        <f>SQRT((N1146^2)*0.72+(1-0.72)*(C1146^2))</f>
        <v>1.7719555334104211E-3</v>
      </c>
      <c r="O1147">
        <f>_xlfn.NORM.S.INV(0.99)*N1147*SQRT(10)</f>
        <v>1.3035493498773748E-2</v>
      </c>
      <c r="P1147">
        <f>LN(B1156)-LN(B1147)</f>
        <v>-1.8987742184664924E-2</v>
      </c>
      <c r="Q1147" s="74">
        <f>IF(P1147&lt;-(O1147),1,0)</f>
        <v>1</v>
      </c>
    </row>
    <row r="1148" spans="1:17">
      <c r="A1148" s="64">
        <v>42956</v>
      </c>
      <c r="B1148">
        <v>2474.0200199999999</v>
      </c>
      <c r="C1148" s="68">
        <f>LN(B1148)-LN(B1147)</f>
        <v>-3.6367465375075625E-4</v>
      </c>
      <c r="D1148" s="68"/>
      <c r="E1148" s="68"/>
      <c r="F1148" s="68"/>
      <c r="G1148" s="68"/>
      <c r="H1148" s="68"/>
      <c r="I1148">
        <f>_xlfn.STDEV.S(C1128:C1148)</f>
        <v>2.5006695693739283E-3</v>
      </c>
      <c r="J1148">
        <f>_xlfn.NORM.S.INV(0.99)*I1148*SQRT(10)</f>
        <v>1.8396320505524196E-2</v>
      </c>
      <c r="K1148">
        <f>LN(B1157)-LN(B1148)</f>
        <v>-8.7323720975112096E-3</v>
      </c>
      <c r="L1148">
        <f>IF(K1148&lt;-(J1148),1,0)</f>
        <v>0</v>
      </c>
      <c r="M1148" s="72">
        <f t="shared" si="17"/>
        <v>1.4467336700141716E-2</v>
      </c>
      <c r="N1148">
        <f>SQRT((N1147^2)*0.72+(1-0.72)*(C1147^2))</f>
        <v>1.9740518216281419E-3</v>
      </c>
      <c r="O1148">
        <f>_xlfn.NORM.S.INV(0.99)*N1148*SQRT(10)</f>
        <v>1.4522226546819273E-2</v>
      </c>
      <c r="P1148">
        <f>LN(B1157)-LN(B1148)</f>
        <v>-8.7323720975112096E-3</v>
      </c>
      <c r="Q1148">
        <f>IF(P1148&lt;-(O1148),1,0)</f>
        <v>0</v>
      </c>
    </row>
    <row r="1149" spans="1:17">
      <c r="A1149" s="64">
        <v>42957</v>
      </c>
      <c r="B1149">
        <v>2438.209961</v>
      </c>
      <c r="C1149" s="68">
        <f>LN(B1149)-LN(B1148)</f>
        <v>-1.4580218564576697E-2</v>
      </c>
      <c r="D1149" s="68"/>
      <c r="E1149" s="68"/>
      <c r="F1149" s="68"/>
      <c r="G1149" s="68"/>
      <c r="H1149" s="68"/>
      <c r="I1149">
        <f>_xlfn.STDEV.S(C1129:C1149)</f>
        <v>3.8930702566362481E-3</v>
      </c>
      <c r="J1149">
        <f>_xlfn.NORM.S.INV(0.99)*I1149*SQRT(10)</f>
        <v>2.8639596797882493E-2</v>
      </c>
      <c r="K1149">
        <f>LN(B1158)-LN(B1149)</f>
        <v>2.3882762132885205E-3</v>
      </c>
      <c r="L1149">
        <f>IF(K1149&lt;-(J1149),1,0)</f>
        <v>0</v>
      </c>
      <c r="M1149" s="72">
        <f t="shared" si="17"/>
        <v>1.2311682397516312E-2</v>
      </c>
      <c r="N1149">
        <f>SQRT((N1148^2)*0.72+(1-0.72)*(C1148^2))</f>
        <v>1.6860565290284432E-3</v>
      </c>
      <c r="O1149">
        <f>_xlfn.NORM.S.INV(0.99)*N1149*SQRT(10)</f>
        <v>1.2403572498466653E-2</v>
      </c>
      <c r="P1149">
        <f>LN(B1158)-LN(B1149)</f>
        <v>2.3882762132885205E-3</v>
      </c>
      <c r="Q1149">
        <f>IF(P1149&lt;-(O1149),1,0)</f>
        <v>0</v>
      </c>
    </row>
    <row r="1150" spans="1:17">
      <c r="A1150" s="64">
        <v>42958</v>
      </c>
      <c r="B1150">
        <v>2441.320068</v>
      </c>
      <c r="C1150" s="68">
        <f>LN(B1150)-LN(B1149)</f>
        <v>1.2747569551487814E-3</v>
      </c>
      <c r="D1150" s="68"/>
      <c r="E1150" s="68"/>
      <c r="F1150" s="68"/>
      <c r="G1150" s="68"/>
      <c r="H1150" s="68"/>
      <c r="I1150">
        <f>_xlfn.STDEV.S(C1130:C1150)</f>
        <v>3.8800952530715482E-3</v>
      </c>
      <c r="J1150">
        <f>_xlfn.NORM.S.INV(0.99)*I1150*SQRT(10)</f>
        <v>2.8544145432752195E-2</v>
      </c>
      <c r="K1150">
        <f>LN(B1159)-LN(B1150)</f>
        <v>-9.6309734170496597E-4</v>
      </c>
      <c r="L1150">
        <f>IF(K1150&lt;-(J1150),1,0)</f>
        <v>0</v>
      </c>
      <c r="M1150" s="72">
        <f t="shared" si="17"/>
        <v>5.7709555484269745E-2</v>
      </c>
      <c r="N1150">
        <f>SQRT((N1149^2)*0.72+(1-0.72)*(C1149^2))</f>
        <v>7.8466542497531225E-3</v>
      </c>
      <c r="O1150">
        <f>_xlfn.NORM.S.INV(0.99)*N1150*SQRT(10)</f>
        <v>5.7724366402647727E-2</v>
      </c>
      <c r="P1150">
        <f>LN(B1159)-LN(B1150)</f>
        <v>-9.6309734170496597E-4</v>
      </c>
      <c r="Q1150">
        <f>IF(P1150&lt;-(O1150),1,0)</f>
        <v>0</v>
      </c>
    </row>
    <row r="1151" spans="1:17">
      <c r="A1151" s="64">
        <v>42961</v>
      </c>
      <c r="B1151">
        <v>2465.8400879999999</v>
      </c>
      <c r="C1151" s="68">
        <f>LN(B1151)-LN(B1150)</f>
        <v>9.9936514376102181E-3</v>
      </c>
      <c r="D1151" s="68"/>
      <c r="E1151" s="68"/>
      <c r="F1151" s="68"/>
      <c r="G1151" s="68"/>
      <c r="H1151" s="68"/>
      <c r="I1151">
        <f>_xlfn.STDEV.S(C1131:C1151)</f>
        <v>4.3545068920682302E-3</v>
      </c>
      <c r="J1151">
        <f>_xlfn.NORM.S.INV(0.99)*I1151*SQRT(10)</f>
        <v>3.2034182129091496E-2</v>
      </c>
      <c r="K1151">
        <f>LN(B1160)-LN(B1151)</f>
        <v>-9.2852771617462082E-3</v>
      </c>
      <c r="L1151">
        <f>IF(K1151&lt;-(J1151),1,0)</f>
        <v>0</v>
      </c>
      <c r="M1151" s="72">
        <f t="shared" si="17"/>
        <v>4.9214278937593031E-2</v>
      </c>
      <c r="N1151">
        <f>SQRT((N1150^2)*0.72+(1-0.72)*(C1150^2))</f>
        <v>6.6921886689959324E-3</v>
      </c>
      <c r="O1151">
        <f>_xlfn.NORM.S.INV(0.99)*N1151*SQRT(10)</f>
        <v>4.9231473500558884E-2</v>
      </c>
      <c r="P1151">
        <f>LN(B1160)-LN(B1151)</f>
        <v>-9.2852771617462082E-3</v>
      </c>
      <c r="Q1151">
        <f>IF(P1151&lt;-(O1151),1,0)</f>
        <v>0</v>
      </c>
    </row>
    <row r="1152" spans="1:17">
      <c r="A1152" s="64">
        <v>42962</v>
      </c>
      <c r="B1152">
        <v>2464.610107</v>
      </c>
      <c r="C1152" s="68">
        <f>LN(B1152)-LN(B1151)</f>
        <v>-4.9893254241251128E-4</v>
      </c>
      <c r="D1152" s="68"/>
      <c r="E1152" s="68"/>
      <c r="F1152" s="68"/>
      <c r="G1152" s="68"/>
      <c r="H1152" s="68"/>
      <c r="I1152">
        <f>_xlfn.STDEV.S(C1132:C1152)</f>
        <v>4.3565157921744155E-3</v>
      </c>
      <c r="J1152">
        <f>_xlfn.NORM.S.INV(0.99)*I1152*SQRT(10)</f>
        <v>3.2048960719061791E-2</v>
      </c>
      <c r="K1152">
        <f>LN(B1161)-LN(B1152)</f>
        <v>-8.2993913122786367E-3</v>
      </c>
      <c r="L1152">
        <f>IF(K1152&lt;-(J1152),1,0)</f>
        <v>0</v>
      </c>
      <c r="M1152" s="72">
        <f t="shared" si="17"/>
        <v>5.707258132385868E-2</v>
      </c>
      <c r="N1152">
        <f>SQRT((N1151^2)*0.72+(1-0.72)*(C1151^2))</f>
        <v>7.7595063983761682E-3</v>
      </c>
      <c r="O1152">
        <f>_xlfn.NORM.S.INV(0.99)*N1152*SQRT(10)</f>
        <v>5.7083258187099035E-2</v>
      </c>
      <c r="P1152">
        <f>LN(B1161)-LN(B1152)</f>
        <v>-8.2993913122786367E-3</v>
      </c>
      <c r="Q1152">
        <f>IF(P1152&lt;-(O1152),1,0)</f>
        <v>0</v>
      </c>
    </row>
    <row r="1153" spans="1:17">
      <c r="A1153" s="64">
        <v>42963</v>
      </c>
      <c r="B1153">
        <v>2468.110107</v>
      </c>
      <c r="C1153" s="68">
        <f>LN(B1153)-LN(B1152)</f>
        <v>1.419095523575109E-3</v>
      </c>
      <c r="D1153" s="68"/>
      <c r="E1153" s="68"/>
      <c r="F1153" s="68"/>
      <c r="G1153" s="68"/>
      <c r="H1153" s="68"/>
      <c r="I1153">
        <f>_xlfn.STDEV.S(C1133:C1153)</f>
        <v>4.3648324969365326E-3</v>
      </c>
      <c r="J1153">
        <f>_xlfn.NORM.S.INV(0.99)*I1153*SQRT(10)</f>
        <v>3.2110143039280142E-2</v>
      </c>
      <c r="K1153">
        <f>LN(B1162)-LN(B1153)</f>
        <v>-8.8760199076967083E-3</v>
      </c>
      <c r="L1153">
        <f>IF(K1153&lt;-(J1153),1,0)</f>
        <v>0</v>
      </c>
      <c r="M1153" s="72">
        <f t="shared" si="17"/>
        <v>4.846654359996444E-2</v>
      </c>
      <c r="N1153">
        <f>SQRT((N1152^2)*0.72+(1-0.72)*(C1152^2))</f>
        <v>6.5894505009418802E-3</v>
      </c>
      <c r="O1153">
        <f>_xlfn.NORM.S.INV(0.99)*N1153*SQRT(10)</f>
        <v>4.8475674217510888E-2</v>
      </c>
      <c r="P1153">
        <f>LN(B1162)-LN(B1153)</f>
        <v>-8.8760199076967083E-3</v>
      </c>
      <c r="Q1153">
        <f>IF(P1153&lt;-(O1153),1,0)</f>
        <v>0</v>
      </c>
    </row>
    <row r="1154" spans="1:17">
      <c r="A1154" s="64">
        <v>42964</v>
      </c>
      <c r="B1154">
        <v>2430.01001</v>
      </c>
      <c r="C1154" s="68">
        <f>LN(B1154)-LN(B1153)</f>
        <v>-1.5557342219810977E-2</v>
      </c>
      <c r="D1154" s="68"/>
      <c r="E1154" s="68"/>
      <c r="F1154" s="68"/>
      <c r="G1154" s="68"/>
      <c r="H1154" s="68"/>
      <c r="I1154">
        <f>_xlfn.STDEV.S(C1134:C1154)</f>
        <v>5.3832424863235421E-3</v>
      </c>
      <c r="J1154">
        <f>_xlfn.NORM.S.INV(0.99)*I1154*SQRT(10)</f>
        <v>3.9602135104221947E-2</v>
      </c>
      <c r="K1154">
        <f>LN(B1163)-LN(B1154)</f>
        <v>1.1285854074420953E-2</v>
      </c>
      <c r="L1154">
        <f>IF(K1154&lt;-(J1154),1,0)</f>
        <v>0</v>
      </c>
      <c r="M1154" s="72">
        <f t="shared" si="17"/>
        <v>4.1487234154212183E-2</v>
      </c>
      <c r="N1154">
        <f>SQRT((N1153^2)*0.72+(1-0.72)*(C1153^2))</f>
        <v>5.6415326535038468E-3</v>
      </c>
      <c r="O1154">
        <f>_xlfn.NORM.S.INV(0.99)*N1154*SQRT(10)</f>
        <v>4.1502261677147746E-2</v>
      </c>
      <c r="P1154">
        <f>LN(B1163)-LN(B1154)</f>
        <v>1.1285854074420953E-2</v>
      </c>
      <c r="Q1154">
        <f>IF(P1154&lt;-(O1154),1,0)</f>
        <v>0</v>
      </c>
    </row>
    <row r="1155" spans="1:17">
      <c r="A1155" s="64">
        <v>42965</v>
      </c>
      <c r="B1155">
        <v>2425.5500489999999</v>
      </c>
      <c r="C1155" s="68">
        <f>LN(B1155)-LN(B1154)</f>
        <v>-1.8370536869420917E-3</v>
      </c>
      <c r="D1155" s="68"/>
      <c r="E1155" s="68"/>
      <c r="F1155" s="68"/>
      <c r="G1155" s="68"/>
      <c r="H1155" s="68"/>
      <c r="I1155">
        <f>_xlfn.STDEV.S(C1135:C1155)</f>
        <v>5.3848718256848021E-3</v>
      </c>
      <c r="J1155">
        <f>_xlfn.NORM.S.INV(0.99)*I1155*SQRT(10)</f>
        <v>3.961412143359113E-2</v>
      </c>
      <c r="K1155">
        <f>LN(B1164)-LN(B1155)</f>
        <v>1.8827581162494944E-2</v>
      </c>
      <c r="L1155">
        <f>IF(K1155&lt;-(J1155),1,0)</f>
        <v>0</v>
      </c>
      <c r="M1155" s="72">
        <f t="shared" si="17"/>
        <v>7.004873008195682E-2</v>
      </c>
      <c r="N1155">
        <f>SQRT((N1154^2)*0.72+(1-0.72)*(C1154^2))</f>
        <v>9.5228153628222675E-3</v>
      </c>
      <c r="O1155">
        <f>_xlfn.NORM.S.INV(0.99)*N1155*SQRT(10)</f>
        <v>7.0055142700547857E-2</v>
      </c>
      <c r="P1155">
        <f>LN(B1164)-LN(B1155)</f>
        <v>1.8827581162494944E-2</v>
      </c>
      <c r="Q1155">
        <f>IF(P1155&lt;-(O1155),1,0)</f>
        <v>0</v>
      </c>
    </row>
    <row r="1156" spans="1:17">
      <c r="A1156" s="64">
        <v>42968</v>
      </c>
      <c r="B1156">
        <v>2428.3701169999999</v>
      </c>
      <c r="C1156" s="68">
        <f>LN(B1156)-LN(B1155)</f>
        <v>1.1619755664940001E-3</v>
      </c>
      <c r="D1156" s="68"/>
      <c r="E1156" s="68"/>
      <c r="F1156" s="68"/>
      <c r="G1156" s="68"/>
      <c r="H1156" s="68"/>
      <c r="I1156">
        <f>_xlfn.STDEV.S(C1136:C1156)</f>
        <v>5.4031917018799646E-3</v>
      </c>
      <c r="J1156">
        <f>_xlfn.NORM.S.INV(0.99)*I1156*SQRT(10)</f>
        <v>3.9748892663758945E-2</v>
      </c>
      <c r="K1156">
        <f>LN(B1165)-LN(B1156)</f>
        <v>1.9646183846814047E-2</v>
      </c>
      <c r="L1156">
        <f>IF(K1156&lt;-(J1156),1,0)</f>
        <v>0</v>
      </c>
      <c r="M1156" s="72">
        <f t="shared" si="17"/>
        <v>5.9866933166667649E-2</v>
      </c>
      <c r="N1156">
        <f>SQRT((N1155^2)*0.72+(1-0.72)*(C1155^2))</f>
        <v>8.1386376932757517E-3</v>
      </c>
      <c r="O1156">
        <f>_xlfn.NORM.S.INV(0.99)*N1156*SQRT(10)</f>
        <v>5.9872359514226127E-2</v>
      </c>
      <c r="P1156">
        <f>LN(B1165)-LN(B1156)</f>
        <v>1.9646183846814047E-2</v>
      </c>
      <c r="Q1156">
        <f>IF(P1156&lt;-(O1156),1,0)</f>
        <v>0</v>
      </c>
    </row>
    <row r="1157" spans="1:17">
      <c r="A1157" s="64">
        <v>42969</v>
      </c>
      <c r="B1157">
        <v>2452.51001</v>
      </c>
      <c r="C1157" s="68">
        <f>LN(B1157)-LN(B1156)</f>
        <v>9.8916954334029583E-3</v>
      </c>
      <c r="D1157" s="68"/>
      <c r="E1157" s="68"/>
      <c r="F1157" s="68"/>
      <c r="G1157" s="68"/>
      <c r="H1157" s="68"/>
      <c r="I1157">
        <f>_xlfn.STDEV.S(C1137:C1157)</f>
        <v>5.8893765298147866E-3</v>
      </c>
      <c r="J1157">
        <f>_xlfn.NORM.S.INV(0.99)*I1157*SQRT(10)</f>
        <v>4.3325539506328933E-2</v>
      </c>
      <c r="K1157">
        <f>LN(B1166)-LN(B1157)</f>
        <v>2.1750299317231381E-3</v>
      </c>
      <c r="L1157">
        <f>IF(K1157&lt;-(J1157),1,0)</f>
        <v>0</v>
      </c>
      <c r="M1157" s="72">
        <f t="shared" si="17"/>
        <v>5.0999524634168902E-2</v>
      </c>
      <c r="N1157">
        <f>SQRT((N1156^2)*0.72+(1-0.72)*(C1156^2))</f>
        <v>6.9331808964234092E-3</v>
      </c>
      <c r="O1157">
        <f>_xlfn.NORM.S.INV(0.99)*N1157*SQRT(10)</f>
        <v>5.1004346777937144E-2</v>
      </c>
      <c r="P1157">
        <f>LN(B1166)-LN(B1157)</f>
        <v>2.1750299317231381E-3</v>
      </c>
      <c r="Q1157">
        <f>IF(P1157&lt;-(O1157),1,0)</f>
        <v>0</v>
      </c>
    </row>
    <row r="1158" spans="1:17">
      <c r="A1158" s="64">
        <v>42970</v>
      </c>
      <c r="B1158">
        <v>2444.040039</v>
      </c>
      <c r="C1158" s="68">
        <f>LN(B1158)-LN(B1157)</f>
        <v>-3.4595702537769668E-3</v>
      </c>
      <c r="D1158" s="68"/>
      <c r="E1158" s="68"/>
      <c r="F1158" s="68"/>
      <c r="G1158" s="68"/>
      <c r="H1158" s="68"/>
      <c r="I1158">
        <f>_xlfn.STDEV.S(C1138:C1158)</f>
        <v>5.8775492062751299E-3</v>
      </c>
      <c r="J1158">
        <f>_xlfn.NORM.S.INV(0.99)*I1158*SQRT(10)</f>
        <v>4.323853111576715E-2</v>
      </c>
      <c r="K1158">
        <f>LN(B1167)-LN(B1158)</f>
        <v>8.758442513436826E-3</v>
      </c>
      <c r="L1158">
        <f>IF(K1158&lt;-(J1158),1,0)</f>
        <v>0</v>
      </c>
      <c r="M1158" s="72">
        <f t="shared" si="17"/>
        <v>5.7923992168008594E-2</v>
      </c>
      <c r="N1158">
        <f>SQRT((N1157^2)*0.72+(1-0.72)*(C1157^2))</f>
        <v>7.8744178756171776E-3</v>
      </c>
      <c r="O1158">
        <f>_xlfn.NORM.S.INV(0.99)*N1158*SQRT(10)</f>
        <v>5.7928611124159854E-2</v>
      </c>
      <c r="P1158">
        <f>LN(B1167)-LN(B1158)</f>
        <v>8.758442513436826E-3</v>
      </c>
      <c r="Q1158">
        <f>IF(P1158&lt;-(O1158),1,0)</f>
        <v>0</v>
      </c>
    </row>
    <row r="1159" spans="1:17">
      <c r="A1159" s="64">
        <v>42971</v>
      </c>
      <c r="B1159">
        <v>2438.969971</v>
      </c>
      <c r="C1159" s="68">
        <f>LN(B1159)-LN(B1158)</f>
        <v>-2.076616599844705E-3</v>
      </c>
      <c r="D1159" s="68"/>
      <c r="E1159" s="68"/>
      <c r="F1159" s="68"/>
      <c r="G1159" s="68"/>
      <c r="H1159" s="68"/>
      <c r="I1159">
        <f>_xlfn.STDEV.S(C1139:C1159)</f>
        <v>5.881570554793665E-3</v>
      </c>
      <c r="J1159">
        <f>_xlfn.NORM.S.INV(0.99)*I1159*SQRT(10)</f>
        <v>4.3268114399027523E-2</v>
      </c>
      <c r="K1159">
        <f>LN(B1168)-LN(B1159)</f>
        <v>1.0656607233223703E-2</v>
      </c>
      <c r="L1159">
        <f>IF(K1159&lt;-(J1159),1,0)</f>
        <v>0</v>
      </c>
      <c r="M1159" s="72">
        <f t="shared" si="17"/>
        <v>5.0961735911782075E-2</v>
      </c>
      <c r="N1159">
        <f>SQRT((N1158^2)*0.72+(1-0.72)*(C1158^2))</f>
        <v>6.9279047574943957E-3</v>
      </c>
      <c r="O1159">
        <f>_xlfn.NORM.S.INV(0.99)*N1159*SQRT(10)</f>
        <v>5.0965532556354838E-2</v>
      </c>
      <c r="P1159">
        <f>LN(B1168)-LN(B1159)</f>
        <v>1.0656607233223703E-2</v>
      </c>
      <c r="Q1159">
        <f>IF(P1159&lt;-(O1159),1,0)</f>
        <v>0</v>
      </c>
    </row>
    <row r="1160" spans="1:17">
      <c r="A1160" s="64">
        <v>42972</v>
      </c>
      <c r="B1160">
        <v>2443.0500489999999</v>
      </c>
      <c r="C1160" s="68">
        <f>LN(B1160)-LN(B1159)</f>
        <v>1.6714716175689759E-3</v>
      </c>
      <c r="D1160" s="68"/>
      <c r="E1160" s="68"/>
      <c r="F1160" s="68"/>
      <c r="G1160" s="68"/>
      <c r="H1160" s="68"/>
      <c r="I1160">
        <f>_xlfn.STDEV.S(C1140:C1160)</f>
        <v>5.9048817668068253E-3</v>
      </c>
      <c r="J1160">
        <f>_xlfn.NORM.S.INV(0.99)*I1160*SQRT(10)</f>
        <v>4.3439604680197974E-2</v>
      </c>
      <c r="K1160">
        <f>LN(B1169)-LN(B1160)</f>
        <v>7.4951754787528913E-3</v>
      </c>
      <c r="L1160">
        <f>IF(K1160&lt;-(J1160),1,0)</f>
        <v>0</v>
      </c>
      <c r="M1160" s="72">
        <f t="shared" si="17"/>
        <v>4.3991328372128671E-2</v>
      </c>
      <c r="N1160">
        <f>SQRT((N1159^2)*0.72+(1-0.72)*(C1159^2))</f>
        <v>5.9803408379111526E-3</v>
      </c>
      <c r="O1160">
        <f>_xlfn.NORM.S.INV(0.99)*N1160*SQRT(10)</f>
        <v>4.3994723706752087E-2</v>
      </c>
      <c r="P1160">
        <f>LN(B1169)-LN(B1160)</f>
        <v>7.4951754787528913E-3</v>
      </c>
      <c r="Q1160">
        <f>IF(P1160&lt;-(O1160),1,0)</f>
        <v>0</v>
      </c>
    </row>
    <row r="1161" spans="1:17">
      <c r="A1161" s="64">
        <v>42975</v>
      </c>
      <c r="B1161">
        <v>2444.23999</v>
      </c>
      <c r="C1161" s="68">
        <f>LN(B1161)-LN(B1160)</f>
        <v>4.8695330705506024E-4</v>
      </c>
      <c r="D1161" s="68"/>
      <c r="E1161" s="68"/>
      <c r="F1161" s="68"/>
      <c r="G1161" s="68"/>
      <c r="H1161" s="68"/>
      <c r="I1161">
        <f>_xlfn.STDEV.S(C1141:C1161)</f>
        <v>5.9072929053760291E-3</v>
      </c>
      <c r="J1161">
        <f>_xlfn.NORM.S.INV(0.99)*I1161*SQRT(10)</f>
        <v>4.3457342360715835E-2</v>
      </c>
      <c r="K1161">
        <f>LN(B1170)-LN(B1161)</f>
        <v>1.7789197053286188E-2</v>
      </c>
      <c r="L1161">
        <f>IF(K1161&lt;-(J1161),1,0)</f>
        <v>0</v>
      </c>
      <c r="M1161" s="72">
        <f t="shared" si="17"/>
        <v>3.7890208909853167E-2</v>
      </c>
      <c r="N1161">
        <f>SQRT((N1160^2)*0.72+(1-0.72)*(C1160^2))</f>
        <v>5.1509894166264876E-3</v>
      </c>
      <c r="O1161">
        <f>_xlfn.NORM.S.INV(0.99)*N1161*SQRT(10)</f>
        <v>3.7893551946788416E-2</v>
      </c>
      <c r="P1161">
        <f>LN(B1170)-LN(B1161)</f>
        <v>1.7789197053286188E-2</v>
      </c>
      <c r="Q1161">
        <f>IF(P1161&lt;-(O1161),1,0)</f>
        <v>0</v>
      </c>
    </row>
    <row r="1162" spans="1:17">
      <c r="A1162" s="64">
        <v>42976</v>
      </c>
      <c r="B1162">
        <v>2446.3000489999999</v>
      </c>
      <c r="C1162" s="68">
        <f>LN(B1162)-LN(B1161)</f>
        <v>8.4246692815703739E-4</v>
      </c>
      <c r="D1162" s="68"/>
      <c r="E1162" s="68"/>
      <c r="F1162" s="68"/>
      <c r="G1162" s="68"/>
      <c r="H1162" s="68"/>
      <c r="I1162">
        <f>_xlfn.STDEV.S(C1142:C1162)</f>
        <v>5.9147251432369197E-3</v>
      </c>
      <c r="J1162">
        <f>_xlfn.NORM.S.INV(0.99)*I1162*SQRT(10)</f>
        <v>4.3512018048954194E-2</v>
      </c>
      <c r="K1162">
        <f>LN(B1171)-LN(B1162)</f>
        <v>2.0305032701804393E-2</v>
      </c>
      <c r="L1162">
        <f>IF(K1162&lt;-(J1162),1,0)</f>
        <v>0</v>
      </c>
      <c r="M1162" s="72">
        <f t="shared" si="17"/>
        <v>3.220656525887685E-2</v>
      </c>
      <c r="N1162">
        <f>SQRT((N1161^2)*0.72+(1-0.72)*(C1161^2))</f>
        <v>4.378348182254712E-3</v>
      </c>
      <c r="O1162">
        <f>_xlfn.NORM.S.INV(0.99)*N1162*SQRT(10)</f>
        <v>3.2209571961041794E-2</v>
      </c>
      <c r="P1162">
        <f>LN(B1171)-LN(B1162)</f>
        <v>2.0305032701804393E-2</v>
      </c>
      <c r="Q1162">
        <f>IF(P1162&lt;-(O1162),1,0)</f>
        <v>0</v>
      </c>
    </row>
    <row r="1163" spans="1:17">
      <c r="A1163" s="64">
        <v>42977</v>
      </c>
      <c r="B1163">
        <v>2457.5900879999999</v>
      </c>
      <c r="C1163" s="68">
        <f>LN(B1163)-LN(B1162)</f>
        <v>4.604531762306685E-3</v>
      </c>
      <c r="D1163" s="68"/>
      <c r="E1163" s="68"/>
      <c r="F1163" s="68"/>
      <c r="G1163" s="68"/>
      <c r="H1163" s="68"/>
      <c r="I1163">
        <f>_xlfn.STDEV.S(C1143:C1163)</f>
        <v>5.9861620685747385E-3</v>
      </c>
      <c r="J1163">
        <f>_xlfn.NORM.S.INV(0.99)*I1163*SQRT(10)</f>
        <v>4.4037547927247046E-2</v>
      </c>
      <c r="K1163">
        <f>LN(B1172)-LN(B1163)</f>
        <v>1.6457335300295917E-2</v>
      </c>
      <c r="L1163">
        <f>IF(K1163&lt;-(J1163),1,0)</f>
        <v>0</v>
      </c>
      <c r="M1163" s="72">
        <f t="shared" si="17"/>
        <v>2.7521940778495426E-2</v>
      </c>
      <c r="N1163">
        <f>SQRT((N1162^2)*0.72+(1-0.72)*(C1162^2))</f>
        <v>3.7418019411306364E-3</v>
      </c>
      <c r="O1163">
        <f>_xlfn.NORM.S.INV(0.99)*N1163*SQRT(10)</f>
        <v>2.7526782674636024E-2</v>
      </c>
      <c r="P1163">
        <f>LN(B1172)-LN(B1163)</f>
        <v>1.6457335300295917E-2</v>
      </c>
      <c r="Q1163">
        <f>IF(P1163&lt;-(O1163),1,0)</f>
        <v>0</v>
      </c>
    </row>
    <row r="1164" spans="1:17">
      <c r="A1164" s="64">
        <v>42978</v>
      </c>
      <c r="B1164">
        <v>2471.6499020000001</v>
      </c>
      <c r="C1164" s="68">
        <f>LN(B1164)-LN(B1163)</f>
        <v>5.7046734011318989E-3</v>
      </c>
      <c r="D1164" s="68"/>
      <c r="E1164" s="68"/>
      <c r="F1164" s="68"/>
      <c r="G1164" s="68"/>
      <c r="H1164" s="68"/>
      <c r="I1164">
        <f>_xlfn.STDEV.S(C1144:C1164)</f>
        <v>6.1297008111717488E-3</v>
      </c>
      <c r="J1164">
        <f>_xlfn.NORM.S.INV(0.99)*I1164*SQRT(10)</f>
        <v>4.5093498999757453E-2</v>
      </c>
      <c r="K1164">
        <f>LN(B1173)-LN(B1164)</f>
        <v>9.651338048253244E-3</v>
      </c>
      <c r="L1164">
        <f>IF(K1164&lt;-(J1164),1,0)</f>
        <v>0</v>
      </c>
      <c r="M1164" s="72">
        <f t="shared" si="17"/>
        <v>2.9438750927828067E-2</v>
      </c>
      <c r="N1164">
        <f>SQRT((N1163^2)*0.72+(1-0.72)*(C1163^2))</f>
        <v>4.0021567238193948E-3</v>
      </c>
      <c r="O1164">
        <f>_xlfn.NORM.S.INV(0.99)*N1164*SQRT(10)</f>
        <v>2.9442097711115479E-2</v>
      </c>
      <c r="P1164">
        <f>LN(B1173)-LN(B1164)</f>
        <v>9.651338048253244E-3</v>
      </c>
      <c r="Q1164">
        <f>IF(P1164&lt;-(O1164),1,0)</f>
        <v>0</v>
      </c>
    </row>
    <row r="1165" spans="1:17">
      <c r="A1165" s="64">
        <v>42979</v>
      </c>
      <c r="B1165">
        <v>2476.5500489999999</v>
      </c>
      <c r="C1165" s="68">
        <f>LN(B1165)-LN(B1164)</f>
        <v>1.9805782508131031E-3</v>
      </c>
      <c r="D1165" s="68"/>
      <c r="E1165" s="68"/>
      <c r="F1165" s="68"/>
      <c r="G1165" s="68"/>
      <c r="H1165" s="68"/>
      <c r="I1165">
        <f>_xlfn.STDEV.S(C1145:C1165)</f>
        <v>6.1267087073580816E-3</v>
      </c>
      <c r="J1165">
        <f>_xlfn.NORM.S.INV(0.99)*I1165*SQRT(10)</f>
        <v>4.5071487414773917E-2</v>
      </c>
      <c r="K1165">
        <f>LN(B1174)-LN(B1165)</f>
        <v>9.5162372312485033E-3</v>
      </c>
      <c r="L1165">
        <f>IF(K1165&lt;-(J1165),1,0)</f>
        <v>0</v>
      </c>
      <c r="M1165" s="72">
        <f t="shared" si="17"/>
        <v>3.3421816959205909E-2</v>
      </c>
      <c r="N1165">
        <f>SQRT((N1164^2)*0.72+(1-0.72)*(C1164^2))</f>
        <v>4.5436273713908484E-3</v>
      </c>
      <c r="O1165">
        <f>_xlfn.NORM.S.INV(0.99)*N1165*SQRT(10)</f>
        <v>3.3425457887546972E-2</v>
      </c>
      <c r="P1165">
        <f>LN(B1174)-LN(B1165)</f>
        <v>9.5162372312485033E-3</v>
      </c>
      <c r="Q1165">
        <f>IF(P1165&lt;-(O1165),1,0)</f>
        <v>0</v>
      </c>
    </row>
    <row r="1166" spans="1:17">
      <c r="A1166" s="64">
        <v>42983</v>
      </c>
      <c r="B1166">
        <v>2457.8500979999999</v>
      </c>
      <c r="C1166" s="68">
        <f>LN(B1166)-LN(B1165)</f>
        <v>-7.5794584816879507E-3</v>
      </c>
      <c r="D1166" s="68"/>
      <c r="E1166" s="68"/>
      <c r="F1166" s="68"/>
      <c r="G1166" s="68"/>
      <c r="H1166" s="68"/>
      <c r="I1166">
        <f>_xlfn.STDEV.S(C1146:C1166)</f>
        <v>6.3322565116696291E-3</v>
      </c>
      <c r="J1166">
        <f>_xlfn.NORM.S.INV(0.99)*I1166*SQRT(10)</f>
        <v>4.6583611740847387E-2</v>
      </c>
      <c r="K1166">
        <f>LN(B1175)-LN(B1166)</f>
        <v>1.8550557754664077E-2</v>
      </c>
      <c r="L1166">
        <f>IF(K1166&lt;-(J1166),1,0)</f>
        <v>0</v>
      </c>
      <c r="M1166" s="72">
        <f t="shared" si="17"/>
        <v>2.9387393776987399E-2</v>
      </c>
      <c r="N1166">
        <f>SQRT((N1165^2)*0.72+(1-0.72)*(C1165^2))</f>
        <v>3.9953008691416226E-3</v>
      </c>
      <c r="O1166">
        <f>_xlfn.NORM.S.INV(0.99)*N1166*SQRT(10)</f>
        <v>2.9391662219143154E-2</v>
      </c>
      <c r="P1166">
        <f>LN(B1175)-LN(B1166)</f>
        <v>1.8550557754664077E-2</v>
      </c>
      <c r="Q1166">
        <f>IF(P1166&lt;-(O1166),1,0)</f>
        <v>0</v>
      </c>
    </row>
    <row r="1167" spans="1:17">
      <c r="A1167" s="64">
        <v>42984</v>
      </c>
      <c r="B1167">
        <v>2465.540039</v>
      </c>
      <c r="C1167" s="68">
        <f>LN(B1167)-LN(B1166)</f>
        <v>3.1238423279367211E-3</v>
      </c>
      <c r="D1167" s="68"/>
      <c r="E1167" s="68"/>
      <c r="F1167" s="68"/>
      <c r="G1167" s="68"/>
      <c r="H1167" s="68"/>
      <c r="I1167">
        <f>_xlfn.STDEV.S(C1147:C1167)</f>
        <v>6.3638739255996958E-3</v>
      </c>
      <c r="J1167">
        <f>_xlfn.NORM.S.INV(0.99)*I1167*SQRT(10)</f>
        <v>4.6816207077447158E-2</v>
      </c>
      <c r="K1167">
        <f>LN(B1176)-LN(B1167)</f>
        <v>1.6536294981207789E-2</v>
      </c>
      <c r="L1167">
        <f>IF(K1167&lt;-(J1167),1,0)</f>
        <v>0</v>
      </c>
      <c r="M1167" s="72">
        <f t="shared" si="17"/>
        <v>3.8630014314696169E-2</v>
      </c>
      <c r="N1167">
        <f>SQRT((N1166^2)*0.72+(1-0.72)*(C1166^2))</f>
        <v>5.2515180995927968E-3</v>
      </c>
      <c r="O1167">
        <f>_xlfn.NORM.S.INV(0.99)*N1167*SQRT(10)</f>
        <v>3.8633097024833044E-2</v>
      </c>
      <c r="P1167">
        <f>LN(B1176)-LN(B1167)</f>
        <v>1.6536294981207789E-2</v>
      </c>
      <c r="Q1167">
        <f>IF(P1167&lt;-(O1167),1,0)</f>
        <v>0</v>
      </c>
    </row>
    <row r="1168" spans="1:17">
      <c r="A1168" s="64">
        <v>42985</v>
      </c>
      <c r="B1168">
        <v>2465.1000979999999</v>
      </c>
      <c r="C1168" s="68">
        <f>LN(B1168)-LN(B1167)</f>
        <v>-1.784518800578283E-4</v>
      </c>
      <c r="D1168" s="68"/>
      <c r="E1168" s="68"/>
      <c r="F1168" s="68"/>
      <c r="G1168" s="68"/>
      <c r="H1168" s="68"/>
      <c r="I1168">
        <f>_xlfn.STDEV.S(C1148:C1168)</f>
        <v>6.3452836680129559E-3</v>
      </c>
      <c r="J1168">
        <f>_xlfn.NORM.S.INV(0.99)*I1168*SQRT(10)</f>
        <v>4.6679446770913922E-2</v>
      </c>
      <c r="K1168">
        <f>LN(B1177)-LN(B1168)</f>
        <v>1.7348893607268323E-2</v>
      </c>
      <c r="L1168">
        <f>IF(K1168&lt;-(J1168),1,0)</f>
        <v>0</v>
      </c>
      <c r="M1168" s="72">
        <f t="shared" si="17"/>
        <v>3.4959804251336817E-2</v>
      </c>
      <c r="N1168">
        <f>SQRT((N1167^2)*0.72+(1-0.72)*(C1167^2))</f>
        <v>4.7527705542555997E-3</v>
      </c>
      <c r="O1168">
        <f>_xlfn.NORM.S.INV(0.99)*N1168*SQRT(10)</f>
        <v>3.4964031824162155E-2</v>
      </c>
      <c r="P1168">
        <f>LN(B1177)-LN(B1168)</f>
        <v>1.7348893607268323E-2</v>
      </c>
      <c r="Q1168">
        <f>IF(P1168&lt;-(O1168),1,0)</f>
        <v>0</v>
      </c>
    </row>
    <row r="1169" spans="1:17">
      <c r="A1169" s="64">
        <v>42986</v>
      </c>
      <c r="B1169">
        <v>2461.429932</v>
      </c>
      <c r="C1169" s="68">
        <f>LN(B1169)-LN(B1168)</f>
        <v>-1.4899601369018356E-3</v>
      </c>
      <c r="D1169" s="68"/>
      <c r="E1169" s="68"/>
      <c r="F1169" s="68"/>
      <c r="G1169" s="68"/>
      <c r="H1169" s="68"/>
      <c r="I1169">
        <f>_xlfn.STDEV.S(C1149:C1169)</f>
        <v>6.3515878571754631E-3</v>
      </c>
      <c r="J1169">
        <f>_xlfn.NORM.S.INV(0.99)*I1169*SQRT(10)</f>
        <v>4.6725823903575221E-2</v>
      </c>
      <c r="K1169">
        <f>LN(B1178)-LN(B1169)</f>
        <v>1.5788288028164565E-2</v>
      </c>
      <c r="L1169">
        <f>IF(K1169&lt;-(J1169),1,0)</f>
        <v>0</v>
      </c>
      <c r="M1169" s="72">
        <f t="shared" si="17"/>
        <v>2.9672462763616493E-2</v>
      </c>
      <c r="N1169">
        <f>SQRT((N1168^2)*0.72+(1-0.72)*(C1168^2))</f>
        <v>4.0339648905743175E-3</v>
      </c>
      <c r="O1169">
        <f>_xlfn.NORM.S.INV(0.99)*N1169*SQRT(10)</f>
        <v>2.9676096331918152E-2</v>
      </c>
      <c r="P1169">
        <f>LN(B1178)-LN(B1169)</f>
        <v>1.5788288028164565E-2</v>
      </c>
      <c r="Q1169">
        <f>IF(P1169&lt;-(O1169),1,0)</f>
        <v>0</v>
      </c>
    </row>
    <row r="1170" spans="1:17">
      <c r="A1170" s="64">
        <v>42989</v>
      </c>
      <c r="B1170">
        <v>2488.110107</v>
      </c>
      <c r="C1170" s="68">
        <f>LN(B1170)-LN(B1169)</f>
        <v>1.0780974881588357E-2</v>
      </c>
      <c r="D1170" s="68"/>
      <c r="E1170" s="68"/>
      <c r="F1170" s="68"/>
      <c r="G1170" s="68"/>
      <c r="H1170" s="68"/>
      <c r="I1170">
        <f>_xlfn.STDEV.S(C1150:C1170)</f>
        <v>5.883004429474553E-3</v>
      </c>
      <c r="J1170">
        <f>_xlfn.NORM.S.INV(0.99)*I1170*SQRT(10)</f>
        <v>4.327866278115583E-2</v>
      </c>
      <c r="K1170">
        <f>LN(B1179)-LN(B1170)</f>
        <v>5.6548971229206657E-3</v>
      </c>
      <c r="L1170">
        <f>IF(K1170&lt;-(J1170),1,0)</f>
        <v>0</v>
      </c>
      <c r="M1170" s="72">
        <f t="shared" si="17"/>
        <v>2.5749803837194048E-2</v>
      </c>
      <c r="N1170">
        <f>SQRT((N1169^2)*0.72+(1-0.72)*(C1169^2))</f>
        <v>3.5125579155814556E-3</v>
      </c>
      <c r="O1170">
        <f>_xlfn.NORM.S.INV(0.99)*N1170*SQRT(10)</f>
        <v>2.5840335724735663E-2</v>
      </c>
      <c r="P1170">
        <f>LN(B1179)-LN(B1170)</f>
        <v>5.6548971229206657E-3</v>
      </c>
      <c r="Q1170">
        <f>IF(P1170&lt;-(O1170),1,0)</f>
        <v>0</v>
      </c>
    </row>
    <row r="1171" spans="1:17">
      <c r="A1171" s="64">
        <v>42990</v>
      </c>
      <c r="B1171">
        <v>2496.4799800000001</v>
      </c>
      <c r="C1171" s="68">
        <f>LN(B1171)-LN(B1170)</f>
        <v>3.3583025766752428E-3</v>
      </c>
      <c r="D1171" s="68"/>
      <c r="E1171" s="68"/>
      <c r="F1171" s="68"/>
      <c r="G1171" s="68"/>
      <c r="H1171" s="68"/>
      <c r="I1171">
        <f>_xlfn.STDEV.S(C1151:C1171)</f>
        <v>5.9060188913518845E-3</v>
      </c>
      <c r="J1171">
        <f>_xlfn.NORM.S.INV(0.99)*I1171*SQRT(10)</f>
        <v>4.3447970002766699E-2</v>
      </c>
      <c r="K1171">
        <f>LN(B1180)-LN(B1171)</f>
        <v>7.2071683938190745E-5</v>
      </c>
      <c r="L1171">
        <f>IF(K1171&lt;-(J1171),1,0)</f>
        <v>0</v>
      </c>
      <c r="M1171" s="72">
        <f t="shared" si="17"/>
        <v>4.7314088643356428E-2</v>
      </c>
      <c r="N1171">
        <f>SQRT((N1170^2)*0.72+(1-0.72)*(C1170^2))</f>
        <v>6.4364309108937839E-3</v>
      </c>
      <c r="O1171">
        <f>_xlfn.NORM.S.INV(0.99)*N1171*SQRT(10)</f>
        <v>4.7349976741673065E-2</v>
      </c>
      <c r="P1171">
        <f>LN(B1180)-LN(B1171)</f>
        <v>7.2071683938190745E-5</v>
      </c>
      <c r="Q1171">
        <f>IF(P1171&lt;-(O1171),1,0)</f>
        <v>0</v>
      </c>
    </row>
    <row r="1172" spans="1:17">
      <c r="A1172" s="64">
        <v>42991</v>
      </c>
      <c r="B1172">
        <v>2498.3701169999999</v>
      </c>
      <c r="C1172" s="68">
        <f>LN(B1172)-LN(B1171)</f>
        <v>7.5683436079820865E-4</v>
      </c>
      <c r="D1172" s="68"/>
      <c r="E1172" s="68"/>
      <c r="F1172" s="68"/>
      <c r="G1172" s="68"/>
      <c r="H1172" s="68"/>
      <c r="I1172">
        <f>_xlfn.STDEV.S(C1152:C1172)</f>
        <v>5.5403656360642111E-3</v>
      </c>
      <c r="J1172">
        <f>_xlfn.NORM.S.INV(0.99)*I1172*SQRT(10)</f>
        <v>4.0758020654582963E-2</v>
      </c>
      <c r="K1172">
        <f>LN(B1181)-LN(B1172)</f>
        <v>-6.1259846335115498E-4</v>
      </c>
      <c r="L1172">
        <f>IF(K1172&lt;-(J1172),1,0)</f>
        <v>0</v>
      </c>
      <c r="M1172" s="72">
        <f t="shared" si="17"/>
        <v>4.2197027990477511E-2</v>
      </c>
      <c r="N1172">
        <f>SQRT((N1171^2)*0.72+(1-0.72)*(C1171^2))</f>
        <v>5.7433263708352384E-3</v>
      </c>
      <c r="O1172">
        <f>_xlfn.NORM.S.INV(0.99)*N1172*SQRT(10)</f>
        <v>4.2251113053759594E-2</v>
      </c>
      <c r="P1172">
        <f>LN(B1181)-LN(B1172)</f>
        <v>-6.1259846335115498E-4</v>
      </c>
      <c r="Q1172">
        <f>IF(P1172&lt;-(O1172),1,0)</f>
        <v>0</v>
      </c>
    </row>
    <row r="1173" spans="1:17">
      <c r="A1173" s="64">
        <v>42992</v>
      </c>
      <c r="B1173">
        <v>2495.6201169999999</v>
      </c>
      <c r="C1173" s="68">
        <f>LN(B1173)-LN(B1172)</f>
        <v>-1.1013238509107737E-3</v>
      </c>
      <c r="D1173" s="68"/>
      <c r="E1173" s="68"/>
      <c r="F1173" s="68"/>
      <c r="G1173" s="68"/>
      <c r="H1173" s="68"/>
      <c r="I1173">
        <f>_xlfn.STDEV.S(C1153:C1173)</f>
        <v>5.5480250002519138E-3</v>
      </c>
      <c r="J1173">
        <f>_xlfn.NORM.S.INV(0.99)*I1173*SQRT(10)</f>
        <v>4.0814367210797821E-2</v>
      </c>
      <c r="K1173">
        <f>LN(B1182)-LN(B1173)</f>
        <v>4.5655477208121908E-3</v>
      </c>
      <c r="L1173">
        <f>IF(K1173&lt;-(J1173),1,0)</f>
        <v>0</v>
      </c>
      <c r="M1173" s="72">
        <f t="shared" si="17"/>
        <v>3.5926295413543072E-2</v>
      </c>
      <c r="N1173">
        <f>SQRT((N1172^2)*0.72+(1-0.72)*(C1172^2))</f>
        <v>4.8898014200274443E-3</v>
      </c>
      <c r="O1173">
        <f>_xlfn.NORM.S.INV(0.99)*N1173*SQRT(10)</f>
        <v>3.597210732392498E-2</v>
      </c>
      <c r="P1173">
        <f>LN(B1182)-LN(B1173)</f>
        <v>4.5655477208121908E-3</v>
      </c>
      <c r="Q1173">
        <f>IF(P1173&lt;-(O1173),1,0)</f>
        <v>0</v>
      </c>
    </row>
    <row r="1174" spans="1:17">
      <c r="A1174" s="64">
        <v>42993</v>
      </c>
      <c r="B1174">
        <v>2500.2299800000001</v>
      </c>
      <c r="C1174" s="68">
        <f>LN(B1174)-LN(B1173)</f>
        <v>1.8454774338083624E-3</v>
      </c>
      <c r="D1174" s="68"/>
      <c r="E1174" s="68"/>
      <c r="F1174" s="68"/>
      <c r="G1174" s="68"/>
      <c r="H1174" s="68"/>
      <c r="I1174">
        <f>_xlfn.STDEV.S(C1154:C1174)</f>
        <v>5.5519689356181689E-3</v>
      </c>
      <c r="J1174">
        <f>_xlfn.NORM.S.INV(0.99)*I1174*SQRT(10)</f>
        <v>4.0843380999720305E-2</v>
      </c>
      <c r="K1174">
        <f>LN(B1183)-LN(B1174)</f>
        <v>3.9239611027204191E-3</v>
      </c>
      <c r="L1174">
        <f>IF(K1174&lt;-(J1174),1,0)</f>
        <v>0</v>
      </c>
      <c r="M1174" s="72">
        <f t="shared" si="17"/>
        <v>3.0783761140253302E-2</v>
      </c>
      <c r="N1174">
        <f>SQRT((N1173^2)*0.72+(1-0.72)*(C1173^2))</f>
        <v>4.1898603426058865E-3</v>
      </c>
      <c r="O1174">
        <f>_xlfn.NORM.S.INV(0.99)*N1174*SQRT(10)</f>
        <v>3.0822950252983913E-2</v>
      </c>
      <c r="P1174">
        <f>LN(B1183)-LN(B1174)</f>
        <v>3.9239611027204191E-3</v>
      </c>
      <c r="Q1174">
        <f>IF(P1174&lt;-(O1174),1,0)</f>
        <v>0</v>
      </c>
    </row>
    <row r="1175" spans="1:17">
      <c r="A1175" s="64">
        <v>42996</v>
      </c>
      <c r="B1175">
        <v>2503.8701169999999</v>
      </c>
      <c r="C1175" s="68">
        <f>LN(B1175)-LN(B1174)</f>
        <v>1.4548620417276226E-3</v>
      </c>
      <c r="D1175" s="68"/>
      <c r="E1175" s="68"/>
      <c r="F1175" s="68"/>
      <c r="G1175" s="68"/>
      <c r="H1175" s="68"/>
      <c r="I1175">
        <f>_xlfn.STDEV.S(C1155:C1175)</f>
        <v>4.1342588279910161E-3</v>
      </c>
      <c r="J1175">
        <f>_xlfn.NORM.S.INV(0.99)*I1175*SQRT(10)</f>
        <v>3.0413914490732514E-2</v>
      </c>
      <c r="K1175">
        <f>LN(B1184)-LN(B1175)</f>
        <v>6.1673618001902852E-3</v>
      </c>
      <c r="L1175">
        <f>IF(K1175&lt;-(J1175),1,0)</f>
        <v>0</v>
      </c>
      <c r="M1175" s="72">
        <f t="shared" si="17"/>
        <v>2.6995720429734117E-2</v>
      </c>
      <c r="N1175">
        <f>SQRT((N1174^2)*0.72+(1-0.72)*(C1174^2))</f>
        <v>3.6868916075231645E-3</v>
      </c>
      <c r="O1175">
        <f>_xlfn.NORM.S.INV(0.99)*N1175*SQRT(10)</f>
        <v>2.7122831625493126E-2</v>
      </c>
      <c r="P1175">
        <f>LN(B1184)-LN(B1175)</f>
        <v>6.1673618001902852E-3</v>
      </c>
      <c r="Q1175">
        <f>IF(P1175&lt;-(O1175),1,0)</f>
        <v>0</v>
      </c>
    </row>
    <row r="1176" spans="1:17">
      <c r="A1176" s="64">
        <v>42997</v>
      </c>
      <c r="B1176">
        <v>2506.6499020000001</v>
      </c>
      <c r="C1176" s="68">
        <f>LN(B1176)-LN(B1175)</f>
        <v>1.1095795544804332E-3</v>
      </c>
      <c r="D1176" s="68"/>
      <c r="E1176" s="68"/>
      <c r="F1176" s="68"/>
      <c r="G1176" s="68"/>
      <c r="H1176" s="68"/>
      <c r="I1176">
        <f>_xlfn.STDEV.S(C1156:C1176)</f>
        <v>4.0674447093089405E-3</v>
      </c>
      <c r="J1176">
        <f>_xlfn.NORM.S.INV(0.99)*I1176*SQRT(10)</f>
        <v>2.9922392557317969E-2</v>
      </c>
      <c r="K1176">
        <f>LN(B1185)-LN(B1176)</f>
        <v>8.9243011687383245E-3</v>
      </c>
      <c r="L1176">
        <f>IF(K1176&lt;-(J1176),1,0)</f>
        <v>0</v>
      </c>
      <c r="M1176" s="72">
        <f t="shared" si="17"/>
        <v>2.3594825367651302E-2</v>
      </c>
      <c r="N1176">
        <f>SQRT((N1175^2)*0.72+(1-0.72)*(C1175^2))</f>
        <v>3.221759891639751E-3</v>
      </c>
      <c r="O1176">
        <f>_xlfn.NORM.S.INV(0.99)*N1176*SQRT(10)</f>
        <v>2.370106322095419E-2</v>
      </c>
      <c r="P1176">
        <f>LN(B1185)-LN(B1176)</f>
        <v>8.9243011687383245E-3</v>
      </c>
      <c r="Q1176">
        <f>IF(P1176&lt;-(O1176),1,0)</f>
        <v>0</v>
      </c>
    </row>
    <row r="1177" spans="1:17">
      <c r="A1177" s="64">
        <v>42998</v>
      </c>
      <c r="B1177">
        <v>2508.23999</v>
      </c>
      <c r="C1177" s="68">
        <f>LN(B1177)-LN(B1176)</f>
        <v>6.3414674600270615E-4</v>
      </c>
      <c r="D1177" s="68"/>
      <c r="E1177" s="68"/>
      <c r="F1177" s="68"/>
      <c r="G1177" s="68"/>
      <c r="H1177" s="68"/>
      <c r="I1177">
        <f>_xlfn.STDEV.S(C1157:C1177)</f>
        <v>4.0716957147141483E-3</v>
      </c>
      <c r="J1177">
        <f>_xlfn.NORM.S.INV(0.99)*I1177*SQRT(10)</f>
        <v>2.9953665324765011E-2</v>
      </c>
      <c r="K1177">
        <f>LN(B1186)-LN(B1177)</f>
        <v>1.044666563221508E-2</v>
      </c>
      <c r="L1177">
        <f>IF(K1177&lt;-(J1177),1,0)</f>
        <v>0</v>
      </c>
      <c r="M1177" s="72">
        <f t="shared" ref="M1177:M1240" si="18">EWMAV(B1156:B1176,0.72,0.99)*SQRT(10)</f>
        <v>2.0480794211275976E-2</v>
      </c>
      <c r="N1177">
        <f>SQRT((N1176^2)*0.72+(1-0.72)*(C1176^2))</f>
        <v>2.796093202329718E-3</v>
      </c>
      <c r="O1177">
        <f>_xlfn.NORM.S.INV(0.99)*N1177*SQRT(10)</f>
        <v>2.0569621569895401E-2</v>
      </c>
      <c r="P1177">
        <f>LN(B1186)-LN(B1177)</f>
        <v>1.044666563221508E-2</v>
      </c>
      <c r="Q1177">
        <f>IF(P1177&lt;-(O1177),1,0)</f>
        <v>0</v>
      </c>
    </row>
    <row r="1178" spans="1:17">
      <c r="A1178" s="64">
        <v>42999</v>
      </c>
      <c r="B1178">
        <v>2500.6000979999999</v>
      </c>
      <c r="C1178" s="68">
        <f>LN(B1178)-LN(B1177)</f>
        <v>-3.0505657160055932E-3</v>
      </c>
      <c r="D1178" s="68"/>
      <c r="E1178" s="68"/>
      <c r="F1178" s="68"/>
      <c r="G1178" s="68"/>
      <c r="H1178" s="68"/>
      <c r="I1178">
        <f>_xlfn.STDEV.S(C1158:C1178)</f>
        <v>3.7077365155572567E-3</v>
      </c>
      <c r="J1178">
        <f>_xlfn.NORM.S.INV(0.99)*I1178*SQRT(10)</f>
        <v>2.7276178398613311E-2</v>
      </c>
      <c r="K1178">
        <f>LN(B1187)-LN(B1178)</f>
        <v>1.4743174966296735E-2</v>
      </c>
      <c r="L1178">
        <f>IF(K1178&lt;-(J1178),1,0)</f>
        <v>0</v>
      </c>
      <c r="M1178" s="72">
        <f t="shared" si="18"/>
        <v>1.749367993580676E-2</v>
      </c>
      <c r="N1178">
        <f>SQRT((N1177^2)*0.72+(1-0.72)*(C1177^2))</f>
        <v>2.3961758215817214E-3</v>
      </c>
      <c r="O1178">
        <f>_xlfn.NORM.S.INV(0.99)*N1178*SQRT(10)</f>
        <v>1.7627606198463579E-2</v>
      </c>
      <c r="P1178">
        <f>LN(B1187)-LN(B1178)</f>
        <v>1.4743174966296735E-2</v>
      </c>
      <c r="Q1178">
        <f>IF(P1178&lt;-(O1178),1,0)</f>
        <v>0</v>
      </c>
    </row>
    <row r="1179" spans="1:17">
      <c r="A1179" s="64">
        <v>43000</v>
      </c>
      <c r="B1179">
        <v>2502.219971</v>
      </c>
      <c r="C1179" s="68">
        <f>LN(B1179)-LN(B1178)</f>
        <v>6.4758397634445686E-4</v>
      </c>
      <c r="D1179" s="68"/>
      <c r="E1179" s="68"/>
      <c r="F1179" s="68"/>
      <c r="G1179" s="68"/>
      <c r="H1179" s="68"/>
      <c r="I1179">
        <f>_xlfn.STDEV.S(C1159:C1179)</f>
        <v>3.5706993568665754E-3</v>
      </c>
      <c r="J1179">
        <f>_xlfn.NORM.S.INV(0.99)*I1179*SQRT(10)</f>
        <v>2.626805660462863E-2</v>
      </c>
      <c r="K1179">
        <f>LN(B1188)-LN(B1179)</f>
        <v>1.9726494972784003E-2</v>
      </c>
      <c r="L1179">
        <f>IF(K1179&lt;-(J1179),1,0)</f>
        <v>0</v>
      </c>
      <c r="M1179" s="72">
        <f t="shared" si="18"/>
        <v>1.9002696099320961E-2</v>
      </c>
      <c r="N1179">
        <f>SQRT((N1178^2)*0.72+(1-0.72)*(C1178^2))</f>
        <v>2.5960856113500736E-3</v>
      </c>
      <c r="O1179">
        <f>_xlfn.NORM.S.INV(0.99)*N1179*SQRT(10)</f>
        <v>1.9098254144042131E-2</v>
      </c>
      <c r="P1179">
        <f>LN(B1188)-LN(B1179)</f>
        <v>1.9726494972784003E-2</v>
      </c>
      <c r="Q1179">
        <f>IF(P1179&lt;-(O1179),1,0)</f>
        <v>0</v>
      </c>
    </row>
    <row r="1180" spans="1:17">
      <c r="A1180" s="64">
        <v>43003</v>
      </c>
      <c r="B1180">
        <v>2496.6599120000001</v>
      </c>
      <c r="C1180" s="68">
        <f>LN(B1180)-LN(B1179)</f>
        <v>-2.2245228623072322E-3</v>
      </c>
      <c r="D1180" s="68"/>
      <c r="E1180" s="68"/>
      <c r="F1180" s="68"/>
      <c r="G1180" s="68"/>
      <c r="H1180" s="68"/>
      <c r="I1180">
        <f>_xlfn.STDEV.S(C1160:C1180)</f>
        <v>3.5774599568011863E-3</v>
      </c>
      <c r="J1180">
        <f>_xlfn.NORM.S.INV(0.99)*I1180*SQRT(10)</f>
        <v>2.6317791349566504E-2</v>
      </c>
      <c r="K1180">
        <f>LN(B1189)-LN(B1180)</f>
        <v>2.0876806761635613E-2</v>
      </c>
      <c r="L1180">
        <f>IF(K1180&lt;-(J1180),1,0)</f>
        <v>0</v>
      </c>
      <c r="M1180" s="72">
        <f t="shared" si="18"/>
        <v>1.6317381576120695E-2</v>
      </c>
      <c r="N1180">
        <f>SQRT((N1179^2)*0.72+(1-0.72)*(C1179^2))</f>
        <v>2.2293446935921471E-3</v>
      </c>
      <c r="O1180">
        <f>_xlfn.NORM.S.INV(0.99)*N1180*SQRT(10)</f>
        <v>1.6400303343907421E-2</v>
      </c>
      <c r="P1180">
        <f>LN(B1189)-LN(B1180)</f>
        <v>2.0876806761635613E-2</v>
      </c>
      <c r="Q1180">
        <f>IF(P1180&lt;-(O1180),1,0)</f>
        <v>0</v>
      </c>
    </row>
    <row r="1181" spans="1:17">
      <c r="A1181" s="64">
        <v>43004</v>
      </c>
      <c r="B1181">
        <v>2496.8400879999999</v>
      </c>
      <c r="C1181" s="68">
        <f>LN(B1181)-LN(B1180)</f>
        <v>7.2164213508862929E-5</v>
      </c>
      <c r="D1181" s="68"/>
      <c r="E1181" s="68"/>
      <c r="F1181" s="68"/>
      <c r="G1181" s="68"/>
      <c r="H1181" s="68"/>
      <c r="I1181">
        <f>_xlfn.STDEV.S(C1161:C1181)</f>
        <v>3.5820022696310249E-3</v>
      </c>
      <c r="J1181">
        <f>_xlfn.NORM.S.INV(0.99)*I1181*SQRT(10)</f>
        <v>2.6351207136952999E-2</v>
      </c>
      <c r="K1181">
        <f>LN(B1190)-LN(B1181)</f>
        <v>1.899857854494158E-2</v>
      </c>
      <c r="L1181">
        <f>IF(K1181&lt;-(J1181),1,0)</f>
        <v>0</v>
      </c>
      <c r="M1181" s="72">
        <f t="shared" si="18"/>
        <v>1.6328864426373952E-2</v>
      </c>
      <c r="N1181">
        <f>SQRT((N1180^2)*0.72+(1-0.72)*(C1180^2))</f>
        <v>2.2279956327223563E-3</v>
      </c>
      <c r="O1181">
        <f>_xlfn.NORM.S.INV(0.99)*N1181*SQRT(10)</f>
        <v>1.6390378899492183E-2</v>
      </c>
      <c r="P1181">
        <f>LN(B1190)-LN(B1181)</f>
        <v>1.899857854494158E-2</v>
      </c>
      <c r="Q1181">
        <f>IF(P1181&lt;-(O1181),1,0)</f>
        <v>0</v>
      </c>
    </row>
    <row r="1182" spans="1:17">
      <c r="A1182" s="64">
        <v>43005</v>
      </c>
      <c r="B1182">
        <v>2507.040039</v>
      </c>
      <c r="C1182" s="68">
        <f>LN(B1182)-LN(B1181)</f>
        <v>4.0768223332525722E-3</v>
      </c>
      <c r="D1182" s="68"/>
      <c r="E1182" s="68"/>
      <c r="F1182" s="68"/>
      <c r="G1182" s="68"/>
      <c r="H1182" s="68"/>
      <c r="I1182">
        <f>_xlfn.STDEV.S(C1162:C1182)</f>
        <v>3.639632687365646E-3</v>
      </c>
      <c r="J1182">
        <f>_xlfn.NORM.S.INV(0.99)*I1182*SQRT(10)</f>
        <v>2.6775168642502397E-2</v>
      </c>
      <c r="K1182">
        <f>LN(B1191)-LN(B1182)</f>
        <v>1.7241476191770744E-2</v>
      </c>
      <c r="L1182">
        <f>IF(K1182&lt;-(J1182),1,0)</f>
        <v>0</v>
      </c>
      <c r="M1182" s="72">
        <f t="shared" si="18"/>
        <v>1.3858166639813579E-2</v>
      </c>
      <c r="N1182">
        <f>SQRT((N1181^2)*0.72+(1-0.72)*(C1181^2))</f>
        <v>1.8909025932153938E-3</v>
      </c>
      <c r="O1182">
        <f>_xlfn.NORM.S.INV(0.99)*N1182*SQRT(10)</f>
        <v>1.3910534432674454E-2</v>
      </c>
      <c r="P1182">
        <f>LN(B1191)-LN(B1182)</f>
        <v>1.7241476191770744E-2</v>
      </c>
      <c r="Q1182">
        <f>IF(P1182&lt;-(O1182),1,0)</f>
        <v>0</v>
      </c>
    </row>
    <row r="1183" spans="1:17">
      <c r="A1183" s="64">
        <v>43006</v>
      </c>
      <c r="B1183">
        <v>2510.0600589999999</v>
      </c>
      <c r="C1183" s="68">
        <f>LN(B1183)-LN(B1182)</f>
        <v>1.2038908157165906E-3</v>
      </c>
      <c r="D1183" s="68"/>
      <c r="E1183" s="68"/>
      <c r="F1183" s="68"/>
      <c r="G1183" s="68"/>
      <c r="H1183" s="68"/>
      <c r="I1183">
        <f>_xlfn.STDEV.S(C1163:C1183)</f>
        <v>3.6386720441060169E-3</v>
      </c>
      <c r="J1183">
        <f>_xlfn.NORM.S.INV(0.99)*I1183*SQRT(10)</f>
        <v>2.6768101614730293E-2</v>
      </c>
      <c r="K1183">
        <f>LN(B1192)-LN(B1183)</f>
        <v>1.7839468048594931E-2</v>
      </c>
      <c r="L1183">
        <f>IF(K1183&lt;-(J1183),1,0)</f>
        <v>0</v>
      </c>
      <c r="M1183" s="72">
        <f t="shared" si="18"/>
        <v>1.9751335302251833E-2</v>
      </c>
      <c r="N1183">
        <f>SQRT((N1182^2)*0.72+(1-0.72)*(C1182^2))</f>
        <v>2.6885132654674796E-3</v>
      </c>
      <c r="O1183">
        <f>_xlfn.NORM.S.INV(0.99)*N1183*SQRT(10)</f>
        <v>1.977820353421415E-2</v>
      </c>
      <c r="P1183">
        <f>LN(B1192)-LN(B1183)</f>
        <v>1.7839468048594931E-2</v>
      </c>
      <c r="Q1183">
        <f>IF(P1183&lt;-(O1183),1,0)</f>
        <v>0</v>
      </c>
    </row>
    <row r="1184" spans="1:17">
      <c r="A1184" s="64">
        <v>43007</v>
      </c>
      <c r="B1184">
        <v>2519.360107</v>
      </c>
      <c r="C1184" s="68">
        <f>LN(B1184)-LN(B1183)</f>
        <v>3.6982627391974887E-3</v>
      </c>
      <c r="D1184" s="68"/>
      <c r="E1184" s="68"/>
      <c r="F1184" s="68"/>
      <c r="G1184" s="68"/>
      <c r="H1184" s="68"/>
      <c r="I1184">
        <f>_xlfn.STDEV.S(C1164:C1184)</f>
        <v>3.6017759360648014E-3</v>
      </c>
      <c r="J1184">
        <f>_xlfn.NORM.S.INV(0.99)*I1184*SQRT(10)</f>
        <v>2.6496673259202866E-2</v>
      </c>
      <c r="K1184">
        <f>LN(B1193)-LN(B1184)</f>
        <v>1.245302842164886E-2</v>
      </c>
      <c r="L1184">
        <f>IF(K1184&lt;-(J1184),1,0)</f>
        <v>0</v>
      </c>
      <c r="M1184" s="72">
        <f t="shared" si="18"/>
        <v>1.7389512319053328E-2</v>
      </c>
      <c r="N1184">
        <f>SQRT((N1183^2)*0.72+(1-0.72)*(C1183^2))</f>
        <v>2.3685551383733528E-3</v>
      </c>
      <c r="O1184">
        <f>_xlfn.NORM.S.INV(0.99)*N1184*SQRT(10)</f>
        <v>1.7424413042876088E-2</v>
      </c>
      <c r="P1184">
        <f>LN(B1193)-LN(B1184)</f>
        <v>1.245302842164886E-2</v>
      </c>
      <c r="Q1184">
        <f>IF(P1184&lt;-(O1184),1,0)</f>
        <v>0</v>
      </c>
    </row>
    <row r="1185" spans="1:17">
      <c r="A1185" s="64">
        <v>43010</v>
      </c>
      <c r="B1185">
        <v>2529.1201169999999</v>
      </c>
      <c r="C1185" s="68">
        <f>LN(B1185)-LN(B1184)</f>
        <v>3.8665189230284724E-3</v>
      </c>
      <c r="D1185" s="68"/>
      <c r="E1185" s="68"/>
      <c r="F1185" s="68"/>
      <c r="G1185" s="68"/>
      <c r="H1185" s="68"/>
      <c r="I1185">
        <f>_xlfn.STDEV.S(C1165:C1185)</f>
        <v>3.5074725163334272E-3</v>
      </c>
      <c r="J1185">
        <f>_xlfn.NORM.S.INV(0.99)*I1185*SQRT(10)</f>
        <v>2.5802924690662612E-2</v>
      </c>
      <c r="K1185">
        <f>LN(B1194)-LN(B1185)</f>
        <v>9.4642314115453985E-3</v>
      </c>
      <c r="L1185">
        <f>IF(K1185&lt;-(J1185),1,0)</f>
        <v>0</v>
      </c>
      <c r="M1185" s="72">
        <f t="shared" si="18"/>
        <v>2.0598234197967882E-2</v>
      </c>
      <c r="N1185">
        <f>SQRT((N1184^2)*0.72+(1-0.72)*(C1184^2))</f>
        <v>2.8051452226237573E-3</v>
      </c>
      <c r="O1185">
        <f>_xlfn.NORM.S.INV(0.99)*N1185*SQRT(10)</f>
        <v>2.0636213281407832E-2</v>
      </c>
      <c r="P1185">
        <f>LN(B1194)-LN(B1185)</f>
        <v>9.4642314115453985E-3</v>
      </c>
      <c r="Q1185">
        <f>IF(P1185&lt;-(O1185),1,0)</f>
        <v>0</v>
      </c>
    </row>
    <row r="1186" spans="1:17">
      <c r="A1186" s="64">
        <v>43011</v>
      </c>
      <c r="B1186">
        <v>2534.580078</v>
      </c>
      <c r="C1186" s="68">
        <f>LN(B1186)-LN(B1185)</f>
        <v>2.1565112094794614E-3</v>
      </c>
      <c r="D1186" s="68"/>
      <c r="E1186" s="68"/>
      <c r="F1186" s="68"/>
      <c r="G1186" s="68"/>
      <c r="H1186" s="68"/>
      <c r="I1186">
        <f>_xlfn.STDEV.S(C1166:C1186)</f>
        <v>3.5099039199357829E-3</v>
      </c>
      <c r="J1186">
        <f>_xlfn.NORM.S.INV(0.99)*I1186*SQRT(10)</f>
        <v>2.5820811452070443E-2</v>
      </c>
      <c r="K1186">
        <f>LN(B1195)-LN(B1186)</f>
        <v>9.0569428503606275E-3</v>
      </c>
      <c r="L1186">
        <f>IF(K1186&lt;-(J1186),1,0)</f>
        <v>0</v>
      </c>
      <c r="M1186" s="72">
        <f t="shared" si="18"/>
        <v>2.306393131759751E-2</v>
      </c>
      <c r="N1186">
        <f>SQRT((N1185^2)*0.72+(1-0.72)*(C1185^2))</f>
        <v>3.1387188152819348E-3</v>
      </c>
      <c r="O1186">
        <f>_xlfn.NORM.S.INV(0.99)*N1186*SQRT(10)</f>
        <v>2.3090166733664763E-2</v>
      </c>
      <c r="P1186">
        <f>LN(B1195)-LN(B1186)</f>
        <v>9.0569428503606275E-3</v>
      </c>
      <c r="Q1186">
        <f>IF(P1186&lt;-(O1186),1,0)</f>
        <v>0</v>
      </c>
    </row>
    <row r="1187" spans="1:17">
      <c r="A1187" s="64">
        <v>43012</v>
      </c>
      <c r="B1187">
        <v>2537.73999</v>
      </c>
      <c r="C1187" s="68">
        <f>LN(B1187)-LN(B1186)</f>
        <v>1.2459436180760619E-3</v>
      </c>
      <c r="D1187" s="68"/>
      <c r="E1187" s="68"/>
      <c r="F1187" s="68"/>
      <c r="G1187" s="68"/>
      <c r="H1187" s="68"/>
      <c r="I1187">
        <f>_xlfn.STDEV.S(C1167:C1187)</f>
        <v>2.892370888608155E-3</v>
      </c>
      <c r="J1187">
        <f>_xlfn.NORM.S.INV(0.99)*I1187*SQRT(10)</f>
        <v>2.127789394462257E-2</v>
      </c>
      <c r="K1187">
        <f>LN(B1196)-LN(B1187)</f>
        <v>8.4833518079348025E-3</v>
      </c>
      <c r="L1187">
        <f>IF(K1187&lt;-(J1187),1,0)</f>
        <v>0</v>
      </c>
      <c r="M1187" s="72">
        <f t="shared" si="18"/>
        <v>2.1266198485159787E-2</v>
      </c>
      <c r="N1187">
        <f>SQRT((N1186^2)*0.72+(1-0.72)*(C1186^2))</f>
        <v>2.8974594982609228E-3</v>
      </c>
      <c r="O1187">
        <f>_xlfn.NORM.S.INV(0.99)*N1187*SQRT(10)</f>
        <v>2.1315328596224006E-2</v>
      </c>
      <c r="P1187">
        <f>LN(B1196)-LN(B1187)</f>
        <v>8.4833518079348025E-3</v>
      </c>
      <c r="Q1187">
        <f>IF(P1187&lt;-(O1187),1,0)</f>
        <v>0</v>
      </c>
    </row>
    <row r="1188" spans="1:17">
      <c r="A1188" s="64">
        <v>43013</v>
      </c>
      <c r="B1188">
        <v>2552.070068</v>
      </c>
      <c r="C1188" s="68">
        <f>LN(B1188)-LN(B1187)</f>
        <v>5.6309039828317253E-3</v>
      </c>
      <c r="D1188" s="68"/>
      <c r="E1188" s="68"/>
      <c r="F1188" s="68"/>
      <c r="G1188" s="68"/>
      <c r="H1188" s="68"/>
      <c r="I1188">
        <f>_xlfn.STDEV.S(C1168:C1188)</f>
        <v>3.0110474402945384E-3</v>
      </c>
      <c r="J1188">
        <f>_xlfn.NORM.S.INV(0.99)*I1188*SQRT(10)</f>
        <v>2.2150944869883244E-2</v>
      </c>
      <c r="K1188">
        <f>LN(B1197)-LN(B1188)</f>
        <v>3.5945075927772407E-3</v>
      </c>
      <c r="L1188">
        <f>IF(K1188&lt;-(J1188),1,0)</f>
        <v>0</v>
      </c>
      <c r="M1188" s="72">
        <f t="shared" si="18"/>
        <v>1.867986112160511E-2</v>
      </c>
      <c r="N1188">
        <f>SQRT((N1187^2)*0.72+(1-0.72)*(C1187^2))</f>
        <v>2.5454391863809684E-3</v>
      </c>
      <c r="O1188">
        <f>_xlfn.NORM.S.INV(0.99)*N1188*SQRT(10)</f>
        <v>1.872567078572826E-2</v>
      </c>
      <c r="P1188">
        <f>LN(B1197)-LN(B1188)</f>
        <v>3.5945075927772407E-3</v>
      </c>
      <c r="Q1188">
        <f>IF(P1188&lt;-(O1188),1,0)</f>
        <v>0</v>
      </c>
    </row>
    <row r="1189" spans="1:17">
      <c r="A1189" s="64">
        <v>43014</v>
      </c>
      <c r="B1189">
        <v>2549.330078</v>
      </c>
      <c r="C1189" s="68">
        <f>LN(B1189)-LN(B1188)</f>
        <v>-1.0742110734556221E-3</v>
      </c>
      <c r="D1189" s="68"/>
      <c r="E1189" s="68"/>
      <c r="F1189" s="68"/>
      <c r="G1189" s="68"/>
      <c r="H1189" s="68"/>
      <c r="I1189">
        <f>_xlfn.STDEV.S(C1169:C1189)</f>
        <v>3.0442955046875672E-3</v>
      </c>
      <c r="J1189">
        <f>_xlfn.NORM.S.INV(0.99)*I1189*SQRT(10)</f>
        <v>2.2395536181047795E-2</v>
      </c>
      <c r="K1189">
        <f>LN(B1198)-LN(B1189)</f>
        <v>4.9966628239026534E-3</v>
      </c>
      <c r="L1189">
        <f>IF(K1189&lt;-(J1189),1,0)</f>
        <v>0</v>
      </c>
      <c r="M1189" s="72">
        <f t="shared" si="18"/>
        <v>2.7049974970497638E-2</v>
      </c>
      <c r="N1189">
        <f>SQRT((N1188^2)*0.72+(1-0.72)*(C1188^2))</f>
        <v>3.6800883107623371E-3</v>
      </c>
      <c r="O1189">
        <f>_xlfn.NORM.S.INV(0.99)*N1189*SQRT(10)</f>
        <v>2.7072782778880533E-2</v>
      </c>
      <c r="P1189">
        <f>LN(B1198)-LN(B1189)</f>
        <v>4.9966628239026534E-3</v>
      </c>
      <c r="Q1189">
        <f>IF(P1189&lt;-(O1189),1,0)</f>
        <v>0</v>
      </c>
    </row>
    <row r="1190" spans="1:17">
      <c r="A1190" s="64">
        <v>43017</v>
      </c>
      <c r="B1190">
        <v>2544.7299800000001</v>
      </c>
      <c r="C1190" s="68">
        <f>LN(B1190)-LN(B1189)</f>
        <v>-1.8060640031851705E-3</v>
      </c>
      <c r="D1190" s="68"/>
      <c r="E1190" s="68"/>
      <c r="F1190" s="68"/>
      <c r="G1190" s="68"/>
      <c r="H1190" s="68"/>
      <c r="I1190">
        <f>_xlfn.STDEV.S(C1170:C1190)</f>
        <v>3.061072591859637E-3</v>
      </c>
      <c r="J1190">
        <f>_xlfn.NORM.S.INV(0.99)*I1190*SQRT(10)</f>
        <v>2.2518957794421444E-2</v>
      </c>
      <c r="K1190">
        <f>LN(B1199)-LN(B1190)</f>
        <v>1.1906522902220829E-2</v>
      </c>
      <c r="L1190">
        <f>IF(K1190&lt;-(J1190),1,0)</f>
        <v>0</v>
      </c>
      <c r="M1190" s="72">
        <f t="shared" si="18"/>
        <v>2.3329455978918435E-2</v>
      </c>
      <c r="N1190">
        <f>SQRT((N1189^2)*0.72+(1-0.72)*(C1189^2))</f>
        <v>3.173971679536636E-3</v>
      </c>
      <c r="O1190">
        <f>_xlfn.NORM.S.INV(0.99)*N1190*SQRT(10)</f>
        <v>2.3349506471113397E-2</v>
      </c>
      <c r="P1190">
        <f>LN(B1199)-LN(B1190)</f>
        <v>1.1906522902220829E-2</v>
      </c>
      <c r="Q1190">
        <f>IF(P1190&lt;-(O1190),1,0)</f>
        <v>0</v>
      </c>
    </row>
    <row r="1191" spans="1:17">
      <c r="A1191" s="64">
        <v>43018</v>
      </c>
      <c r="B1191">
        <v>2550.639893</v>
      </c>
      <c r="C1191" s="68">
        <f>LN(B1191)-LN(B1190)</f>
        <v>2.3197199800817359E-3</v>
      </c>
      <c r="D1191" s="68"/>
      <c r="E1191" s="68"/>
      <c r="F1191" s="68"/>
      <c r="G1191" s="68"/>
      <c r="H1191" s="68"/>
      <c r="I1191">
        <f>_xlfn.STDEV.S(C1171:C1191)</f>
        <v>2.2356838063401579E-3</v>
      </c>
      <c r="J1191">
        <f>_xlfn.NORM.S.INV(0.99)*I1191*SQRT(10)</f>
        <v>1.644693739394797E-2</v>
      </c>
      <c r="K1191">
        <f>LN(B1200)-LN(B1191)</f>
        <v>5.6064074021220378E-3</v>
      </c>
      <c r="L1191">
        <f>IF(K1191&lt;-(J1191),1,0)</f>
        <v>0</v>
      </c>
      <c r="M1191" s="72">
        <f t="shared" si="18"/>
        <v>2.0948247408918274E-2</v>
      </c>
      <c r="N1191">
        <f>SQRT((N1190^2)*0.72+(1-0.72)*(C1190^2))</f>
        <v>2.8577389824140324E-3</v>
      </c>
      <c r="O1191">
        <f>_xlfn.NORM.S.INV(0.99)*N1191*SQRT(10)</f>
        <v>2.102312232110742E-2</v>
      </c>
      <c r="P1191">
        <f>LN(B1200)-LN(B1191)</f>
        <v>5.6064074021220378E-3</v>
      </c>
      <c r="Q1191">
        <f>IF(P1191&lt;-(O1191),1,0)</f>
        <v>0</v>
      </c>
    </row>
    <row r="1192" spans="1:17">
      <c r="A1192" s="64">
        <v>43019</v>
      </c>
      <c r="B1192">
        <v>2555.23999</v>
      </c>
      <c r="C1192" s="68">
        <f>LN(B1192)-LN(B1191)</f>
        <v>1.8018826725407777E-3</v>
      </c>
      <c r="D1192" s="68"/>
      <c r="E1192" s="68"/>
      <c r="F1192" s="68"/>
      <c r="G1192" s="68"/>
      <c r="H1192" s="68"/>
      <c r="I1192">
        <f>_xlfn.STDEV.S(C1172:C1192)</f>
        <v>2.1851553313698259E-3</v>
      </c>
      <c r="J1192">
        <f>_xlfn.NORM.S.INV(0.99)*I1192*SQRT(10)</f>
        <v>1.6075221741630778E-2</v>
      </c>
      <c r="K1192">
        <f>LN(B1201)-LN(B1192)</f>
        <v>5.4211258598710899E-3</v>
      </c>
      <c r="L1192">
        <f>IF(K1192&lt;-(J1192),1,0)</f>
        <v>0</v>
      </c>
      <c r="M1192" s="72">
        <f t="shared" si="18"/>
        <v>1.9931353137373285E-2</v>
      </c>
      <c r="N1192">
        <f>SQRT((N1191^2)*0.72+(1-0.72)*(C1191^2))</f>
        <v>2.7178506445416834E-3</v>
      </c>
      <c r="O1192">
        <f>_xlfn.NORM.S.INV(0.99)*N1192*SQRT(10)</f>
        <v>1.9994025662355711E-2</v>
      </c>
      <c r="P1192">
        <f>LN(B1201)-LN(B1192)</f>
        <v>5.4211258598710899E-3</v>
      </c>
      <c r="Q1192">
        <f>IF(P1192&lt;-(O1192),1,0)</f>
        <v>0</v>
      </c>
    </row>
    <row r="1193" spans="1:17">
      <c r="A1193" s="64">
        <v>43020</v>
      </c>
      <c r="B1193">
        <v>2550.929932</v>
      </c>
      <c r="C1193" s="68">
        <f>LN(B1193)-LN(B1192)</f>
        <v>-1.6881768877485825E-3</v>
      </c>
      <c r="D1193" s="68"/>
      <c r="E1193" s="68"/>
      <c r="F1193" s="68"/>
      <c r="G1193" s="68"/>
      <c r="H1193" s="68"/>
      <c r="I1193">
        <f>_xlfn.STDEV.S(C1173:C1193)</f>
        <v>2.2683458680323896E-3</v>
      </c>
      <c r="J1193">
        <f>_xlfn.NORM.S.INV(0.99)*I1193*SQRT(10)</f>
        <v>1.6687217742307605E-2</v>
      </c>
      <c r="K1193">
        <f>LN(B1202)-LN(B1193)</f>
        <v>2.4353468529509925E-3</v>
      </c>
      <c r="L1193">
        <f>IF(K1193&lt;-(J1193),1,0)</f>
        <v>0</v>
      </c>
      <c r="M1193" s="72">
        <f t="shared" si="18"/>
        <v>1.8308841042274919E-2</v>
      </c>
      <c r="N1193">
        <f>SQRT((N1192^2)*0.72+(1-0.72)*(C1192^2))</f>
        <v>2.4955022454637098E-3</v>
      </c>
      <c r="O1193">
        <f>_xlfn.NORM.S.INV(0.99)*N1193*SQRT(10)</f>
        <v>1.8358306787929338E-2</v>
      </c>
      <c r="P1193">
        <f>LN(B1202)-LN(B1193)</f>
        <v>2.4353468529509925E-3</v>
      </c>
      <c r="Q1193">
        <f>IF(P1193&lt;-(O1193),1,0)</f>
        <v>0</v>
      </c>
    </row>
    <row r="1194" spans="1:17">
      <c r="A1194" s="64">
        <v>43021</v>
      </c>
      <c r="B1194">
        <v>2553.169922</v>
      </c>
      <c r="C1194" s="68">
        <f>LN(B1194)-LN(B1193)</f>
        <v>8.7772191292501134E-4</v>
      </c>
      <c r="D1194" s="68"/>
      <c r="E1194" s="68"/>
      <c r="F1194" s="68"/>
      <c r="G1194" s="68"/>
      <c r="H1194" s="68"/>
      <c r="I1194">
        <f>_xlfn.STDEV.S(C1174:C1194)</f>
        <v>2.2175975989095539E-3</v>
      </c>
      <c r="J1194">
        <f>_xlfn.NORM.S.INV(0.99)*I1194*SQRT(10)</f>
        <v>1.6313885161578827E-2</v>
      </c>
      <c r="K1194">
        <f>LN(B1203)-LN(B1194)</f>
        <v>2.827764190798554E-3</v>
      </c>
      <c r="L1194">
        <f>IF(K1194&lt;-(J1194),1,0)</f>
        <v>0</v>
      </c>
      <c r="M1194" s="72">
        <f t="shared" si="18"/>
        <v>1.686754574836331E-2</v>
      </c>
      <c r="N1194">
        <f>SQRT((N1193^2)*0.72+(1-0.72)*(C1193^2))</f>
        <v>2.2982180458638729E-3</v>
      </c>
      <c r="O1194">
        <f>_xlfn.NORM.S.INV(0.99)*N1194*SQRT(10)</f>
        <v>1.690697414847828E-2</v>
      </c>
      <c r="P1194">
        <f>LN(B1203)-LN(B1194)</f>
        <v>2.827764190798554E-3</v>
      </c>
      <c r="Q1194">
        <f>IF(P1194&lt;-(O1194),1,0)</f>
        <v>0</v>
      </c>
    </row>
    <row r="1195" spans="1:17">
      <c r="A1195" s="64">
        <v>43024</v>
      </c>
      <c r="B1195">
        <v>2557.639893</v>
      </c>
      <c r="C1195" s="68">
        <f>LN(B1195)-LN(B1194)</f>
        <v>1.7492226482946904E-3</v>
      </c>
      <c r="D1195" s="68"/>
      <c r="E1195" s="68"/>
      <c r="F1195" s="68"/>
      <c r="G1195" s="68"/>
      <c r="H1195" s="68"/>
      <c r="I1195">
        <f>_xlfn.STDEV.S(C1175:C1195)</f>
        <v>2.2160474965106352E-3</v>
      </c>
      <c r="J1195">
        <f>_xlfn.NORM.S.INV(0.99)*I1195*SQRT(10)</f>
        <v>1.6302481743511871E-2</v>
      </c>
      <c r="K1195">
        <f>LN(B1204)-LN(B1195)</f>
        <v>9.1191515172521775E-3</v>
      </c>
      <c r="L1195">
        <f>IF(K1195&lt;-(J1195),1,0)</f>
        <v>0</v>
      </c>
      <c r="M1195" s="72">
        <f t="shared" si="18"/>
        <v>1.4712302801678373E-2</v>
      </c>
      <c r="N1195">
        <f>SQRT((N1194^2)*0.72+(1-0.72)*(C1194^2))</f>
        <v>2.0046474168693073E-3</v>
      </c>
      <c r="O1195">
        <f>_xlfn.NORM.S.INV(0.99)*N1195*SQRT(10)</f>
        <v>1.4747304815058721E-2</v>
      </c>
      <c r="P1195">
        <f>LN(B1204)-LN(B1195)</f>
        <v>9.1191515172521775E-3</v>
      </c>
      <c r="Q1195">
        <f>IF(P1195&lt;-(O1195),1,0)</f>
        <v>0</v>
      </c>
    </row>
    <row r="1196" spans="1:17">
      <c r="A1196" s="64">
        <v>43025</v>
      </c>
      <c r="B1196">
        <v>2559.360107</v>
      </c>
      <c r="C1196" s="68">
        <f>LN(B1196)-LN(B1195)</f>
        <v>6.7235257565023687E-4</v>
      </c>
      <c r="D1196" s="68"/>
      <c r="E1196" s="68"/>
      <c r="F1196" s="68"/>
      <c r="G1196" s="68"/>
      <c r="H1196" s="68"/>
      <c r="I1196">
        <f>_xlfn.STDEV.S(C1176:C1196)</f>
        <v>2.2160266365061684E-3</v>
      </c>
      <c r="J1196">
        <f>_xlfn.NORM.S.INV(0.99)*I1196*SQRT(10)</f>
        <v>1.630232828568097E-2</v>
      </c>
      <c r="K1196">
        <f>LN(B1205)-LN(B1196)</f>
        <v>5.2492216555117821E-3</v>
      </c>
      <c r="L1196">
        <f>IF(K1196&lt;-(J1196),1,0)</f>
        <v>0</v>
      </c>
      <c r="M1196" s="72">
        <f t="shared" si="18"/>
        <v>1.4218514449557441E-2</v>
      </c>
      <c r="N1196">
        <f>SQRT((N1195^2)*0.72+(1-0.72)*(C1195^2))</f>
        <v>1.93652742712768E-3</v>
      </c>
      <c r="O1196">
        <f>_xlfn.NORM.S.INV(0.99)*N1196*SQRT(10)</f>
        <v>1.4246176165569162E-2</v>
      </c>
      <c r="P1196">
        <f>LN(B1205)-LN(B1196)</f>
        <v>5.2492216555117821E-3</v>
      </c>
      <c r="Q1196">
        <f>IF(P1196&lt;-(O1196),1,0)</f>
        <v>0</v>
      </c>
    </row>
    <row r="1197" spans="1:17">
      <c r="A1197" s="64">
        <v>43026</v>
      </c>
      <c r="B1197">
        <v>2561.26001</v>
      </c>
      <c r="C1197" s="68">
        <f>LN(B1197)-LN(B1196)</f>
        <v>7.420597676741636E-4</v>
      </c>
      <c r="D1197" s="68"/>
      <c r="E1197" s="68"/>
      <c r="F1197" s="68"/>
      <c r="G1197" s="68"/>
      <c r="H1197" s="68"/>
      <c r="I1197">
        <f>_xlfn.STDEV.S(C1177:C1197)</f>
        <v>2.2169321754047745E-3</v>
      </c>
      <c r="J1197">
        <f>_xlfn.NORM.S.INV(0.99)*I1197*SQRT(10)</f>
        <v>1.6308989935030008E-2</v>
      </c>
      <c r="K1197">
        <f>LN(B1206)-LN(B1197)</f>
        <v>5.4511749641115159E-3</v>
      </c>
      <c r="L1197">
        <f>IF(K1197&lt;-(J1197),1,0)</f>
        <v>0</v>
      </c>
      <c r="M1197" s="72">
        <f t="shared" si="18"/>
        <v>1.2344377359424072E-2</v>
      </c>
      <c r="N1197">
        <f>SQRT((N1196^2)*0.72+(1-0.72)*(C1196^2))</f>
        <v>1.6812721192026481E-3</v>
      </c>
      <c r="O1197">
        <f>_xlfn.NORM.S.INV(0.99)*N1197*SQRT(10)</f>
        <v>1.2368375710509121E-2</v>
      </c>
      <c r="P1197">
        <f>LN(B1206)-LN(B1197)</f>
        <v>5.4511749641115159E-3</v>
      </c>
      <c r="Q1197">
        <f>IF(P1197&lt;-(O1197),1,0)</f>
        <v>0</v>
      </c>
    </row>
    <row r="1198" spans="1:17">
      <c r="A1198" s="64">
        <v>43027</v>
      </c>
      <c r="B1198">
        <v>2562.1000979999999</v>
      </c>
      <c r="C1198" s="68">
        <f>LN(B1198)-LN(B1197)</f>
        <v>3.2794415766979057E-4</v>
      </c>
      <c r="D1198" s="68"/>
      <c r="E1198" s="68"/>
      <c r="F1198" s="68"/>
      <c r="G1198" s="68"/>
      <c r="H1198" s="68"/>
      <c r="I1198">
        <f>_xlfn.STDEV.S(C1178:C1198)</f>
        <v>2.2206442025885947E-3</v>
      </c>
      <c r="J1198">
        <f>_xlfn.NORM.S.INV(0.99)*I1198*SQRT(10)</f>
        <v>1.6336297677978177E-2</v>
      </c>
      <c r="K1198">
        <f>LN(B1207)-LN(B1198)</f>
        <v>6.7140746597775802E-3</v>
      </c>
      <c r="L1198">
        <f>IF(K1198&lt;-(J1198),1,0)</f>
        <v>0</v>
      </c>
      <c r="M1198" s="72">
        <f t="shared" si="18"/>
        <v>1.0865168941948968E-2</v>
      </c>
      <c r="N1198">
        <f>SQRT((N1197^2)*0.72+(1-0.72)*(C1197^2))</f>
        <v>1.4796585523714771E-3</v>
      </c>
      <c r="O1198">
        <f>_xlfn.NORM.S.INV(0.99)*N1198*SQRT(10)</f>
        <v>1.0885193830299044E-2</v>
      </c>
      <c r="P1198">
        <f>LN(B1207)-LN(B1198)</f>
        <v>6.7140746597775802E-3</v>
      </c>
      <c r="Q1198">
        <f>IF(P1198&lt;-(O1198),1,0)</f>
        <v>0</v>
      </c>
    </row>
    <row r="1199" spans="1:17">
      <c r="A1199" s="64">
        <v>43028</v>
      </c>
      <c r="B1199">
        <v>2575.209961</v>
      </c>
      <c r="C1199" s="68">
        <f>LN(B1199)-LN(B1198)</f>
        <v>5.1037960751330047E-3</v>
      </c>
      <c r="D1199" s="68"/>
      <c r="E1199" s="68"/>
      <c r="F1199" s="68"/>
      <c r="G1199" s="68"/>
      <c r="H1199" s="68"/>
      <c r="I1199">
        <f>_xlfn.STDEV.S(C1179:C1199)</f>
        <v>2.1874859149890705E-3</v>
      </c>
      <c r="J1199">
        <f>_xlfn.NORM.S.INV(0.99)*I1199*SQRT(10)</f>
        <v>1.609236681499418E-2</v>
      </c>
      <c r="K1199">
        <f>LN(B1208)-LN(B1199)</f>
        <v>1.8002266511132348E-3</v>
      </c>
      <c r="L1199">
        <f>IF(K1199&lt;-(J1199),1,0)</f>
        <v>0</v>
      </c>
      <c r="M1199" s="72">
        <f t="shared" si="18"/>
        <v>9.2967415582926281E-3</v>
      </c>
      <c r="N1199">
        <f>SQRT((N1198^2)*0.72+(1-0.72)*(C1198^2))</f>
        <v>1.267467417533993E-3</v>
      </c>
      <c r="O1199">
        <f>_xlfn.NORM.S.INV(0.99)*N1199*SQRT(10)</f>
        <v>9.3241974584838926E-3</v>
      </c>
      <c r="P1199">
        <f>LN(B1208)-LN(B1199)</f>
        <v>1.8002266511132348E-3</v>
      </c>
      <c r="Q1199">
        <f>IF(P1199&lt;-(O1199),1,0)</f>
        <v>0</v>
      </c>
    </row>
    <row r="1200" spans="1:17">
      <c r="A1200" s="64">
        <v>43031</v>
      </c>
      <c r="B1200">
        <v>2564.9799800000001</v>
      </c>
      <c r="C1200" s="68">
        <f>LN(B1200)-LN(B1199)</f>
        <v>-3.9803955200170549E-3</v>
      </c>
      <c r="D1200" s="68"/>
      <c r="E1200" s="68"/>
      <c r="F1200" s="68"/>
      <c r="G1200" s="68"/>
      <c r="H1200" s="68"/>
      <c r="I1200">
        <f>_xlfn.STDEV.S(C1180:C1200)</f>
        <v>2.4805709893436414E-3</v>
      </c>
      <c r="J1200">
        <f>_xlfn.NORM.S.INV(0.99)*I1200*SQRT(10)</f>
        <v>1.8248464137585244E-2</v>
      </c>
      <c r="K1200">
        <f>LN(B1209)-LN(B1200)</f>
        <v>8.8729114064660664E-3</v>
      </c>
      <c r="L1200">
        <f>IF(K1200&lt;-(J1200),1,0)</f>
        <v>0</v>
      </c>
      <c r="M1200" s="72">
        <f t="shared" si="18"/>
        <v>2.1376264047943391E-2</v>
      </c>
      <c r="N1200">
        <f>SQRT((N1199^2)*0.72+(1-0.72)*(C1199^2))</f>
        <v>2.90694111682357E-3</v>
      </c>
      <c r="O1200">
        <f>_xlfn.NORM.S.INV(0.99)*N1200*SQRT(10)</f>
        <v>2.1385080672278282E-2</v>
      </c>
      <c r="P1200">
        <f>LN(B1209)-LN(B1200)</f>
        <v>8.8729114064660664E-3</v>
      </c>
      <c r="Q1200">
        <f>IF(P1200&lt;-(O1200),1,0)</f>
        <v>0</v>
      </c>
    </row>
    <row r="1201" spans="1:17">
      <c r="A1201" s="64">
        <v>43032</v>
      </c>
      <c r="B1201">
        <v>2569.1298830000001</v>
      </c>
      <c r="C1201" s="68">
        <f>LN(B1201)-LN(B1200)</f>
        <v>1.6166011302898298E-3</v>
      </c>
      <c r="D1201" s="68"/>
      <c r="E1201" s="68"/>
      <c r="F1201" s="68"/>
      <c r="G1201" s="68"/>
      <c r="H1201" s="68"/>
      <c r="I1201">
        <f>_xlfn.STDEV.S(C1181:C1201)</f>
        <v>2.3554692767091632E-3</v>
      </c>
      <c r="J1201">
        <f>_xlfn.NORM.S.INV(0.99)*I1201*SQRT(10)</f>
        <v>1.7328146143716895E-2</v>
      </c>
      <c r="K1201">
        <f>LN(B1210)-LN(B1201)</f>
        <v>8.5267541910498679E-3</v>
      </c>
      <c r="L1201">
        <f>IF(K1201&lt;-(J1201),1,0)</f>
        <v>0</v>
      </c>
      <c r="M1201" s="72">
        <f t="shared" si="18"/>
        <v>2.3853242231156362E-2</v>
      </c>
      <c r="N1201">
        <f>SQRT((N1200^2)*0.72+(1-0.72)*(C1200^2))</f>
        <v>3.2435188255389132E-3</v>
      </c>
      <c r="O1201">
        <f>_xlfn.NORM.S.INV(0.99)*N1201*SQRT(10)</f>
        <v>2.3861134078283702E-2</v>
      </c>
      <c r="P1201">
        <f>LN(B1210)-LN(B1201)</f>
        <v>8.5267541910498679E-3</v>
      </c>
      <c r="Q1201">
        <f>IF(P1201&lt;-(O1201),1,0)</f>
        <v>0</v>
      </c>
    </row>
    <row r="1202" spans="1:17">
      <c r="A1202" s="64">
        <v>43033</v>
      </c>
      <c r="B1202">
        <v>2557.1499020000001</v>
      </c>
      <c r="C1202" s="68">
        <f>LN(B1202)-LN(B1201)</f>
        <v>-4.6739558946686799E-3</v>
      </c>
      <c r="D1202" s="68"/>
      <c r="E1202" s="68"/>
      <c r="F1202" s="68"/>
      <c r="G1202" s="68"/>
      <c r="H1202" s="68"/>
      <c r="I1202">
        <f>_xlfn.STDEV.S(C1182:C1202)</f>
        <v>2.6894825927377746E-3</v>
      </c>
      <c r="J1202">
        <f>_xlfn.NORM.S.INV(0.99)*I1202*SQRT(10)</f>
        <v>1.9785334446413623E-2</v>
      </c>
      <c r="K1202">
        <f>LN(B1211)-LN(B1202)</f>
        <v>1.3011589371120458E-2</v>
      </c>
      <c r="L1202">
        <f>IF(K1202&lt;-(J1202),1,0)</f>
        <v>0</v>
      </c>
      <c r="M1202" s="72">
        <f t="shared" si="18"/>
        <v>2.119587417346484E-2</v>
      </c>
      <c r="N1202">
        <f>SQRT((N1201^2)*0.72+(1-0.72)*(C1201^2))</f>
        <v>2.8820912767671771E-3</v>
      </c>
      <c r="O1202">
        <f>_xlfn.NORM.S.INV(0.99)*N1202*SQRT(10)</f>
        <v>2.1202271384802979E-2</v>
      </c>
      <c r="P1202">
        <f>LN(B1211)-LN(B1202)</f>
        <v>1.3011589371120458E-2</v>
      </c>
      <c r="Q1202">
        <f>IF(P1202&lt;-(O1202),1,0)</f>
        <v>0</v>
      </c>
    </row>
    <row r="1203" spans="1:17">
      <c r="A1203" s="64">
        <v>43034</v>
      </c>
      <c r="B1203">
        <v>2560.3999020000001</v>
      </c>
      <c r="C1203" s="68">
        <f>LN(B1203)-LN(B1202)</f>
        <v>1.2701392507725728E-3</v>
      </c>
      <c r="D1203" s="68"/>
      <c r="E1203" s="68"/>
      <c r="F1203" s="68"/>
      <c r="G1203" s="68"/>
      <c r="H1203" s="68"/>
      <c r="I1203">
        <f>_xlfn.STDEV.S(C1183:C1203)</f>
        <v>2.6044558573884826E-3</v>
      </c>
      <c r="J1203">
        <f>_xlfn.NORM.S.INV(0.99)*I1203*SQRT(10)</f>
        <v>1.91598303437602E-2</v>
      </c>
      <c r="K1203">
        <f>LN(B1212)-LN(B1203)</f>
        <v>1.3184063961833914E-2</v>
      </c>
      <c r="L1203">
        <f>IF(K1203&lt;-(J1203),1,0)</f>
        <v>0</v>
      </c>
      <c r="M1203" s="72">
        <f t="shared" si="18"/>
        <v>2.5576451288911582E-2</v>
      </c>
      <c r="N1203">
        <f>SQRT((N1202^2)*0.72+(1-0.72)*(C1202^2))</f>
        <v>3.4781440351674396E-3</v>
      </c>
      <c r="O1203">
        <f>_xlfn.NORM.S.INV(0.99)*N1203*SQRT(10)</f>
        <v>2.5587168020498142E-2</v>
      </c>
      <c r="P1203">
        <f>LN(B1212)-LN(B1203)</f>
        <v>1.3184063961833914E-2</v>
      </c>
      <c r="Q1203">
        <f>IF(P1203&lt;-(O1203),1,0)</f>
        <v>0</v>
      </c>
    </row>
    <row r="1204" spans="1:17">
      <c r="A1204" s="64">
        <v>43035</v>
      </c>
      <c r="B1204">
        <v>2581.070068</v>
      </c>
      <c r="C1204" s="68">
        <f>LN(B1204)-LN(B1203)</f>
        <v>8.040609974748314E-3</v>
      </c>
      <c r="D1204" s="68"/>
      <c r="E1204" s="68"/>
      <c r="F1204" s="68"/>
      <c r="G1204" s="68"/>
      <c r="H1204" s="68"/>
      <c r="I1204">
        <f>_xlfn.STDEV.S(C1184:C1204)</f>
        <v>3.0242947331214809E-3</v>
      </c>
      <c r="J1204">
        <f>_xlfn.NORM.S.INV(0.99)*I1204*SQRT(10)</f>
        <v>2.224839934674001E-2</v>
      </c>
      <c r="K1204">
        <f>LN(B1213)-LN(B1204)</f>
        <v>1.3744725028992377E-3</v>
      </c>
      <c r="L1204">
        <f>IF(K1204&lt;-(J1204),1,0)</f>
        <v>0</v>
      </c>
      <c r="M1204" s="72">
        <f t="shared" si="18"/>
        <v>2.2257736627483333E-2</v>
      </c>
      <c r="N1204">
        <f>SQRT((N1203^2)*0.72+(1-0.72)*(C1203^2))</f>
        <v>3.0268632129195855E-3</v>
      </c>
      <c r="O1204">
        <f>_xlfn.NORM.S.INV(0.99)*N1204*SQRT(10)</f>
        <v>2.2267294517120204E-2</v>
      </c>
      <c r="P1204">
        <f>LN(B1213)-LN(B1204)</f>
        <v>1.3744725028992377E-3</v>
      </c>
      <c r="Q1204">
        <f>IF(P1204&lt;-(O1204),1,0)</f>
        <v>0</v>
      </c>
    </row>
    <row r="1205" spans="1:17">
      <c r="A1205" s="64">
        <v>43038</v>
      </c>
      <c r="B1205">
        <v>2572.830078</v>
      </c>
      <c r="C1205" s="68">
        <f>LN(B1205)-LN(B1204)</f>
        <v>-3.1975772860901586E-3</v>
      </c>
      <c r="D1205" s="68"/>
      <c r="E1205" s="68"/>
      <c r="F1205" s="68"/>
      <c r="G1205" s="68"/>
      <c r="H1205" s="68"/>
      <c r="I1205">
        <f>_xlfn.STDEV.S(C1185:C1205)</f>
        <v>3.126752564801754E-3</v>
      </c>
      <c r="J1205">
        <f>_xlfn.NORM.S.INV(0.99)*I1205*SQRT(10)</f>
        <v>2.3002136319019494E-2</v>
      </c>
      <c r="K1205">
        <f>LN(B1214)-LN(B1205)</f>
        <v>3.6740029520387907E-3</v>
      </c>
      <c r="L1205">
        <f>IF(K1205&lt;-(J1205),1,0)</f>
        <v>0</v>
      </c>
      <c r="M1205" s="72">
        <f t="shared" si="18"/>
        <v>3.6552495093401527E-2</v>
      </c>
      <c r="N1205">
        <f>SQRT((N1204^2)*0.72+(1-0.72)*(C1204^2))</f>
        <v>4.969805137979638E-3</v>
      </c>
      <c r="O1205">
        <f>_xlfn.NORM.S.INV(0.99)*N1205*SQRT(10)</f>
        <v>3.6560659308204367E-2</v>
      </c>
      <c r="P1205">
        <f>LN(B1214)-LN(B1205)</f>
        <v>3.6740029520387907E-3</v>
      </c>
      <c r="Q1205">
        <f>IF(P1205&lt;-(O1205),1,0)</f>
        <v>0</v>
      </c>
    </row>
    <row r="1206" spans="1:17">
      <c r="A1206" s="64">
        <v>43039</v>
      </c>
      <c r="B1206">
        <v>2575.26001</v>
      </c>
      <c r="C1206" s="68">
        <f>LN(B1206)-LN(B1205)</f>
        <v>9.4401307627389741E-4</v>
      </c>
      <c r="D1206" s="68"/>
      <c r="E1206" s="68"/>
      <c r="F1206" s="68"/>
      <c r="G1206" s="68"/>
      <c r="H1206" s="68"/>
      <c r="I1206">
        <f>_xlfn.STDEV.S(C1186:C1206)</f>
        <v>3.0570537308072729E-3</v>
      </c>
      <c r="J1206">
        <f>_xlfn.NORM.S.INV(0.99)*I1206*SQRT(10)</f>
        <v>2.248939281035001E-2</v>
      </c>
      <c r="K1206">
        <f>LN(B1215)-LN(B1206)</f>
        <v>3.7131407628132607E-3</v>
      </c>
      <c r="L1206">
        <f>IF(K1206&lt;-(J1206),1,0)</f>
        <v>0</v>
      </c>
      <c r="M1206" s="72">
        <f t="shared" si="18"/>
        <v>3.3415543619372753E-2</v>
      </c>
      <c r="N1206">
        <f>SQRT((N1205^2)*0.72+(1-0.72)*(C1205^2))</f>
        <v>4.5437994650927831E-3</v>
      </c>
      <c r="O1206">
        <f>_xlfn.NORM.S.INV(0.99)*N1206*SQRT(10)</f>
        <v>3.3426723904831521E-2</v>
      </c>
      <c r="P1206">
        <f>LN(B1215)-LN(B1206)</f>
        <v>3.7131407628132607E-3</v>
      </c>
      <c r="Q1206">
        <f>IF(P1206&lt;-(O1206),1,0)</f>
        <v>0</v>
      </c>
    </row>
    <row r="1207" spans="1:17">
      <c r="A1207" s="64">
        <v>43040</v>
      </c>
      <c r="B1207">
        <v>2579.360107</v>
      </c>
      <c r="C1207" s="68">
        <f>LN(B1207)-LN(B1206)</f>
        <v>1.5908438533358549E-3</v>
      </c>
      <c r="D1207" s="68"/>
      <c r="E1207" s="68"/>
      <c r="F1207" s="68"/>
      <c r="G1207" s="68"/>
      <c r="H1207" s="68"/>
      <c r="I1207">
        <f>_xlfn.STDEV.S(C1187:C1207)</f>
        <v>3.0475443423996127E-3</v>
      </c>
      <c r="J1207">
        <f>_xlfn.NORM.S.INV(0.99)*I1207*SQRT(10)</f>
        <v>2.2419436443822691E-2</v>
      </c>
      <c r="K1207">
        <f>LN(B1216)-LN(B1207)</f>
        <v>-1.8998376582501919E-4</v>
      </c>
      <c r="L1207">
        <f>IF(K1207&lt;-(J1207),1,0)</f>
        <v>0</v>
      </c>
      <c r="M1207" s="72">
        <f t="shared" si="18"/>
        <v>2.8589442298598028E-2</v>
      </c>
      <c r="N1207">
        <f>SQRT((N1206^2)*0.72+(1-0.72)*(C1206^2))</f>
        <v>3.8877662956449789E-3</v>
      </c>
      <c r="O1207">
        <f>_xlfn.NORM.S.INV(0.99)*N1207*SQRT(10)</f>
        <v>2.860057790168798E-2</v>
      </c>
      <c r="P1207">
        <f>LN(B1216)-LN(B1207)</f>
        <v>-1.8998376582501919E-4</v>
      </c>
      <c r="Q1207">
        <f>IF(P1207&lt;-(O1207),1,0)</f>
        <v>0</v>
      </c>
    </row>
    <row r="1208" spans="1:17">
      <c r="A1208" s="64">
        <v>43041</v>
      </c>
      <c r="B1208">
        <v>2579.8500979999999</v>
      </c>
      <c r="C1208" s="68">
        <f>LN(B1208)-LN(B1207)</f>
        <v>1.8994806646865925E-4</v>
      </c>
      <c r="D1208" s="68"/>
      <c r="E1208" s="68"/>
      <c r="F1208" s="68"/>
      <c r="G1208" s="68"/>
      <c r="H1208" s="68"/>
      <c r="I1208">
        <f>_xlfn.STDEV.S(C1188:C1208)</f>
        <v>3.0491184914923745E-3</v>
      </c>
      <c r="J1208">
        <f>_xlfn.NORM.S.INV(0.99)*I1208*SQRT(10)</f>
        <v>2.2431016762785496E-2</v>
      </c>
      <c r="K1208">
        <f>LN(B1217)-LN(B1208)</f>
        <v>-5.9209305748213481E-3</v>
      </c>
      <c r="L1208">
        <f>IF(K1208&lt;-(J1208),1,0)</f>
        <v>0</v>
      </c>
      <c r="M1208" s="72">
        <f t="shared" si="18"/>
        <v>2.5036238576630242E-2</v>
      </c>
      <c r="N1208">
        <f>SQRT((N1207^2)*0.72+(1-0.72)*(C1207^2))</f>
        <v>3.4045884979646557E-3</v>
      </c>
      <c r="O1208">
        <f>_xlfn.NORM.S.INV(0.99)*N1208*SQRT(10)</f>
        <v>2.5046052451327922E-2</v>
      </c>
      <c r="P1208">
        <f>LN(B1217)-LN(B1208)</f>
        <v>-5.9209305748213481E-3</v>
      </c>
      <c r="Q1208">
        <f>IF(P1208&lt;-(O1208),1,0)</f>
        <v>0</v>
      </c>
    </row>
    <row r="1209" spans="1:17">
      <c r="A1209" s="64">
        <v>43042</v>
      </c>
      <c r="B1209">
        <v>2587.8400879999999</v>
      </c>
      <c r="C1209" s="68">
        <f>LN(B1209)-LN(B1208)</f>
        <v>3.0922892353357767E-3</v>
      </c>
      <c r="D1209" s="68"/>
      <c r="E1209" s="68"/>
      <c r="F1209" s="68"/>
      <c r="G1209" s="68"/>
      <c r="H1209" s="68"/>
      <c r="I1209">
        <f>_xlfn.STDEV.S(C1189:C1209)</f>
        <v>2.8936975267810244E-3</v>
      </c>
      <c r="J1209">
        <f>_xlfn.NORM.S.INV(0.99)*I1209*SQRT(10)</f>
        <v>2.1287653435169366E-2</v>
      </c>
      <c r="K1209">
        <f>LN(B1218)-LN(B1209)</f>
        <v>-8.5056679091355392E-4</v>
      </c>
      <c r="L1209">
        <f>IF(K1209&lt;-(J1209),1,0)</f>
        <v>0</v>
      </c>
      <c r="M1209" s="72">
        <f t="shared" si="18"/>
        <v>2.1240970008757212E-2</v>
      </c>
      <c r="N1209">
        <f>SQRT((N1208^2)*0.72+(1-0.72)*(C1208^2))</f>
        <v>2.8906371131928992E-3</v>
      </c>
      <c r="O1209">
        <f>_xlfn.NORM.S.INV(0.99)*N1209*SQRT(10)</f>
        <v>2.1265139325374084E-2</v>
      </c>
      <c r="P1209">
        <f>LN(B1218)-LN(B1209)</f>
        <v>-8.5056679091355392E-4</v>
      </c>
      <c r="Q1209">
        <f>IF(P1209&lt;-(O1209),1,0)</f>
        <v>0</v>
      </c>
    </row>
    <row r="1210" spans="1:17">
      <c r="A1210" s="64">
        <v>43045</v>
      </c>
      <c r="B1210">
        <v>2591.1298830000001</v>
      </c>
      <c r="C1210" s="68">
        <f>LN(B1210)-LN(B1209)</f>
        <v>1.2704439148736313E-3</v>
      </c>
      <c r="D1210" s="68"/>
      <c r="E1210" s="68"/>
      <c r="F1210" s="68"/>
      <c r="G1210" s="68"/>
      <c r="H1210" s="68"/>
      <c r="I1210">
        <f>_xlfn.STDEV.S(C1190:C1210)</f>
        <v>2.8684486922784056E-3</v>
      </c>
      <c r="J1210">
        <f>_xlfn.NORM.S.INV(0.99)*I1210*SQRT(10)</f>
        <v>2.1101908921943895E-2</v>
      </c>
      <c r="K1210">
        <f>LN(B1219)-LN(B1210)</f>
        <v>-4.7504277145495877E-3</v>
      </c>
      <c r="L1210">
        <f>IF(K1210&lt;-(J1210),1,0)</f>
        <v>0</v>
      </c>
      <c r="M1210" s="72">
        <f t="shared" si="18"/>
        <v>2.1673116009618153E-2</v>
      </c>
      <c r="N1210">
        <f>SQRT((N1209^2)*0.72+(1-0.72)*(C1209^2))</f>
        <v>2.9484902005456411E-3</v>
      </c>
      <c r="O1210">
        <f>_xlfn.NORM.S.INV(0.99)*N1210*SQRT(10)</f>
        <v>2.16907389128644E-2</v>
      </c>
      <c r="P1210">
        <f>LN(B1219)-LN(B1210)</f>
        <v>-4.7504277145495877E-3</v>
      </c>
      <c r="Q1210">
        <f>IF(P1210&lt;-(O1210),1,0)</f>
        <v>0</v>
      </c>
    </row>
    <row r="1211" spans="1:17">
      <c r="A1211" s="64">
        <v>43046</v>
      </c>
      <c r="B1211">
        <v>2590.639893</v>
      </c>
      <c r="C1211" s="68">
        <f>LN(B1211)-LN(B1210)</f>
        <v>-1.8912071459808999E-4</v>
      </c>
      <c r="D1211" s="68"/>
      <c r="E1211" s="68"/>
      <c r="F1211" s="68"/>
      <c r="G1211" s="68"/>
      <c r="H1211" s="68"/>
      <c r="I1211">
        <f>_xlfn.STDEV.S(C1191:C1211)</f>
        <v>2.8169565009017305E-3</v>
      </c>
      <c r="J1211">
        <f>_xlfn.NORM.S.INV(0.99)*I1211*SQRT(10)</f>
        <v>2.0723103634072829E-2</v>
      </c>
      <c r="K1211">
        <f>LN(B1220)-LN(B1211)</f>
        <v>-3.2864370810754551E-3</v>
      </c>
      <c r="L1211">
        <f>IF(K1211&lt;-(J1211),1,0)</f>
        <v>0</v>
      </c>
      <c r="M1211" s="72">
        <f t="shared" si="18"/>
        <v>1.9041791423763048E-2</v>
      </c>
      <c r="N1211">
        <f>SQRT((N1210^2)*0.72+(1-0.72)*(C1210^2))</f>
        <v>2.5906207326795035E-3</v>
      </c>
      <c r="O1211">
        <f>_xlfn.NORM.S.INV(0.99)*N1211*SQRT(10)</f>
        <v>1.9058051447620798E-2</v>
      </c>
      <c r="P1211">
        <f>LN(B1220)-LN(B1211)</f>
        <v>-3.2864370810754551E-3</v>
      </c>
      <c r="Q1211">
        <f>IF(P1211&lt;-(O1211),1,0)</f>
        <v>0</v>
      </c>
    </row>
    <row r="1212" spans="1:17">
      <c r="A1212" s="64">
        <v>43047</v>
      </c>
      <c r="B1212">
        <v>2594.3798830000001</v>
      </c>
      <c r="C1212" s="68">
        <f>LN(B1212)-LN(B1211)</f>
        <v>1.442613841486029E-3</v>
      </c>
      <c r="D1212" s="68"/>
      <c r="E1212" s="68"/>
      <c r="F1212" s="68"/>
      <c r="G1212" s="68"/>
      <c r="H1212" s="68"/>
      <c r="I1212">
        <f>_xlfn.STDEV.S(C1192:C1212)</f>
        <v>2.8005525803357187E-3</v>
      </c>
      <c r="J1212">
        <f>_xlfn.NORM.S.INV(0.99)*I1212*SQRT(10)</f>
        <v>2.0602427242447423E-2</v>
      </c>
      <c r="K1212">
        <f>LN(B1221)-LN(B1212)</f>
        <v>1.7907876795844047E-3</v>
      </c>
      <c r="L1212">
        <f>IF(K1212&lt;-(J1212),1,0)</f>
        <v>0</v>
      </c>
      <c r="M1212" s="72">
        <f t="shared" si="18"/>
        <v>1.6170725351613818E-2</v>
      </c>
      <c r="N1212">
        <f>SQRT((N1211^2)*0.72+(1-0.72)*(C1211^2))</f>
        <v>2.2004913138972452E-3</v>
      </c>
      <c r="O1212">
        <f>_xlfn.NORM.S.INV(0.99)*N1212*SQRT(10)</f>
        <v>1.6188041785229004E-2</v>
      </c>
      <c r="P1212">
        <f>LN(B1221)-LN(B1212)</f>
        <v>1.7907876795844047E-3</v>
      </c>
      <c r="Q1212">
        <f>IF(P1212&lt;-(O1212),1,0)</f>
        <v>0</v>
      </c>
    </row>
    <row r="1213" spans="1:17">
      <c r="A1213" s="64">
        <v>43048</v>
      </c>
      <c r="B1213">
        <v>2584.6201169999999</v>
      </c>
      <c r="C1213" s="68">
        <f>LN(B1213)-LN(B1212)</f>
        <v>-3.7689814841863623E-3</v>
      </c>
      <c r="D1213" s="68"/>
      <c r="E1213" s="68"/>
      <c r="F1213" s="68"/>
      <c r="G1213" s="68"/>
      <c r="H1213" s="68"/>
      <c r="I1213">
        <f>_xlfn.STDEV.S(C1193:C1213)</f>
        <v>2.9611123120752143E-3</v>
      </c>
      <c r="J1213">
        <f>_xlfn.NORM.S.INV(0.99)*I1213*SQRT(10)</f>
        <v>2.1783594207301655E-2</v>
      </c>
      <c r="K1213">
        <f>LN(B1222)-LN(B1213)</f>
        <v>4.8092265265351486E-3</v>
      </c>
      <c r="L1213">
        <f>IF(K1213&lt;-(J1213),1,0)</f>
        <v>0</v>
      </c>
      <c r="M1213" s="72">
        <f t="shared" si="18"/>
        <v>1.4823683871772885E-2</v>
      </c>
      <c r="N1213">
        <f>SQRT((N1212^2)*0.72+(1-0.72)*(C1212^2))</f>
        <v>2.0171946785097327E-3</v>
      </c>
      <c r="O1213">
        <f>_xlfn.NORM.S.INV(0.99)*N1213*SQRT(10)</f>
        <v>1.4839609471951763E-2</v>
      </c>
      <c r="P1213">
        <f>LN(B1222)-LN(B1213)</f>
        <v>4.8092265265351486E-3</v>
      </c>
      <c r="Q1213">
        <f>IF(P1213&lt;-(O1213),1,0)</f>
        <v>0</v>
      </c>
    </row>
    <row r="1214" spans="1:17">
      <c r="A1214" s="64">
        <v>43049</v>
      </c>
      <c r="B1214">
        <v>2582.3000489999999</v>
      </c>
      <c r="C1214" s="68">
        <f>LN(B1214)-LN(B1213)</f>
        <v>-8.9804683695060561E-4</v>
      </c>
      <c r="D1214" s="68"/>
      <c r="E1214" s="68"/>
      <c r="F1214" s="68"/>
      <c r="G1214" s="68"/>
      <c r="H1214" s="68"/>
      <c r="I1214">
        <f>_xlfn.STDEV.S(C1194:C1214)</f>
        <v>2.9362411992549953E-3</v>
      </c>
      <c r="J1214">
        <f>_xlfn.NORM.S.INV(0.99)*I1214*SQRT(10)</f>
        <v>2.1600628425507324E-2</v>
      </c>
      <c r="K1214">
        <f>LN(B1223)-LN(B1214)</f>
        <v>7.7612577378811665E-3</v>
      </c>
      <c r="L1214">
        <f>IF(K1214&lt;-(J1214),1,0)</f>
        <v>0</v>
      </c>
      <c r="M1214" s="72">
        <f t="shared" si="18"/>
        <v>1.9323805677819418E-2</v>
      </c>
      <c r="N1214">
        <f>SQRT((N1213^2)*0.72+(1-0.72)*(C1213^2))</f>
        <v>2.6281543993846418E-3</v>
      </c>
      <c r="O1214">
        <f>_xlfn.NORM.S.INV(0.99)*N1214*SQRT(10)</f>
        <v>1.9334170040381581E-2</v>
      </c>
      <c r="P1214">
        <f>LN(B1223)-LN(B1214)</f>
        <v>7.7612577378811665E-3</v>
      </c>
      <c r="Q1214">
        <f>IF(P1214&lt;-(O1214),1,0)</f>
        <v>0</v>
      </c>
    </row>
    <row r="1215" spans="1:17">
      <c r="A1215" s="64">
        <v>43052</v>
      </c>
      <c r="B1215">
        <v>2584.8400879999999</v>
      </c>
      <c r="C1215" s="68">
        <f>LN(B1215)-LN(B1214)</f>
        <v>9.8315088704836739E-4</v>
      </c>
      <c r="D1215" s="68"/>
      <c r="E1215" s="68"/>
      <c r="F1215" s="68"/>
      <c r="G1215" s="68"/>
      <c r="H1215" s="68"/>
      <c r="I1215">
        <f>_xlfn.STDEV.S(C1195:C1215)</f>
        <v>2.9368621320312259E-3</v>
      </c>
      <c r="J1215">
        <f>_xlfn.NORM.S.INV(0.99)*I1215*SQRT(10)</f>
        <v>2.1605196353435031E-2</v>
      </c>
      <c r="K1215">
        <f>LN(B1224)-LN(B1215)</f>
        <v>6.3937752640477186E-3</v>
      </c>
      <c r="L1215">
        <f>IF(K1215&lt;-(J1215),1,0)</f>
        <v>0</v>
      </c>
      <c r="M1215" s="72">
        <f t="shared" si="18"/>
        <v>1.676482663563434E-2</v>
      </c>
      <c r="N1215">
        <f>SQRT((N1214^2)*0.72+(1-0.72)*(C1214^2))</f>
        <v>2.2801310198809731E-3</v>
      </c>
      <c r="O1215">
        <f>_xlfn.NORM.S.INV(0.99)*N1215*SQRT(10)</f>
        <v>1.6773915894381767E-2</v>
      </c>
      <c r="P1215">
        <f>LN(B1224)-LN(B1215)</f>
        <v>6.3937752640477186E-3</v>
      </c>
      <c r="Q1215">
        <f>IF(P1215&lt;-(O1215),1,0)</f>
        <v>0</v>
      </c>
    </row>
    <row r="1216" spans="1:17">
      <c r="A1216" s="64">
        <v>43053</v>
      </c>
      <c r="B1216">
        <v>2578.8701169999999</v>
      </c>
      <c r="C1216" s="68">
        <f>LN(B1216)-LN(B1215)</f>
        <v>-2.312280675302425E-3</v>
      </c>
      <c r="D1216" s="68"/>
      <c r="E1216" s="68"/>
      <c r="F1216" s="68"/>
      <c r="G1216" s="68"/>
      <c r="H1216" s="68"/>
      <c r="I1216">
        <f>_xlfn.STDEV.S(C1196:C1216)</f>
        <v>2.9897583817289097E-3</v>
      </c>
      <c r="J1216">
        <f>_xlfn.NORM.S.INV(0.99)*I1216*SQRT(10)</f>
        <v>2.1994330677656229E-2</v>
      </c>
      <c r="K1216">
        <f>LN(B1225)-LN(B1216)</f>
        <v>1.8506388064302826E-2</v>
      </c>
      <c r="L1216">
        <f>IF(K1216&lt;-(J1216),1,0)</f>
        <v>0</v>
      </c>
      <c r="M1216" s="72">
        <f t="shared" si="18"/>
        <v>1.4729044552628807E-2</v>
      </c>
      <c r="N1216">
        <f>SQRT((N1215^2)*0.72+(1-0.72)*(C1215^2))</f>
        <v>2.0034775175953434E-3</v>
      </c>
      <c r="O1216">
        <f>_xlfn.NORM.S.INV(0.99)*N1216*SQRT(10)</f>
        <v>1.4738698383298761E-2</v>
      </c>
      <c r="P1216">
        <f>LN(B1225)-LN(B1216)</f>
        <v>1.8506388064302826E-2</v>
      </c>
      <c r="Q1216">
        <f>IF(P1216&lt;-(O1216),1,0)</f>
        <v>0</v>
      </c>
    </row>
    <row r="1217" spans="1:17">
      <c r="A1217" s="64">
        <v>43054</v>
      </c>
      <c r="B1217">
        <v>2564.6201169999999</v>
      </c>
      <c r="C1217" s="68">
        <f>LN(B1217)-LN(B1216)</f>
        <v>-5.5409987425276697E-3</v>
      </c>
      <c r="D1217" s="68"/>
      <c r="E1217" s="68"/>
      <c r="F1217" s="68"/>
      <c r="G1217" s="68"/>
      <c r="H1217" s="68"/>
      <c r="I1217">
        <f>_xlfn.STDEV.S(C1197:C1217)</f>
        <v>3.2563552937936594E-3</v>
      </c>
      <c r="J1217">
        <f>_xlfn.NORM.S.INV(0.99)*I1217*SQRT(10)</f>
        <v>2.3955566300383486E-2</v>
      </c>
      <c r="K1217">
        <f>LN(B1226)-LN(B1217)</f>
        <v>2.3678092810981433E-2</v>
      </c>
      <c r="L1217">
        <f>IF(K1217&lt;-(J1217),1,0)</f>
        <v>0</v>
      </c>
      <c r="M1217" s="72">
        <f t="shared" si="18"/>
        <v>1.5401620476068398E-2</v>
      </c>
      <c r="N1217">
        <f>SQRT((N1216^2)*0.72+(1-0.72)*(C1216^2))</f>
        <v>2.094536630310573E-3</v>
      </c>
      <c r="O1217">
        <f>_xlfn.NORM.S.INV(0.99)*N1217*SQRT(10)</f>
        <v>1.5408580019390895E-2</v>
      </c>
      <c r="P1217">
        <f>LN(B1226)-LN(B1217)</f>
        <v>2.3678092810981433E-2</v>
      </c>
      <c r="Q1217">
        <f>IF(P1217&lt;-(O1217),1,0)</f>
        <v>0</v>
      </c>
    </row>
    <row r="1218" spans="1:17">
      <c r="A1218" s="64">
        <v>43055</v>
      </c>
      <c r="B1218">
        <v>2585.639893</v>
      </c>
      <c r="C1218" s="68">
        <f>LN(B1218)-LN(B1217)</f>
        <v>8.1626530192435709E-3</v>
      </c>
      <c r="D1218" s="68"/>
      <c r="E1218" s="68"/>
      <c r="F1218" s="68"/>
      <c r="G1218" s="68"/>
      <c r="H1218" s="68"/>
      <c r="I1218">
        <f>_xlfn.STDEV.S(C1198:C1218)</f>
        <v>3.7019057555519406E-3</v>
      </c>
      <c r="J1218">
        <f>_xlfn.NORM.S.INV(0.99)*I1218*SQRT(10)</f>
        <v>2.7233284074964045E-2</v>
      </c>
      <c r="K1218">
        <f>LN(B1227)-LN(B1218)</f>
        <v>2.3673026544185127E-2</v>
      </c>
      <c r="L1218">
        <f>IF(K1218&lt;-(J1218),1,0)</f>
        <v>0</v>
      </c>
      <c r="M1218" s="72">
        <f t="shared" si="18"/>
        <v>2.5219561886892693E-2</v>
      </c>
      <c r="N1218">
        <f>SQRT((N1217^2)*0.72+(1-0.72)*(C1217^2))</f>
        <v>3.4286217404413824E-3</v>
      </c>
      <c r="O1218">
        <f>_xlfn.NORM.S.INV(0.99)*N1218*SQRT(10)</f>
        <v>2.5222854391417724E-2</v>
      </c>
      <c r="P1218">
        <f>LN(B1227)-LN(B1218)</f>
        <v>2.3673026544185127E-2</v>
      </c>
      <c r="Q1218">
        <f>IF(P1218&lt;-(O1218),1,0)</f>
        <v>0</v>
      </c>
    </row>
    <row r="1219" spans="1:17">
      <c r="A1219" s="64">
        <v>43056</v>
      </c>
      <c r="B1219">
        <v>2578.8500979999999</v>
      </c>
      <c r="C1219" s="68">
        <f>LN(B1219)-LN(B1218)</f>
        <v>-2.6294170087624025E-3</v>
      </c>
      <c r="D1219" s="68"/>
      <c r="E1219" s="68"/>
      <c r="F1219" s="68"/>
      <c r="G1219" s="68"/>
      <c r="H1219" s="68"/>
      <c r="I1219">
        <f>_xlfn.STDEV.S(C1199:C1219)</f>
        <v>3.7625804486179394E-3</v>
      </c>
      <c r="J1219">
        <f>_xlfn.NORM.S.INV(0.99)*I1219*SQRT(10)</f>
        <v>2.7679640968288372E-2</v>
      </c>
      <c r="K1219">
        <f>LN(B1228)-LN(B1219)</f>
        <v>2.4275860776713287E-2</v>
      </c>
      <c r="L1219">
        <f>IF(K1219&lt;-(J1219),1,0)</f>
        <v>0</v>
      </c>
      <c r="M1219" s="72">
        <f t="shared" si="18"/>
        <v>3.830906840816372E-2</v>
      </c>
      <c r="N1219">
        <f>SQRT((N1218^2)*0.72+(1-0.72)*(C1218^2))</f>
        <v>5.2076880739554843E-3</v>
      </c>
      <c r="O1219">
        <f>_xlfn.NORM.S.INV(0.99)*N1219*SQRT(10)</f>
        <v>3.8310658902953855E-2</v>
      </c>
      <c r="P1219">
        <f>LN(B1228)-LN(B1219)</f>
        <v>2.4275860776713287E-2</v>
      </c>
      <c r="Q1219">
        <f>IF(P1219&lt;-(O1219),1,0)</f>
        <v>0</v>
      </c>
    </row>
    <row r="1220" spans="1:17">
      <c r="A1220" s="64">
        <v>43059</v>
      </c>
      <c r="B1220">
        <v>2582.139893</v>
      </c>
      <c r="C1220" s="68">
        <f>LN(B1220)-LN(B1219)</f>
        <v>1.2748699188760426E-3</v>
      </c>
      <c r="D1220" s="68"/>
      <c r="E1220" s="68"/>
      <c r="F1220" s="68"/>
      <c r="G1220" s="68"/>
      <c r="H1220" s="68"/>
      <c r="I1220">
        <f>_xlfn.STDEV.S(C1200:C1220)</f>
        <v>3.6082884170808294E-3</v>
      </c>
      <c r="J1220">
        <f>_xlfn.NORM.S.INV(0.99)*I1220*SQRT(10)</f>
        <v>2.6544582702947159E-2</v>
      </c>
      <c r="K1220">
        <f>LN(B1229)-LN(B1220)</f>
        <v>2.1948280042277446E-2</v>
      </c>
      <c r="L1220">
        <f>IF(K1220&lt;-(J1220),1,0)</f>
        <v>0</v>
      </c>
      <c r="M1220" s="72">
        <f t="shared" si="18"/>
        <v>3.4071617949529287E-2</v>
      </c>
      <c r="N1220">
        <f>SQRT((N1219^2)*0.72+(1-0.72)*(C1219^2))</f>
        <v>4.6327404762317968E-3</v>
      </c>
      <c r="O1220">
        <f>_xlfn.NORM.S.INV(0.99)*N1220*SQRT(10)</f>
        <v>3.4081023604015027E-2</v>
      </c>
      <c r="P1220">
        <f>LN(B1229)-LN(B1220)</f>
        <v>2.1948280042277446E-2</v>
      </c>
      <c r="Q1220">
        <f>IF(P1220&lt;-(O1220),1,0)</f>
        <v>0</v>
      </c>
    </row>
    <row r="1221" spans="1:17">
      <c r="A1221" s="64">
        <v>43060</v>
      </c>
      <c r="B1221">
        <v>2599.030029</v>
      </c>
      <c r="C1221" s="68">
        <f>LN(B1221)-LN(B1220)</f>
        <v>6.5198386021458887E-3</v>
      </c>
      <c r="D1221" s="68"/>
      <c r="E1221" s="68"/>
      <c r="F1221" s="68"/>
      <c r="G1221" s="68"/>
      <c r="H1221" s="68"/>
      <c r="I1221">
        <f>_xlfn.STDEV.S(C1201:C1221)</f>
        <v>3.7357861078137966E-3</v>
      </c>
      <c r="J1221">
        <f>_xlfn.NORM.S.INV(0.99)*I1221*SQRT(10)</f>
        <v>2.7482526848452593E-2</v>
      </c>
      <c r="K1221">
        <f>LN(B1230)-LN(B1221)</f>
        <v>1.1682050931423937E-2</v>
      </c>
      <c r="L1221">
        <f>IF(K1221&lt;-(J1221),1,0)</f>
        <v>0</v>
      </c>
      <c r="M1221" s="72">
        <f t="shared" si="18"/>
        <v>2.9327839213778711E-2</v>
      </c>
      <c r="N1221">
        <f>SQRT((N1220^2)*0.72+(1-0.72)*(C1220^2))</f>
        <v>3.9884742492962422E-3</v>
      </c>
      <c r="O1221">
        <f>_xlfn.NORM.S.INV(0.99)*N1221*SQRT(10)</f>
        <v>2.9341441794908364E-2</v>
      </c>
      <c r="P1221">
        <f>LN(B1230)-LN(B1221)</f>
        <v>1.1682050931423937E-2</v>
      </c>
      <c r="Q1221">
        <f>IF(P1221&lt;-(O1221),1,0)</f>
        <v>0</v>
      </c>
    </row>
    <row r="1222" spans="1:17">
      <c r="A1222" s="64">
        <v>43061</v>
      </c>
      <c r="B1222">
        <v>2597.080078</v>
      </c>
      <c r="C1222" s="68">
        <f>LN(B1222)-LN(B1221)</f>
        <v>-7.5054263723561832E-4</v>
      </c>
      <c r="D1222" s="68"/>
      <c r="E1222" s="68"/>
      <c r="F1222" s="68"/>
      <c r="G1222" s="68"/>
      <c r="H1222" s="68"/>
      <c r="I1222">
        <f>_xlfn.STDEV.S(C1202:C1222)</f>
        <v>3.7401744298749609E-3</v>
      </c>
      <c r="J1222">
        <f>_xlfn.NORM.S.INV(0.99)*I1222*SQRT(10)</f>
        <v>2.7514809793831443E-2</v>
      </c>
      <c r="K1222">
        <f>LN(B1231)-LN(B1222)</f>
        <v>1.2318481713077922E-2</v>
      </c>
      <c r="L1222">
        <f>IF(K1222&lt;-(J1222),1,0)</f>
        <v>0</v>
      </c>
      <c r="M1222" s="72">
        <f t="shared" si="18"/>
        <v>3.554396687425046E-2</v>
      </c>
      <c r="N1222">
        <f>SQRT((N1221^2)*0.72+(1-0.72)*(C1221^2))</f>
        <v>4.8328076761137836E-3</v>
      </c>
      <c r="O1222">
        <f>_xlfn.NORM.S.INV(0.99)*N1222*SQRT(10)</f>
        <v>3.5552829546210439E-2</v>
      </c>
      <c r="P1222">
        <f>LN(B1231)-LN(B1222)</f>
        <v>1.2318481713077922E-2</v>
      </c>
      <c r="Q1222">
        <f>IF(P1222&lt;-(O1222),1,0)</f>
        <v>0</v>
      </c>
    </row>
    <row r="1223" spans="1:17">
      <c r="A1223" s="64">
        <v>43063</v>
      </c>
      <c r="B1223">
        <v>2602.419922</v>
      </c>
      <c r="C1223" s="68">
        <f>LN(B1223)-LN(B1222)</f>
        <v>2.0539843743954123E-3</v>
      </c>
      <c r="D1223" s="68"/>
      <c r="E1223" s="68"/>
      <c r="F1223" s="68"/>
      <c r="G1223" s="68"/>
      <c r="H1223" s="68"/>
      <c r="I1223">
        <f>_xlfn.STDEV.S(C1203:C1223)</f>
        <v>3.5571217360891015E-3</v>
      </c>
      <c r="J1223">
        <f>_xlfn.NORM.S.INV(0.99)*I1223*SQRT(10)</f>
        <v>2.6168172051073874E-2</v>
      </c>
      <c r="K1223">
        <f>LN(B1232)-LN(B1223)</f>
        <v>1.3192563992750372E-2</v>
      </c>
      <c r="L1223">
        <f>IF(K1223&lt;-(J1223),1,0)</f>
        <v>0</v>
      </c>
      <c r="M1223" s="72">
        <f t="shared" si="18"/>
        <v>3.0293580865379179E-2</v>
      </c>
      <c r="N1223">
        <f>SQRT((N1222^2)*0.72+(1-0.72)*(C1222^2))</f>
        <v>4.1199599045118763E-3</v>
      </c>
      <c r="O1223">
        <f>_xlfn.NORM.S.INV(0.99)*N1223*SQRT(10)</f>
        <v>3.0308723632080977E-2</v>
      </c>
      <c r="P1223">
        <f>LN(B1232)-LN(B1223)</f>
        <v>1.3192563992750372E-2</v>
      </c>
      <c r="Q1223">
        <f>IF(P1223&lt;-(O1223),1,0)</f>
        <v>0</v>
      </c>
    </row>
    <row r="1224" spans="1:17">
      <c r="A1224" s="64">
        <v>43066</v>
      </c>
      <c r="B1224">
        <v>2601.419922</v>
      </c>
      <c r="C1224" s="68">
        <f>LN(B1224)-LN(B1223)</f>
        <v>-3.843315867850805E-4</v>
      </c>
      <c r="D1224" s="68"/>
      <c r="E1224" s="68"/>
      <c r="F1224" s="68"/>
      <c r="G1224" s="68"/>
      <c r="H1224" s="68"/>
      <c r="I1224">
        <f>_xlfn.STDEV.S(C1204:C1224)</f>
        <v>3.5653295391187192E-3</v>
      </c>
      <c r="J1224">
        <f>_xlfn.NORM.S.INV(0.99)*I1224*SQRT(10)</f>
        <v>2.622855322939039E-2</v>
      </c>
      <c r="K1224">
        <f>LN(B1233)-LN(B1224)</f>
        <v>1.906809779281371E-2</v>
      </c>
      <c r="L1224">
        <f>IF(K1224&lt;-(J1224),1,0)</f>
        <v>0</v>
      </c>
      <c r="M1224" s="72">
        <f t="shared" si="18"/>
        <v>2.6919138730422405E-2</v>
      </c>
      <c r="N1224">
        <f>SQRT((N1223^2)*0.72+(1-0.72)*(C1223^2))</f>
        <v>3.6609573378446393E-3</v>
      </c>
      <c r="O1224">
        <f>_xlfn.NORM.S.INV(0.99)*N1224*SQRT(10)</f>
        <v>2.693204466870127E-2</v>
      </c>
      <c r="P1224">
        <f>LN(B1233)-LN(B1224)</f>
        <v>1.906809779281371E-2</v>
      </c>
      <c r="Q1224">
        <f>IF(P1224&lt;-(O1224),1,0)</f>
        <v>0</v>
      </c>
    </row>
    <row r="1225" spans="1:17">
      <c r="A1225" s="64">
        <v>43067</v>
      </c>
      <c r="B1225">
        <v>2627.040039</v>
      </c>
      <c r="C1225" s="68">
        <f>LN(B1225)-LN(B1224)</f>
        <v>9.800332124952682E-3</v>
      </c>
      <c r="D1225" s="68"/>
      <c r="E1225" s="68"/>
      <c r="F1225" s="68"/>
      <c r="G1225" s="68"/>
      <c r="H1225" s="68"/>
      <c r="I1225">
        <f>_xlfn.STDEV.S(C1205:C1225)</f>
        <v>3.760421699069831E-3</v>
      </c>
      <c r="J1225">
        <f>_xlfn.NORM.S.INV(0.99)*I1225*SQRT(10)</f>
        <v>2.7663760002220511E-2</v>
      </c>
      <c r="K1225">
        <f>LN(B1234)-LN(B1225)</f>
        <v>1.2464607701445196E-2</v>
      </c>
      <c r="L1225">
        <f>IF(K1225&lt;-(J1225),1,0)</f>
        <v>0</v>
      </c>
      <c r="M1225" s="72">
        <f t="shared" si="18"/>
        <v>2.286057574014053E-2</v>
      </c>
      <c r="N1225">
        <f>SQRT((N1224^2)*0.72+(1-0.72)*(C1224^2))</f>
        <v>3.1130752044339583E-3</v>
      </c>
      <c r="O1225">
        <f>_xlfn.NORM.S.INV(0.99)*N1225*SQRT(10)</f>
        <v>2.2901518025392434E-2</v>
      </c>
      <c r="P1225">
        <f>LN(B1234)-LN(B1225)</f>
        <v>1.2464607701445196E-2</v>
      </c>
      <c r="Q1225">
        <f>IF(P1225&lt;-(O1225),1,0)</f>
        <v>0</v>
      </c>
    </row>
    <row r="1226" spans="1:17">
      <c r="A1226" s="64">
        <v>43068</v>
      </c>
      <c r="B1226">
        <v>2626.070068</v>
      </c>
      <c r="C1226" s="68">
        <f>LN(B1226)-LN(B1225)</f>
        <v>-3.6929399584906264E-4</v>
      </c>
      <c r="D1226" s="68"/>
      <c r="E1226" s="68"/>
      <c r="F1226" s="68"/>
      <c r="G1226" s="68"/>
      <c r="H1226" s="68"/>
      <c r="I1226">
        <f>_xlfn.STDEV.S(C1206:C1226)</f>
        <v>3.657808012843114E-3</v>
      </c>
      <c r="J1226">
        <f>_xlfn.NORM.S.INV(0.99)*I1226*SQRT(10)</f>
        <v>2.6908876476944284E-2</v>
      </c>
      <c r="K1226">
        <f>LN(B1235)-LN(B1226)</f>
        <v>1.438162534914067E-2</v>
      </c>
      <c r="L1226">
        <f>IF(K1226&lt;-(J1226),1,0)</f>
        <v>0</v>
      </c>
      <c r="M1226" s="72">
        <f t="shared" si="18"/>
        <v>4.2795806973571E-2</v>
      </c>
      <c r="N1226">
        <f>SQRT((N1225^2)*0.72+(1-0.72)*(C1225^2))</f>
        <v>5.8198551130692741E-3</v>
      </c>
      <c r="O1226">
        <f>_xlfn.NORM.S.INV(0.99)*N1226*SQRT(10)</f>
        <v>4.2814101177926049E-2</v>
      </c>
      <c r="P1226">
        <f>LN(B1235)-LN(B1226)</f>
        <v>1.438162534914067E-2</v>
      </c>
      <c r="Q1226">
        <f>IF(P1226&lt;-(O1226),1,0)</f>
        <v>0</v>
      </c>
    </row>
    <row r="1227" spans="1:17">
      <c r="A1227" s="64">
        <v>43069</v>
      </c>
      <c r="B1227">
        <v>2647.580078</v>
      </c>
      <c r="C1227" s="68">
        <f>LN(B1227)-LN(B1226)</f>
        <v>8.1575867524472656E-3</v>
      </c>
      <c r="D1227" s="68"/>
      <c r="E1227" s="68"/>
      <c r="F1227" s="68"/>
      <c r="G1227" s="68"/>
      <c r="H1227" s="68"/>
      <c r="I1227">
        <f>_xlfn.STDEV.S(C1207:C1227)</f>
        <v>3.9793033752162565E-3</v>
      </c>
      <c r="J1227">
        <f>_xlfn.NORM.S.INV(0.99)*I1227*SQRT(10)</f>
        <v>2.9273975728636582E-2</v>
      </c>
      <c r="K1227">
        <f>LN(B1236)-LN(B1227)</f>
        <v>5.7509699139890458E-3</v>
      </c>
      <c r="L1227">
        <f>IF(K1227&lt;-(J1227),1,0)</f>
        <v>0</v>
      </c>
      <c r="M1227" s="72">
        <f t="shared" si="18"/>
        <v>3.6341629543372951E-2</v>
      </c>
      <c r="N1227">
        <f>SQRT((N1226^2)*0.72+(1-0.72)*(C1226^2))</f>
        <v>4.9421755940303267E-3</v>
      </c>
      <c r="O1227">
        <f>_xlfn.NORM.S.INV(0.99)*N1227*SQRT(10)</f>
        <v>3.6357400968062989E-2</v>
      </c>
      <c r="P1227">
        <f>LN(B1236)-LN(B1227)</f>
        <v>5.7509699139890458E-3</v>
      </c>
      <c r="Q1227">
        <f>IF(P1227&lt;-(O1227),1,0)</f>
        <v>0</v>
      </c>
    </row>
    <row r="1228" spans="1:17">
      <c r="A1228" s="64">
        <v>43070</v>
      </c>
      <c r="B1228">
        <v>2642.219971</v>
      </c>
      <c r="C1228" s="68">
        <f>LN(B1228)-LN(B1227)</f>
        <v>-2.0265827762342425E-3</v>
      </c>
      <c r="D1228" s="68"/>
      <c r="E1228" s="68"/>
      <c r="F1228" s="68"/>
      <c r="G1228" s="68"/>
      <c r="H1228" s="68"/>
      <c r="I1228">
        <f>_xlfn.STDEV.S(C1208:C1228)</f>
        <v>4.0446990505727098E-3</v>
      </c>
      <c r="J1228">
        <f>_xlfn.NORM.S.INV(0.99)*I1228*SQRT(10)</f>
        <v>2.9755062801581498E-2</v>
      </c>
      <c r="K1228">
        <f>LN(B1237)-LN(B1228)</f>
        <v>3.6983849187457452E-3</v>
      </c>
      <c r="L1228">
        <f>IF(K1228&lt;-(J1228),1,0)</f>
        <v>0</v>
      </c>
      <c r="M1228" s="72">
        <f t="shared" si="18"/>
        <v>4.4263478246331429E-2</v>
      </c>
      <c r="N1228">
        <f>SQRT((N1227^2)*0.72+(1-0.72)*(C1227^2))</f>
        <v>6.0182234727734867E-3</v>
      </c>
      <c r="O1228">
        <f>_xlfn.NORM.S.INV(0.99)*N1228*SQRT(10)</f>
        <v>4.4273409503970677E-2</v>
      </c>
      <c r="P1228">
        <f>LN(B1237)-LN(B1228)</f>
        <v>3.6983849187457452E-3</v>
      </c>
      <c r="Q1228">
        <f>IF(P1228&lt;-(O1228),1,0)</f>
        <v>0</v>
      </c>
    </row>
    <row r="1229" spans="1:17">
      <c r="A1229" s="64">
        <v>43073</v>
      </c>
      <c r="B1229">
        <v>2639.4399410000001</v>
      </c>
      <c r="C1229" s="68">
        <f>LN(B1229)-LN(B1228)</f>
        <v>-1.0527108155597986E-3</v>
      </c>
      <c r="D1229" s="68"/>
      <c r="E1229" s="68"/>
      <c r="F1229" s="68"/>
      <c r="G1229" s="68"/>
      <c r="H1229" s="68"/>
      <c r="I1229">
        <f>_xlfn.STDEV.S(C1209:C1229)</f>
        <v>4.0684149399099877E-3</v>
      </c>
      <c r="J1229">
        <f>_xlfn.NORM.S.INV(0.99)*I1229*SQRT(10)</f>
        <v>2.9929530114922432E-2</v>
      </c>
      <c r="K1229">
        <f>LN(B1238)-LN(B1229)</f>
        <v>1.368540920789485E-2</v>
      </c>
      <c r="L1229">
        <f>IF(K1229&lt;-(J1229),1,0)</f>
        <v>0</v>
      </c>
      <c r="M1229" s="72">
        <f t="shared" si="18"/>
        <v>3.8378358374535688E-2</v>
      </c>
      <c r="N1229">
        <f>SQRT((N1228^2)*0.72+(1-0.72)*(C1228^2))</f>
        <v>5.2180130780627859E-3</v>
      </c>
      <c r="O1229">
        <f>_xlfn.NORM.S.INV(0.99)*N1229*SQRT(10)</f>
        <v>3.8386615393609415E-2</v>
      </c>
      <c r="P1229">
        <f>LN(B1238)-LN(B1229)</f>
        <v>1.368540920789485E-2</v>
      </c>
      <c r="Q1229">
        <f>IF(P1229&lt;-(O1229),1,0)</f>
        <v>0</v>
      </c>
    </row>
    <row r="1230" spans="1:17">
      <c r="A1230" s="64">
        <v>43074</v>
      </c>
      <c r="B1230">
        <v>2629.570068</v>
      </c>
      <c r="C1230" s="68">
        <f>LN(B1230)-LN(B1229)</f>
        <v>-3.7463905087076199E-3</v>
      </c>
      <c r="D1230" s="68"/>
      <c r="E1230" s="68"/>
      <c r="F1230" s="68"/>
      <c r="G1230" s="68"/>
      <c r="H1230" s="68"/>
      <c r="I1230">
        <f>_xlfn.STDEV.S(C1210:C1230)</f>
        <v>4.1722833235353649E-3</v>
      </c>
      <c r="J1230">
        <f>_xlfn.NORM.S.INV(0.99)*I1230*SQRT(10)</f>
        <v>3.0693643894273762E-2</v>
      </c>
      <c r="K1230">
        <f>LN(B1239)-LN(B1230)</f>
        <v>2.2780278103719631E-2</v>
      </c>
      <c r="L1230">
        <f>IF(K1230&lt;-(J1230),1,0)</f>
        <v>0</v>
      </c>
      <c r="M1230" s="72">
        <f t="shared" si="18"/>
        <v>3.2818845671784266E-2</v>
      </c>
      <c r="N1230">
        <f>SQRT((N1229^2)*0.72+(1-0.72)*(C1229^2))</f>
        <v>4.4625342088073358E-3</v>
      </c>
      <c r="O1230">
        <f>_xlfn.NORM.S.INV(0.99)*N1230*SQRT(10)</f>
        <v>3.2828891340745521E-2</v>
      </c>
      <c r="P1230">
        <f>LN(B1239)-LN(B1230)</f>
        <v>2.2780278103719631E-2</v>
      </c>
      <c r="Q1230">
        <f>IF(P1230&lt;-(O1230),1,0)</f>
        <v>0</v>
      </c>
    </row>
    <row r="1231" spans="1:17">
      <c r="A1231" s="64">
        <v>43075</v>
      </c>
      <c r="B1231">
        <v>2629.2700199999999</v>
      </c>
      <c r="C1231" s="68">
        <f>LN(B1231)-LN(B1230)</f>
        <v>-1.1411185558163339E-4</v>
      </c>
      <c r="D1231" s="68"/>
      <c r="E1231" s="68"/>
      <c r="F1231" s="68"/>
      <c r="G1231" s="68"/>
      <c r="H1231" s="68"/>
      <c r="I1231">
        <f>_xlfn.STDEV.S(C1211:C1231)</f>
        <v>4.1747817011771578E-3</v>
      </c>
      <c r="J1231">
        <f>_xlfn.NORM.S.INV(0.99)*I1231*SQRT(10)</f>
        <v>3.0712023354081307E-2</v>
      </c>
      <c r="K1231">
        <f>LN(B1240)-LN(B1231)</f>
        <v>1.9658892067553779E-2</v>
      </c>
      <c r="L1231">
        <f>IF(K1231&lt;-(J1231),1,0)</f>
        <v>0</v>
      </c>
      <c r="M1231" s="72">
        <f t="shared" si="18"/>
        <v>3.1434761253446304E-2</v>
      </c>
      <c r="N1231">
        <f>SQRT((N1230^2)*0.72+(1-0.72)*(C1230^2))</f>
        <v>4.2741263484932434E-3</v>
      </c>
      <c r="O1231">
        <f>_xlfn.NORM.S.INV(0.99)*N1231*SQRT(10)</f>
        <v>3.1442858005295352E-2</v>
      </c>
      <c r="P1231">
        <f>LN(B1240)-LN(B1231)</f>
        <v>1.9658892067553779E-2</v>
      </c>
      <c r="Q1231">
        <f>IF(P1231&lt;-(O1231),1,0)</f>
        <v>0</v>
      </c>
    </row>
    <row r="1232" spans="1:17">
      <c r="A1232" s="64">
        <v>43076</v>
      </c>
      <c r="B1232">
        <v>2636.9799800000001</v>
      </c>
      <c r="C1232" s="68">
        <f>LN(B1232)-LN(B1231)</f>
        <v>2.9280666540678624E-3</v>
      </c>
      <c r="D1232" s="68"/>
      <c r="E1232" s="68"/>
      <c r="F1232" s="68"/>
      <c r="G1232" s="68"/>
      <c r="H1232" s="68"/>
      <c r="I1232">
        <f>_xlfn.STDEV.S(C1212:C1232)</f>
        <v>4.1971010391716398E-3</v>
      </c>
      <c r="J1232">
        <f>_xlfn.NORM.S.INV(0.99)*I1232*SQRT(10)</f>
        <v>3.0876216856592087E-2</v>
      </c>
      <c r="K1232">
        <f>LN(B1241)-LN(B1232)</f>
        <v>1.5902589229200181E-2</v>
      </c>
      <c r="L1232">
        <f>IF(K1232&lt;-(J1232),1,0)</f>
        <v>0</v>
      </c>
      <c r="M1232" s="72">
        <f t="shared" si="18"/>
        <v>2.6676963735499659E-2</v>
      </c>
      <c r="N1232">
        <f>SQRT((N1231^2)*0.72+(1-0.72)*(C1231^2))</f>
        <v>3.6272190966689911E-3</v>
      </c>
      <c r="O1232">
        <f>_xlfn.NORM.S.INV(0.99)*N1232*SQRT(10)</f>
        <v>2.6683847343648332E-2</v>
      </c>
      <c r="P1232">
        <f>LN(B1241)-LN(B1232)</f>
        <v>1.5902589229200181E-2</v>
      </c>
      <c r="Q1232">
        <f>IF(P1232&lt;-(O1232),1,0)</f>
        <v>0</v>
      </c>
    </row>
    <row r="1233" spans="1:17">
      <c r="A1233" s="64">
        <v>43077</v>
      </c>
      <c r="B1233">
        <v>2651.5</v>
      </c>
      <c r="C1233" s="68">
        <f>LN(B1233)-LN(B1232)</f>
        <v>5.4912022132782567E-3</v>
      </c>
      <c r="D1233" s="68"/>
      <c r="E1233" s="68"/>
      <c r="F1233" s="68"/>
      <c r="G1233" s="68"/>
      <c r="H1233" s="68"/>
      <c r="I1233">
        <f>_xlfn.STDEV.S(C1213:C1233)</f>
        <v>4.3172252696315402E-3</v>
      </c>
      <c r="J1233">
        <f>_xlfn.NORM.S.INV(0.99)*I1233*SQRT(10)</f>
        <v>3.1759917714587901E-2</v>
      </c>
      <c r="K1233">
        <f>LN(B1242)-LN(B1233)</f>
        <v>1.2395073894713171E-2</v>
      </c>
      <c r="L1233">
        <f>IF(K1233&lt;-(J1233),1,0)</f>
        <v>0</v>
      </c>
      <c r="M1233" s="72">
        <f t="shared" si="18"/>
        <v>2.5343031821201754E-2</v>
      </c>
      <c r="N1233">
        <f>SQRT((N1232^2)*0.72+(1-0.72)*(C1232^2))</f>
        <v>3.4457855479932175E-3</v>
      </c>
      <c r="O1233">
        <f>_xlfn.NORM.S.INV(0.99)*N1233*SQRT(10)</f>
        <v>2.5349120935660815E-2</v>
      </c>
      <c r="P1233">
        <f>LN(B1242)-LN(B1233)</f>
        <v>1.2395073894713171E-2</v>
      </c>
      <c r="Q1233">
        <f>IF(P1233&lt;-(O1233),1,0)</f>
        <v>0</v>
      </c>
    </row>
    <row r="1234" spans="1:17">
      <c r="A1234" s="64">
        <v>43080</v>
      </c>
      <c r="B1234">
        <v>2659.98999</v>
      </c>
      <c r="C1234" s="68">
        <f>LN(B1234)-LN(B1233)</f>
        <v>3.1968420335841685E-3</v>
      </c>
      <c r="D1234" s="68"/>
      <c r="E1234" s="68"/>
      <c r="F1234" s="68"/>
      <c r="G1234" s="68"/>
      <c r="H1234" s="68"/>
      <c r="I1234">
        <f>_xlfn.STDEV.S(C1214:C1234)</f>
        <v>4.1953836238079719E-3</v>
      </c>
      <c r="J1234">
        <f>_xlfn.NORM.S.INV(0.99)*I1234*SQRT(10)</f>
        <v>3.0863582591010543E-2</v>
      </c>
      <c r="K1234">
        <f>LN(B1243)-LN(B1234)</f>
        <v>8.7399603976425766E-3</v>
      </c>
      <c r="L1234">
        <f>IF(K1234&lt;-(J1234),1,0)</f>
        <v>0</v>
      </c>
      <c r="M1234" s="72">
        <f t="shared" si="18"/>
        <v>3.0315908496802907E-2</v>
      </c>
      <c r="N1234">
        <f>SQRT((N1233^2)*0.72+(1-0.72)*(C1233^2))</f>
        <v>4.1221110950552739E-3</v>
      </c>
      <c r="O1234">
        <f>_xlfn.NORM.S.INV(0.99)*N1234*SQRT(10)</f>
        <v>3.0324548989892924E-2</v>
      </c>
      <c r="P1234">
        <f>LN(B1243)-LN(B1234)</f>
        <v>8.7399603976425766E-3</v>
      </c>
      <c r="Q1234">
        <f>IF(P1234&lt;-(O1234),1,0)</f>
        <v>0</v>
      </c>
    </row>
    <row r="1235" spans="1:17">
      <c r="A1235" s="64">
        <v>43081</v>
      </c>
      <c r="B1235">
        <v>2664.110107</v>
      </c>
      <c r="C1235" s="68">
        <f>LN(B1235)-LN(B1234)</f>
        <v>1.547723651846411E-3</v>
      </c>
      <c r="D1235" s="68"/>
      <c r="E1235" s="68"/>
      <c r="F1235" s="68"/>
      <c r="G1235" s="68"/>
      <c r="H1235" s="68"/>
      <c r="I1235">
        <f>_xlfn.STDEV.S(C1215:C1235)</f>
        <v>4.1631338873629404E-3</v>
      </c>
      <c r="J1235">
        <f>_xlfn.NORM.S.INV(0.99)*I1235*SQRT(10)</f>
        <v>3.0626335537210461E-2</v>
      </c>
      <c r="K1235">
        <f>LN(B1244)-LN(B1235)</f>
        <v>6.1332610049769087E-3</v>
      </c>
      <c r="L1235">
        <f>IF(K1235&lt;-(J1235),1,0)</f>
        <v>0</v>
      </c>
      <c r="M1235" s="72">
        <f t="shared" si="18"/>
        <v>2.8575613674459766E-2</v>
      </c>
      <c r="N1235">
        <f>SQRT((N1234^2)*0.72+(1-0.72)*(C1234^2))</f>
        <v>3.8853107507813792E-3</v>
      </c>
      <c r="O1235">
        <f>_xlfn.NORM.S.INV(0.99)*N1235*SQRT(10)</f>
        <v>2.858251354369374E-2</v>
      </c>
      <c r="P1235">
        <f>LN(B1244)-LN(B1235)</f>
        <v>6.1332610049769087E-3</v>
      </c>
      <c r="Q1235">
        <f>IF(P1235&lt;-(O1235),1,0)</f>
        <v>0</v>
      </c>
    </row>
    <row r="1236" spans="1:17">
      <c r="A1236" s="64">
        <v>43082</v>
      </c>
      <c r="B1236">
        <v>2662.8500979999999</v>
      </c>
      <c r="C1236" s="68">
        <f>LN(B1236)-LN(B1235)</f>
        <v>-4.7306868270435842E-4</v>
      </c>
      <c r="D1236" s="68"/>
      <c r="E1236" s="68"/>
      <c r="F1236" s="68"/>
      <c r="G1236" s="68"/>
      <c r="H1236" s="68"/>
      <c r="I1236">
        <f>_xlfn.STDEV.S(C1216:C1236)</f>
        <v>4.1839903946959134E-3</v>
      </c>
      <c r="J1236">
        <f>_xlfn.NORM.S.INV(0.99)*I1236*SQRT(10)</f>
        <v>3.0779767641244602E-2</v>
      </c>
      <c r="K1236">
        <f>LN(B1245)-LN(B1236)</f>
        <v>7.3969579280293019E-3</v>
      </c>
      <c r="L1236">
        <f>IF(K1236&lt;-(J1236),1,0)</f>
        <v>0</v>
      </c>
      <c r="M1236" s="72">
        <f t="shared" si="18"/>
        <v>2.4984109583631356E-2</v>
      </c>
      <c r="N1236">
        <f>SQRT((N1235^2)*0.72+(1-0.72)*(C1235^2))</f>
        <v>3.3969966314959222E-3</v>
      </c>
      <c r="O1236">
        <f>_xlfn.NORM.S.INV(0.99)*N1236*SQRT(10)</f>
        <v>2.499020244599158E-2</v>
      </c>
      <c r="P1236">
        <f>LN(B1245)-LN(B1236)</f>
        <v>7.3969579280293019E-3</v>
      </c>
      <c r="Q1236">
        <f>IF(P1236&lt;-(O1236),1,0)</f>
        <v>0</v>
      </c>
    </row>
    <row r="1237" spans="1:17">
      <c r="A1237" s="64">
        <v>43083</v>
      </c>
      <c r="B1237">
        <v>2652.01001</v>
      </c>
      <c r="C1237" s="68">
        <f>LN(B1237)-LN(B1236)</f>
        <v>-4.0791677714775432E-3</v>
      </c>
      <c r="D1237" s="68"/>
      <c r="E1237" s="68"/>
      <c r="F1237" s="68"/>
      <c r="G1237" s="68"/>
      <c r="H1237" s="68"/>
      <c r="I1237">
        <f>_xlfn.STDEV.S(C1217:C1237)</f>
        <v>4.2793878097153442E-3</v>
      </c>
      <c r="J1237">
        <f>_xlfn.NORM.S.INV(0.99)*I1237*SQRT(10)</f>
        <v>3.1481564249476741E-2</v>
      </c>
      <c r="K1237">
        <f>LN(B1246)-LN(B1237)</f>
        <v>1.3308444749065451E-2</v>
      </c>
      <c r="L1237">
        <f>IF(K1237&lt;-(J1237),1,0)</f>
        <v>0</v>
      </c>
      <c r="M1237" s="72">
        <f t="shared" si="18"/>
        <v>2.1276883740316326E-2</v>
      </c>
      <c r="N1237">
        <f>SQRT((N1236^2)*0.72+(1-0.72)*(C1236^2))</f>
        <v>2.8932964446042719E-3</v>
      </c>
      <c r="O1237">
        <f>_xlfn.NORM.S.INV(0.99)*N1237*SQRT(10)</f>
        <v>2.1284702850908672E-2</v>
      </c>
      <c r="P1237">
        <f>LN(B1246)-LN(B1237)</f>
        <v>1.3308444749065451E-2</v>
      </c>
      <c r="Q1237">
        <f>IF(P1237&lt;-(O1237),1,0)</f>
        <v>0</v>
      </c>
    </row>
    <row r="1238" spans="1:17">
      <c r="A1238" s="64">
        <v>43084</v>
      </c>
      <c r="B1238">
        <v>2675.8100589999999</v>
      </c>
      <c r="C1238" s="68">
        <f>LN(B1238)-LN(B1237)</f>
        <v>8.9343134735893059E-3</v>
      </c>
      <c r="D1238" s="68"/>
      <c r="E1238" s="68"/>
      <c r="F1238" s="68"/>
      <c r="G1238" s="68"/>
      <c r="H1238" s="68"/>
      <c r="I1238">
        <f>_xlfn.STDEV.S(C1218:C1238)</f>
        <v>4.2828146330225912E-3</v>
      </c>
      <c r="J1238">
        <f>_xlfn.NORM.S.INV(0.99)*I1238*SQRT(10)</f>
        <v>3.1506773873590216E-2</v>
      </c>
      <c r="K1238">
        <f>LN(B1247)-LN(B1238)</f>
        <v>-8.2250115180926286E-4</v>
      </c>
      <c r="L1238">
        <f>IF(K1238&lt;-(J1238),1,0)</f>
        <v>0</v>
      </c>
      <c r="M1238" s="72">
        <f t="shared" si="18"/>
        <v>2.4030004268428537E-2</v>
      </c>
      <c r="N1238">
        <f>SQRT((N1237^2)*0.72+(1-0.72)*(C1237^2))</f>
        <v>3.2689951095069107E-3</v>
      </c>
      <c r="O1238">
        <f>_xlfn.NORM.S.INV(0.99)*N1238*SQRT(10)</f>
        <v>2.4048551836673253E-2</v>
      </c>
      <c r="P1238">
        <f>LN(B1247)-LN(B1238)</f>
        <v>-8.2250115180926286E-4</v>
      </c>
      <c r="Q1238">
        <f>IF(P1238&lt;-(O1238),1,0)</f>
        <v>0</v>
      </c>
    </row>
    <row r="1239" spans="1:17">
      <c r="A1239" s="64">
        <v>43087</v>
      </c>
      <c r="B1239">
        <v>2690.1599120000001</v>
      </c>
      <c r="C1239" s="68">
        <f>LN(B1239)-LN(B1238)</f>
        <v>5.3484783871171615E-3</v>
      </c>
      <c r="D1239" s="68"/>
      <c r="E1239" s="68"/>
      <c r="F1239" s="68"/>
      <c r="G1239" s="68"/>
      <c r="H1239" s="68"/>
      <c r="I1239">
        <f>_xlfn.STDEV.S(C1219:C1239)</f>
        <v>4.1220463640228118E-3</v>
      </c>
      <c r="J1239">
        <f>_xlfn.NORM.S.INV(0.99)*I1239*SQRT(10)</f>
        <v>3.0324072792303921E-2</v>
      </c>
      <c r="K1239">
        <f>LN(B1248)-LN(B1239)</f>
        <v>2.0980989879610945E-3</v>
      </c>
      <c r="L1239">
        <f>IF(K1239&lt;-(J1239),1,0)</f>
        <v>0</v>
      </c>
      <c r="M1239" s="72">
        <f t="shared" si="18"/>
        <v>4.0297751863471086E-2</v>
      </c>
      <c r="N1239">
        <f>SQRT((N1238^2)*0.72+(1-0.72)*(C1238^2))</f>
        <v>5.4812685509037324E-3</v>
      </c>
      <c r="O1239">
        <f>_xlfn.NORM.S.INV(0.99)*N1239*SQRT(10)</f>
        <v>4.0323269525177806E-2</v>
      </c>
      <c r="P1239">
        <f>LN(B1248)-LN(B1239)</f>
        <v>2.0980989879610945E-3</v>
      </c>
      <c r="Q1239">
        <f>IF(P1239&lt;-(O1239),1,0)</f>
        <v>0</v>
      </c>
    </row>
    <row r="1240" spans="1:17">
      <c r="A1240" s="64">
        <v>43088</v>
      </c>
      <c r="B1240">
        <v>2681.469971</v>
      </c>
      <c r="C1240" s="68">
        <f>LN(B1240)-LN(B1239)</f>
        <v>-3.2354978917474853E-3</v>
      </c>
      <c r="D1240" s="68"/>
      <c r="E1240" s="68"/>
      <c r="F1240" s="68"/>
      <c r="G1240" s="68"/>
      <c r="H1240" s="68"/>
      <c r="I1240">
        <f>_xlfn.STDEV.S(C1220:C1240)</f>
        <v>4.157221610157657E-3</v>
      </c>
      <c r="J1240">
        <f>_xlfn.NORM.S.INV(0.99)*I1240*SQRT(10)</f>
        <v>3.0582841527558829E-2</v>
      </c>
      <c r="K1240">
        <f>LN(B1249)-LN(B1240)</f>
        <v>1.1712030122686734E-2</v>
      </c>
      <c r="L1240">
        <f>IF(K1240&lt;-(J1240),1,0)</f>
        <v>0</v>
      </c>
      <c r="M1240" s="72">
        <f t="shared" si="18"/>
        <v>4.0031815654945679E-2</v>
      </c>
      <c r="N1240">
        <f>SQRT((N1239^2)*0.72+(1-0.72)*(C1239^2))</f>
        <v>5.4444137832846216E-3</v>
      </c>
      <c r="O1240">
        <f>_xlfn.NORM.S.INV(0.99)*N1240*SQRT(10)</f>
        <v>4.0052145292859692E-2</v>
      </c>
      <c r="P1240">
        <f>LN(B1249)-LN(B1240)</f>
        <v>1.1712030122686734E-2</v>
      </c>
      <c r="Q1240">
        <f>IF(P1240&lt;-(O1240),1,0)</f>
        <v>0</v>
      </c>
    </row>
    <row r="1241" spans="1:17">
      <c r="A1241" s="64">
        <v>43089</v>
      </c>
      <c r="B1241">
        <v>2679.25</v>
      </c>
      <c r="C1241" s="68">
        <f>LN(B1241)-LN(B1240)</f>
        <v>-8.2823618428573553E-4</v>
      </c>
      <c r="D1241" s="68"/>
      <c r="E1241" s="68"/>
      <c r="F1241" s="68"/>
      <c r="G1241" s="68"/>
      <c r="H1241" s="68"/>
      <c r="I1241">
        <f>_xlfn.STDEV.S(C1221:C1241)</f>
        <v>4.1971165206926321E-3</v>
      </c>
      <c r="J1241">
        <f>_xlfn.NORM.S.INV(0.99)*I1241*SQRT(10)</f>
        <v>3.0876330747297825E-2</v>
      </c>
      <c r="K1241">
        <f>LN(B1250)-LN(B1241)</f>
        <v>1.6560808926519677E-2</v>
      </c>
      <c r="L1241">
        <f>IF(K1241&lt;-(J1241),1,0)</f>
        <v>0</v>
      </c>
      <c r="M1241" s="72">
        <f t="shared" ref="M1241:M1251" si="19">EWMAV(B1220:B1240,0.72,0.99)*SQRT(10)</f>
        <v>3.6227480552703861E-2</v>
      </c>
      <c r="N1241">
        <f>SQRT((N1240^2)*0.72+(1-0.72)*(C1240^2))</f>
        <v>4.9267785508896956E-3</v>
      </c>
      <c r="O1241">
        <f>_xlfn.NORM.S.INV(0.99)*N1241*SQRT(10)</f>
        <v>3.6244131728527543E-2</v>
      </c>
      <c r="P1241">
        <f>LN(B1250)-LN(B1241)</f>
        <v>1.6560808926519677E-2</v>
      </c>
      <c r="Q1241">
        <f>IF(P1241&lt;-(O1241),1,0)</f>
        <v>0</v>
      </c>
    </row>
    <row r="1242" spans="1:17">
      <c r="A1242" s="64">
        <v>43090</v>
      </c>
      <c r="B1242">
        <v>2684.570068</v>
      </c>
      <c r="C1242" s="68">
        <f>LN(B1242)-LN(B1241)</f>
        <v>1.9836868787912465E-3</v>
      </c>
      <c r="D1242" s="68"/>
      <c r="E1242" s="68"/>
      <c r="F1242" s="68"/>
      <c r="G1242" s="68"/>
      <c r="H1242" s="68"/>
      <c r="I1242">
        <f>_xlfn.STDEV.S(C1222:C1242)</f>
        <v>4.0540838374343875E-3</v>
      </c>
      <c r="J1242">
        <f>_xlfn.NORM.S.INV(0.99)*I1242*SQRT(10)</f>
        <v>2.9824102529619888E-2</v>
      </c>
      <c r="K1242">
        <f>LN(B1251)-LN(B1242)</f>
        <v>2.1586267897042433E-2</v>
      </c>
      <c r="L1242">
        <f>IF(K1242&lt;-(J1242),1,0)</f>
        <v>0</v>
      </c>
      <c r="M1242" s="72">
        <f t="shared" si="19"/>
        <v>3.0894040828506386E-2</v>
      </c>
      <c r="N1242">
        <f>SQRT((N1241^2)*0.72+(1-0.72)*(C1241^2))</f>
        <v>4.2034198945612999E-3</v>
      </c>
      <c r="O1242">
        <f>_xlfn.NORM.S.INV(0.99)*N1242*SQRT(10)</f>
        <v>3.0922701882202783E-2</v>
      </c>
      <c r="P1242">
        <f>LN(B1251)-LN(B1242)</f>
        <v>2.1586267897042433E-2</v>
      </c>
      <c r="Q1242">
        <f>IF(P1242&lt;-(O1242),1,0)</f>
        <v>0</v>
      </c>
    </row>
    <row r="1243" spans="1:17">
      <c r="A1243" s="64">
        <v>43091</v>
      </c>
      <c r="B1243">
        <v>2683.3400879999999</v>
      </c>
      <c r="C1243" s="68">
        <f>LN(B1243)-LN(B1242)</f>
        <v>-4.58271463486426E-4</v>
      </c>
      <c r="D1243" s="68"/>
      <c r="E1243" s="68"/>
      <c r="F1243" s="68"/>
      <c r="G1243" s="68"/>
      <c r="H1243" s="68"/>
    </row>
    <row r="1244" spans="1:17">
      <c r="A1244" s="64">
        <v>43095</v>
      </c>
      <c r="B1244">
        <v>2680.5</v>
      </c>
      <c r="C1244" s="68">
        <f>LN(B1244)-LN(B1243)</f>
        <v>-1.0589757408192568E-3</v>
      </c>
      <c r="D1244" s="68"/>
      <c r="E1244" s="68"/>
      <c r="F1244" s="68"/>
      <c r="G1244" s="68"/>
      <c r="H1244" s="68"/>
    </row>
    <row r="1245" spans="1:17">
      <c r="A1245" s="64">
        <v>43096</v>
      </c>
      <c r="B1245">
        <v>2682.6201169999999</v>
      </c>
      <c r="C1245" s="68">
        <f>LN(B1245)-LN(B1244)</f>
        <v>7.9062824034803469E-4</v>
      </c>
      <c r="D1245" s="68"/>
      <c r="E1245" s="68"/>
      <c r="F1245" s="68"/>
      <c r="G1245" s="68"/>
      <c r="H1245" s="68"/>
    </row>
    <row r="1246" spans="1:17">
      <c r="A1246" s="64">
        <v>43097</v>
      </c>
      <c r="B1246">
        <v>2687.540039</v>
      </c>
      <c r="C1246" s="68">
        <f>LN(B1246)-LN(B1245)</f>
        <v>1.8323190495586061E-3</v>
      </c>
      <c r="D1246" s="68"/>
      <c r="E1246" s="68"/>
      <c r="F1246" s="68"/>
      <c r="G1246" s="68"/>
      <c r="H1246" s="68"/>
    </row>
    <row r="1247" spans="1:17">
      <c r="A1247" s="64">
        <v>43098</v>
      </c>
      <c r="B1247">
        <v>2673.610107</v>
      </c>
      <c r="C1247" s="68">
        <f>LN(B1247)-LN(B1246)</f>
        <v>-5.1966324272854081E-3</v>
      </c>
      <c r="D1247" s="68"/>
      <c r="E1247" s="68"/>
      <c r="F1247" s="68"/>
      <c r="G1247" s="68"/>
      <c r="H1247" s="68"/>
    </row>
    <row r="1248" spans="1:17">
      <c r="A1248" s="64">
        <v>43102</v>
      </c>
      <c r="B1248">
        <v>2695.8100589999999</v>
      </c>
      <c r="C1248" s="68">
        <f>LN(B1248)-LN(B1247)</f>
        <v>8.2690785268875189E-3</v>
      </c>
      <c r="D1248" s="68"/>
      <c r="E1248" s="68"/>
      <c r="F1248" s="68"/>
      <c r="G1248" s="68"/>
      <c r="H1248" s="68"/>
    </row>
    <row r="1249" spans="1:8">
      <c r="A1249" s="64">
        <v>43103</v>
      </c>
      <c r="B1249">
        <v>2713.0600589999999</v>
      </c>
      <c r="C1249" s="68">
        <f>LN(B1249)-LN(B1248)</f>
        <v>6.3784332429781543E-3</v>
      </c>
      <c r="D1249" s="68"/>
      <c r="E1249" s="68"/>
      <c r="F1249" s="68"/>
      <c r="G1249" s="68"/>
      <c r="H1249" s="68"/>
    </row>
    <row r="1250" spans="1:8">
      <c r="A1250" s="64">
        <v>43104</v>
      </c>
      <c r="B1250">
        <v>2723.98999</v>
      </c>
      <c r="C1250" s="68">
        <f>LN(B1250)-LN(B1249)</f>
        <v>4.0205426195472072E-3</v>
      </c>
      <c r="D1250" s="68"/>
      <c r="E1250" s="68"/>
      <c r="F1250" s="68"/>
      <c r="G1250" s="68"/>
      <c r="H1250" s="68"/>
    </row>
    <row r="1251" spans="1:8">
      <c r="A1251" s="64">
        <v>43105</v>
      </c>
      <c r="B1251">
        <v>2743.1499020000001</v>
      </c>
      <c r="C1251" s="68">
        <f>LN(B1251)-LN(B1250)</f>
        <v>7.0091458493140024E-3</v>
      </c>
      <c r="D1251" s="68"/>
      <c r="E1251" s="68"/>
      <c r="F1251" s="68"/>
      <c r="G1251" s="68"/>
      <c r="H1251" s="68"/>
    </row>
    <row r="1252" spans="1:8">
      <c r="C1252" s="68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X2495"/>
  <sheetViews>
    <sheetView showGridLines="0" zoomScale="85" zoomScaleNormal="85" workbookViewId="0">
      <selection activeCell="AF14" sqref="AF14"/>
    </sheetView>
  </sheetViews>
  <sheetFormatPr defaultColWidth="9.140625" defaultRowHeight="12.75" outlineLevelCol="1"/>
  <cols>
    <col min="1" max="1" width="3.28515625" style="1" customWidth="1"/>
    <col min="2" max="2" width="13.140625" style="1" bestFit="1" customWidth="1"/>
    <col min="3" max="3" width="36.140625" style="1" bestFit="1" customWidth="1"/>
    <col min="4" max="4" width="11" style="2" bestFit="1" customWidth="1"/>
    <col min="5" max="5" width="17.42578125" style="1" bestFit="1" customWidth="1"/>
    <col min="6" max="6" width="8.28515625" style="1" customWidth="1"/>
    <col min="7" max="7" width="6.42578125" style="5" customWidth="1"/>
    <col min="8" max="8" width="13.5703125" style="5" bestFit="1" customWidth="1"/>
    <col min="9" max="9" width="12.5703125" style="3" customWidth="1"/>
    <col min="10" max="10" width="5.7109375" style="1" customWidth="1"/>
    <col min="11" max="11" width="12.7109375" style="1" customWidth="1"/>
    <col min="12" max="12" width="11.7109375" style="1" bestFit="1" customWidth="1"/>
    <col min="13" max="13" width="8.85546875" style="1" hidden="1" customWidth="1"/>
    <col min="14" max="14" width="8.7109375" style="1" hidden="1" customWidth="1"/>
    <col min="15" max="15" width="6.7109375" style="1" customWidth="1"/>
    <col min="16" max="16" width="6" style="1" customWidth="1"/>
    <col min="17" max="17" width="6.42578125" style="1" bestFit="1" customWidth="1"/>
    <col min="18" max="18" width="10" style="1" customWidth="1"/>
    <col min="19" max="19" width="23.140625" style="1" hidden="1" customWidth="1"/>
    <col min="20" max="20" width="6.7109375" style="1" hidden="1" customWidth="1"/>
    <col min="21" max="22" width="7" style="1" hidden="1" customWidth="1"/>
    <col min="23" max="23" width="7.140625" style="1" hidden="1" customWidth="1"/>
    <col min="24" max="26" width="6.85546875" style="1" hidden="1" customWidth="1"/>
    <col min="27" max="27" width="7.140625" style="1" hidden="1" customWidth="1"/>
    <col min="28" max="28" width="6.7109375" style="1" hidden="1" customWidth="1"/>
    <col min="29" max="29" width="7" style="1" hidden="1" customWidth="1"/>
    <col min="30" max="30" width="7.140625" style="1" hidden="1" customWidth="1"/>
    <col min="31" max="31" width="7" style="1" hidden="1" customWidth="1"/>
    <col min="32" max="32" width="9.140625" style="1"/>
    <col min="33" max="33" width="8.85546875" style="1" customWidth="1"/>
    <col min="34" max="34" width="10.140625" style="1" bestFit="1" customWidth="1"/>
    <col min="35" max="35" width="9.85546875" style="1" customWidth="1"/>
    <col min="36" max="36" width="5.140625" style="1" hidden="1" customWidth="1"/>
    <col min="37" max="38" width="4.140625" style="1" hidden="1" customWidth="1"/>
    <col min="39" max="43" width="4.7109375" style="1" hidden="1" customWidth="1" outlineLevel="1"/>
    <col min="44" max="44" width="7" style="1" hidden="1" customWidth="1" outlineLevel="1"/>
    <col min="45" max="45" width="10.85546875" style="1" bestFit="1" customWidth="1" collapsed="1"/>
    <col min="46" max="46" width="10.5703125" style="1" bestFit="1" customWidth="1"/>
    <col min="47" max="47" width="14" style="1" customWidth="1"/>
    <col min="48" max="48" width="11" style="1" bestFit="1" customWidth="1"/>
    <col min="49" max="49" width="11.140625" style="1" bestFit="1" customWidth="1"/>
    <col min="50" max="50" width="9.140625" style="22"/>
    <col min="51" max="16384" width="9.140625" style="1"/>
  </cols>
  <sheetData>
    <row r="2" spans="2:50" s="34" customFormat="1">
      <c r="B2" s="34" t="s">
        <v>7</v>
      </c>
      <c r="D2" s="35"/>
      <c r="G2" s="38"/>
      <c r="H2" s="38"/>
      <c r="I2" s="41"/>
      <c r="K2" s="34" t="s">
        <v>3</v>
      </c>
      <c r="S2" s="34" t="s">
        <v>33</v>
      </c>
      <c r="AF2" s="34" t="s">
        <v>15</v>
      </c>
      <c r="AI2" s="34" t="s">
        <v>16</v>
      </c>
      <c r="AU2" s="34" t="s">
        <v>29</v>
      </c>
      <c r="AX2" s="36"/>
    </row>
    <row r="4" spans="2:50" s="4" customFormat="1">
      <c r="B4" s="29" t="s">
        <v>61</v>
      </c>
      <c r="C4" s="30" t="s">
        <v>60</v>
      </c>
      <c r="D4" s="31" t="s">
        <v>0</v>
      </c>
      <c r="E4" s="30" t="s">
        <v>2</v>
      </c>
      <c r="F4" s="30" t="s">
        <v>1</v>
      </c>
      <c r="G4" s="39" t="s">
        <v>6</v>
      </c>
      <c r="H4" s="39" t="s">
        <v>39</v>
      </c>
      <c r="I4" s="42" t="s">
        <v>37</v>
      </c>
      <c r="K4" s="29" t="s">
        <v>61</v>
      </c>
      <c r="L4" s="82" t="s">
        <v>60</v>
      </c>
      <c r="M4" s="12" t="s">
        <v>4</v>
      </c>
      <c r="N4" s="12" t="s">
        <v>5</v>
      </c>
      <c r="O4" s="12" t="s">
        <v>10</v>
      </c>
      <c r="P4" s="12" t="s">
        <v>8</v>
      </c>
      <c r="Q4" s="12" t="s">
        <v>9</v>
      </c>
      <c r="R4" s="23" t="s">
        <v>12</v>
      </c>
      <c r="S4" s="13">
        <v>42736</v>
      </c>
      <c r="T4" s="13">
        <f>+EDATE(S4,1)</f>
        <v>42767</v>
      </c>
      <c r="U4" s="13">
        <f t="shared" ref="U4:AE4" si="0">+EDATE(T4,1)</f>
        <v>42795</v>
      </c>
      <c r="V4" s="13">
        <f t="shared" si="0"/>
        <v>42826</v>
      </c>
      <c r="W4" s="13">
        <f t="shared" si="0"/>
        <v>42856</v>
      </c>
      <c r="X4" s="13">
        <f t="shared" si="0"/>
        <v>42887</v>
      </c>
      <c r="Y4" s="13">
        <f t="shared" si="0"/>
        <v>42917</v>
      </c>
      <c r="Z4" s="13">
        <f t="shared" si="0"/>
        <v>42948</v>
      </c>
      <c r="AA4" s="13">
        <f t="shared" si="0"/>
        <v>42979</v>
      </c>
      <c r="AB4" s="13">
        <f t="shared" si="0"/>
        <v>43009</v>
      </c>
      <c r="AC4" s="13">
        <f t="shared" si="0"/>
        <v>43040</v>
      </c>
      <c r="AD4" s="13">
        <f t="shared" si="0"/>
        <v>43070</v>
      </c>
      <c r="AE4" s="13">
        <f t="shared" si="0"/>
        <v>43101</v>
      </c>
      <c r="AF4" s="25" t="s">
        <v>11</v>
      </c>
      <c r="AG4" s="14" t="s">
        <v>13</v>
      </c>
      <c r="AH4" s="26" t="s">
        <v>14</v>
      </c>
      <c r="AI4" s="15" t="s">
        <v>17</v>
      </c>
      <c r="AJ4" s="15" t="s">
        <v>18</v>
      </c>
      <c r="AK4" s="15" t="s">
        <v>19</v>
      </c>
      <c r="AL4" s="15" t="s">
        <v>20</v>
      </c>
      <c r="AM4" s="15" t="s">
        <v>24</v>
      </c>
      <c r="AN4" s="15" t="s">
        <v>25</v>
      </c>
      <c r="AO4" s="15" t="s">
        <v>21</v>
      </c>
      <c r="AP4" s="15" t="s">
        <v>22</v>
      </c>
      <c r="AQ4" s="15" t="s">
        <v>23</v>
      </c>
      <c r="AR4" s="15" t="s">
        <v>26</v>
      </c>
      <c r="AS4" s="15" t="s">
        <v>27</v>
      </c>
      <c r="AT4" s="15" t="s">
        <v>28</v>
      </c>
      <c r="AU4" s="28" t="s">
        <v>30</v>
      </c>
      <c r="AV4" s="16" t="s">
        <v>31</v>
      </c>
      <c r="AW4" s="17" t="s">
        <v>32</v>
      </c>
      <c r="AX4" s="21"/>
    </row>
    <row r="5" spans="2:50" ht="15">
      <c r="B5" s="32">
        <v>1</v>
      </c>
      <c r="C5" s="66" t="s">
        <v>62</v>
      </c>
      <c r="D5" s="64">
        <v>41326</v>
      </c>
      <c r="E5">
        <v>2.5652823252067414E-2</v>
      </c>
      <c r="F5">
        <v>4.3908242108968092E-2</v>
      </c>
      <c r="G5" s="40">
        <f>--(E5&lt;-F5)</f>
        <v>0</v>
      </c>
      <c r="H5" s="33">
        <f>-F5</f>
        <v>-4.3908242108968092E-2</v>
      </c>
      <c r="I5" s="43"/>
      <c r="K5" s="18">
        <v>1</v>
      </c>
      <c r="L5" s="66" t="s">
        <v>62</v>
      </c>
      <c r="M5" s="64">
        <f>D5</f>
        <v>41326</v>
      </c>
      <c r="N5" s="64">
        <f>D2445</f>
        <v>43090</v>
      </c>
      <c r="O5" s="7">
        <f>+SUMPRODUCT(--($B$5:$B$2991=$K5))</f>
        <v>1220</v>
      </c>
      <c r="P5" s="6">
        <f>+SUMPRODUCT($G$5:$G$2991*($B$5:$B$2991=$K5))</f>
        <v>22</v>
      </c>
      <c r="Q5" s="8">
        <f>+P5/O5</f>
        <v>1.8032786885245903E-2</v>
      </c>
      <c r="R5" s="24">
        <v>0.01</v>
      </c>
      <c r="S5" s="9">
        <f t="shared" ref="S5:AE6" si="1">+SUMPRODUCT($G$5:$G$1189*($B$5:$B$1189=$K5)*(MONTH($D$5:$D$1189)=MONTH(S$4))*(YEAR($D$5:$D$1189)=YEAR(S$4)))</f>
        <v>0</v>
      </c>
      <c r="T5" s="9">
        <f t="shared" si="1"/>
        <v>0</v>
      </c>
      <c r="U5" s="9">
        <f t="shared" si="1"/>
        <v>0</v>
      </c>
      <c r="V5" s="9">
        <f t="shared" si="1"/>
        <v>0</v>
      </c>
      <c r="W5" s="63">
        <f t="shared" si="1"/>
        <v>0</v>
      </c>
      <c r="X5" s="63">
        <f t="shared" si="1"/>
        <v>0</v>
      </c>
      <c r="Y5" s="63">
        <f t="shared" si="1"/>
        <v>0</v>
      </c>
      <c r="Z5" s="9">
        <f t="shared" si="1"/>
        <v>2</v>
      </c>
      <c r="AA5" s="63">
        <f t="shared" si="1"/>
        <v>0</v>
      </c>
      <c r="AB5" s="9">
        <f t="shared" si="1"/>
        <v>0</v>
      </c>
      <c r="AC5" s="9">
        <f t="shared" si="1"/>
        <v>0</v>
      </c>
      <c r="AD5" s="9">
        <f t="shared" si="1"/>
        <v>0</v>
      </c>
      <c r="AE5" s="9">
        <f t="shared" si="1"/>
        <v>0</v>
      </c>
      <c r="AF5" s="27">
        <f>2*LN(((1-Q5)^(O5-P5)*(Q5)^(P5))/((1-R5)^(O5-P5)*(R5)^(P5)))</f>
        <v>6.4224184878595443</v>
      </c>
      <c r="AG5" s="11">
        <f>+_xlfn.CHISQ.INV.RT(0.01,1)</f>
        <v>6.6348966010212118</v>
      </c>
      <c r="AH5" s="19" t="b">
        <f>+AF5&gt;AG5</f>
        <v>0</v>
      </c>
      <c r="AI5" s="10">
        <f>+SUMPRODUCT(--($B$5:$B$3000=$K5)*($B$6:$B$3001=$K5)*($G$6:$G$3001=0)*($G$5:$G$3000=0))</f>
        <v>1188</v>
      </c>
      <c r="AJ5" s="10">
        <f>+SUMPRODUCT(--($B$5:$B$3000=$K5)*($B$6:$B$3001=$K5)*($G$6:$G$3001=0)*($G$5:$G$3000=1))</f>
        <v>9</v>
      </c>
      <c r="AK5" s="10">
        <f>+SUMPRODUCT(--($B$5:$B$3000=$K5)*($B$6:$B$3001=$K5)*($G$6:$G$3001=1)*($G$5:$G$3000=0))</f>
        <v>9</v>
      </c>
      <c r="AL5" s="10">
        <f>+SUMPRODUCT(--($B$5:$B$3000=$K5)*($B$6:$B$3001=$K5)*($G$6:$G$3001=1)*($G$5:$G$3000=1))</f>
        <v>13</v>
      </c>
      <c r="AM5" s="11">
        <f>+AJ5/(AJ5+AI5)</f>
        <v>7.5187969924812026E-3</v>
      </c>
      <c r="AN5" s="11">
        <f>+AL5/(AL5+AK5)</f>
        <v>0.59090909090909094</v>
      </c>
      <c r="AO5" s="11">
        <f>+(AJ5+AL5)/SUM(AI5:AL5)</f>
        <v>1.8047579983593111E-2</v>
      </c>
      <c r="AP5" s="11">
        <f>+(1-AM5)^AI5*AM5^AJ5*(1-AN5)^AK5*IFERROR(AN5^AL5,1)</f>
        <v>3.3694826293606866E-30</v>
      </c>
      <c r="AQ5" s="11">
        <f>+(1-AO5)^(AI5+AK5)*AO5^(AJ5+AL5)</f>
        <v>1.4910076295238399E-48</v>
      </c>
      <c r="AR5" s="11">
        <f>2*LN(AP5/AQ5)</f>
        <v>84.523677462410745</v>
      </c>
      <c r="AS5" s="11">
        <f>+_xlfn.CHISQ.INV.RT(0.01,1)</f>
        <v>6.6348966010212118</v>
      </c>
      <c r="AT5" s="10" t="b">
        <f>+AR5&gt;AS5</f>
        <v>1</v>
      </c>
      <c r="AU5" s="27">
        <f>AF5+AR5</f>
        <v>90.946095950270291</v>
      </c>
      <c r="AV5" s="11">
        <f>+_xlfn.CHISQ.INV.RT(0.01,2)</f>
        <v>9.2103403719761818</v>
      </c>
      <c r="AW5" s="19" t="b">
        <f>+AU5&gt;AV5</f>
        <v>1</v>
      </c>
    </row>
    <row r="6" spans="2:50" ht="15">
      <c r="B6" s="32">
        <v>1</v>
      </c>
      <c r="C6" s="66" t="s">
        <v>62</v>
      </c>
      <c r="D6" s="64">
        <v>41327</v>
      </c>
      <c r="E6">
        <v>1.8733453356924556E-2</v>
      </c>
      <c r="F6">
        <v>4.5926296325316369E-2</v>
      </c>
      <c r="G6" s="40">
        <f t="shared" ref="G6:G69" si="2">--(E6&lt;-F6)</f>
        <v>0</v>
      </c>
      <c r="H6" s="33">
        <f t="shared" ref="H6:H69" si="3">-F6</f>
        <v>-4.5926296325316369E-2</v>
      </c>
      <c r="I6" s="43"/>
      <c r="K6" s="20">
        <v>2</v>
      </c>
      <c r="L6" s="67" t="s">
        <v>48</v>
      </c>
      <c r="M6" s="64">
        <v>42873</v>
      </c>
      <c r="N6" s="64">
        <v>43707</v>
      </c>
      <c r="O6" s="7">
        <f>+SUMPRODUCT(--($B$5:$B$2991=$K6))</f>
        <v>1220</v>
      </c>
      <c r="P6" s="6">
        <f>+SUMPRODUCT($G$5:$G$2991*($B$5:$B$2991=$K6))</f>
        <v>31</v>
      </c>
      <c r="Q6" s="8">
        <f>+P6/O6</f>
        <v>2.540983606557377E-2</v>
      </c>
      <c r="R6" s="24">
        <v>0.01</v>
      </c>
      <c r="S6" s="9">
        <f t="shared" si="1"/>
        <v>0</v>
      </c>
      <c r="T6" s="9">
        <f t="shared" si="1"/>
        <v>0</v>
      </c>
      <c r="U6" s="9">
        <f t="shared" si="1"/>
        <v>0</v>
      </c>
      <c r="V6" s="9">
        <f t="shared" si="1"/>
        <v>0</v>
      </c>
      <c r="W6" s="63">
        <f t="shared" si="1"/>
        <v>0</v>
      </c>
      <c r="X6" s="63">
        <f t="shared" si="1"/>
        <v>0</v>
      </c>
      <c r="Y6" s="63">
        <f t="shared" si="1"/>
        <v>0</v>
      </c>
      <c r="Z6" s="9">
        <f t="shared" si="1"/>
        <v>0</v>
      </c>
      <c r="AA6" s="63">
        <f t="shared" si="1"/>
        <v>0</v>
      </c>
      <c r="AB6" s="9">
        <f t="shared" si="1"/>
        <v>0</v>
      </c>
      <c r="AC6" s="9">
        <f t="shared" si="1"/>
        <v>0</v>
      </c>
      <c r="AD6" s="9">
        <f t="shared" si="1"/>
        <v>0</v>
      </c>
      <c r="AE6" s="9">
        <f t="shared" si="1"/>
        <v>0</v>
      </c>
      <c r="AF6" s="27">
        <f>2*LN(((1-Q6)^(O6-P6)*(Q6)^(P6))/((1-R6)^(O6-P6)*(R6)^(P6)))</f>
        <v>20.512339145028882</v>
      </c>
      <c r="AG6" s="11">
        <f>+_xlfn.CHISQ.INV.RT(0.01,1)</f>
        <v>6.6348966010212118</v>
      </c>
      <c r="AH6" s="19" t="b">
        <f>+AF6&gt;AG6</f>
        <v>1</v>
      </c>
      <c r="AI6" s="10">
        <f>+SUMPRODUCT(--($B$5:$B$3000=$K6)*($B$6:$B$3001=$K6)*($G$6:$G$3001=0)*($G$5:$G$3000=0))</f>
        <v>1172</v>
      </c>
      <c r="AJ6" s="10">
        <f>+SUMPRODUCT(--($B$5:$B$3000=$K6)*($B$6:$B$3001=$K6)*($G$6:$G$3001=0)*($G$5:$G$3000=1))</f>
        <v>16</v>
      </c>
      <c r="AK6" s="10">
        <f>+SUMPRODUCT(--($B$5:$B$3000=$K6)*($B$6:$B$3001=$K6)*($G$6:$G$3001=1)*($G$5:$G$3000=0))</f>
        <v>16</v>
      </c>
      <c r="AL6" s="10">
        <f>+SUMPRODUCT(--($B$5:$B$3000=$K6)*($B$6:$B$3001=$K6)*($G$6:$G$3001=1)*($G$5:$G$3000=1))</f>
        <v>15</v>
      </c>
      <c r="AM6" s="11">
        <f>+AJ6/(AJ6+AI6)</f>
        <v>1.3468013468013467E-2</v>
      </c>
      <c r="AN6" s="11">
        <f>+AL6/(AL6+AK6)</f>
        <v>0.4838709677419355</v>
      </c>
      <c r="AO6" s="11">
        <f>+(AJ6+AL6)/SUM(AI6:AL6)</f>
        <v>2.5430680885972109E-2</v>
      </c>
      <c r="AP6" s="11">
        <f>+(1-AM6)^AI6*AM6^AJ6*(1-AN6)^AK6*IFERROR(AN6^AL6,1)</f>
        <v>6.9538485350355824E-47</v>
      </c>
      <c r="AQ6" s="11">
        <f>+(1-AO6)^(AI6+AK6)*AO6^(AJ6+AL6)</f>
        <v>1.8863698503448326E-63</v>
      </c>
      <c r="AR6" s="11">
        <f>2*LN(AP6/AQ6)</f>
        <v>76.29200494447467</v>
      </c>
      <c r="AS6" s="11">
        <f>+_xlfn.CHISQ.INV.RT(0.01,1)</f>
        <v>6.6348966010212118</v>
      </c>
      <c r="AT6" s="10" t="b">
        <f>+AR6&gt;AS6</f>
        <v>1</v>
      </c>
      <c r="AU6" s="27">
        <f>AF6+AR6</f>
        <v>96.804344089503559</v>
      </c>
      <c r="AV6" s="11">
        <f>+_xlfn.CHISQ.INV.RT(0.01,2)</f>
        <v>9.2103403719761818</v>
      </c>
      <c r="AW6" s="19" t="b">
        <f>+AU6&gt;AV6</f>
        <v>1</v>
      </c>
    </row>
    <row r="7" spans="2:50" ht="15">
      <c r="B7" s="32">
        <v>1</v>
      </c>
      <c r="C7" s="66" t="s">
        <v>62</v>
      </c>
      <c r="D7" s="64">
        <v>41330</v>
      </c>
      <c r="E7">
        <v>4.1683857684136072E-2</v>
      </c>
      <c r="F7">
        <v>5.5272319279386799E-2</v>
      </c>
      <c r="G7" s="40">
        <f t="shared" si="2"/>
        <v>0</v>
      </c>
      <c r="H7" s="33">
        <f t="shared" si="3"/>
        <v>-5.5272319279386799E-2</v>
      </c>
      <c r="I7" s="43"/>
      <c r="K7"/>
    </row>
    <row r="8" spans="2:50" ht="15">
      <c r="B8" s="32">
        <v>1</v>
      </c>
      <c r="C8" s="66" t="s">
        <v>62</v>
      </c>
      <c r="D8" s="64">
        <v>41331</v>
      </c>
      <c r="E8">
        <v>3.8836800241542235E-2</v>
      </c>
      <c r="F8">
        <v>5.5464855214056863E-2</v>
      </c>
      <c r="G8" s="40">
        <f t="shared" si="2"/>
        <v>0</v>
      </c>
      <c r="H8" s="33">
        <f t="shared" si="3"/>
        <v>-5.5464855214056863E-2</v>
      </c>
      <c r="I8" s="43"/>
      <c r="K8"/>
      <c r="L8"/>
    </row>
    <row r="9" spans="2:50" ht="15">
      <c r="B9" s="32">
        <v>1</v>
      </c>
      <c r="C9" s="66" t="s">
        <v>62</v>
      </c>
      <c r="D9" s="64">
        <v>41332</v>
      </c>
      <c r="E9">
        <v>2.3784955116232354E-2</v>
      </c>
      <c r="F9">
        <v>5.9056816837711586E-2</v>
      </c>
      <c r="G9" s="40">
        <f t="shared" si="2"/>
        <v>0</v>
      </c>
      <c r="H9" s="33">
        <f t="shared" si="3"/>
        <v>-5.9056816837711586E-2</v>
      </c>
      <c r="I9" s="43"/>
      <c r="K9"/>
      <c r="L9"/>
    </row>
    <row r="10" spans="2:50" ht="15">
      <c r="B10" s="32">
        <v>1</v>
      </c>
      <c r="C10" s="66" t="s">
        <v>62</v>
      </c>
      <c r="D10" s="64">
        <v>41333</v>
      </c>
      <c r="E10">
        <v>2.5962597992894132E-2</v>
      </c>
      <c r="F10">
        <v>5.8575277060508184E-2</v>
      </c>
      <c r="G10" s="40">
        <f t="shared" si="2"/>
        <v>0</v>
      </c>
      <c r="H10" s="33">
        <f t="shared" si="3"/>
        <v>-5.8575277060508184E-2</v>
      </c>
      <c r="I10" s="43"/>
      <c r="K10"/>
      <c r="L10"/>
    </row>
    <row r="11" spans="2:50" ht="15">
      <c r="B11" s="32">
        <v>1</v>
      </c>
      <c r="C11" s="66" t="s">
        <v>62</v>
      </c>
      <c r="D11" s="64">
        <v>41334</v>
      </c>
      <c r="E11">
        <v>2.9228790404989269E-2</v>
      </c>
      <c r="F11">
        <v>5.8241463362997667E-2</v>
      </c>
      <c r="G11" s="40">
        <f t="shared" si="2"/>
        <v>0</v>
      </c>
      <c r="H11" s="33">
        <f t="shared" si="3"/>
        <v>-5.8241463362997667E-2</v>
      </c>
      <c r="I11" s="43"/>
      <c r="K11"/>
      <c r="L11"/>
    </row>
    <row r="12" spans="2:50" ht="15">
      <c r="B12" s="32">
        <v>1</v>
      </c>
      <c r="C12" s="66" t="s">
        <v>62</v>
      </c>
      <c r="D12" s="64">
        <v>41337</v>
      </c>
      <c r="E12">
        <v>2.3008890295864504E-2</v>
      </c>
      <c r="F12">
        <v>5.8352574011835634E-2</v>
      </c>
      <c r="G12" s="40">
        <f t="shared" si="2"/>
        <v>0</v>
      </c>
      <c r="H12" s="33">
        <f t="shared" si="3"/>
        <v>-5.8352574011835634E-2</v>
      </c>
      <c r="I12" s="43"/>
      <c r="K12"/>
      <c r="L12"/>
    </row>
    <row r="13" spans="2:50" ht="15">
      <c r="B13" s="32">
        <v>1</v>
      </c>
      <c r="C13" s="66" t="s">
        <v>62</v>
      </c>
      <c r="D13" s="64">
        <v>41338</v>
      </c>
      <c r="E13">
        <v>7.9627683931438042E-3</v>
      </c>
      <c r="F13">
        <v>5.8152881560794206E-2</v>
      </c>
      <c r="G13" s="40">
        <f t="shared" si="2"/>
        <v>0</v>
      </c>
      <c r="H13" s="33">
        <f t="shared" si="3"/>
        <v>-5.8152881560794206E-2</v>
      </c>
      <c r="I13" s="43"/>
      <c r="K13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</row>
    <row r="14" spans="2:50" ht="15">
      <c r="B14" s="32">
        <v>1</v>
      </c>
      <c r="C14" s="66" t="s">
        <v>62</v>
      </c>
      <c r="D14" s="64">
        <v>41339</v>
      </c>
      <c r="E14">
        <v>4.4533733789924312E-3</v>
      </c>
      <c r="F14">
        <v>5.4246454595196385E-2</v>
      </c>
      <c r="G14" s="40">
        <f t="shared" si="2"/>
        <v>0</v>
      </c>
      <c r="H14" s="33">
        <f t="shared" si="3"/>
        <v>-5.4246454595196385E-2</v>
      </c>
      <c r="I14" s="43"/>
      <c r="K14"/>
    </row>
    <row r="15" spans="2:50" ht="15">
      <c r="B15" s="32">
        <v>1</v>
      </c>
      <c r="C15" s="66" t="s">
        <v>62</v>
      </c>
      <c r="D15" s="64">
        <v>41340</v>
      </c>
      <c r="E15">
        <v>9.3136933904238717E-3</v>
      </c>
      <c r="F15">
        <v>5.2134146810543611E-2</v>
      </c>
      <c r="G15" s="40">
        <f t="shared" si="2"/>
        <v>0</v>
      </c>
      <c r="H15" s="33">
        <f t="shared" si="3"/>
        <v>-5.2134146810543611E-2</v>
      </c>
      <c r="I15" s="43"/>
      <c r="K15"/>
      <c r="L15"/>
    </row>
    <row r="16" spans="2:50" ht="15">
      <c r="B16" s="32">
        <v>1</v>
      </c>
      <c r="C16" s="66" t="s">
        <v>62</v>
      </c>
      <c r="D16" s="64">
        <v>41341</v>
      </c>
      <c r="E16">
        <v>-3.4743590420234227E-3</v>
      </c>
      <c r="F16">
        <v>5.2416147511222352E-2</v>
      </c>
      <c r="G16" s="40">
        <f t="shared" si="2"/>
        <v>0</v>
      </c>
      <c r="H16" s="33">
        <f t="shared" si="3"/>
        <v>-5.2416147511222352E-2</v>
      </c>
      <c r="I16" s="43"/>
      <c r="K16"/>
      <c r="L16"/>
    </row>
    <row r="17" spans="2:12" ht="15">
      <c r="B17" s="32">
        <v>1</v>
      </c>
      <c r="C17" s="66" t="s">
        <v>62</v>
      </c>
      <c r="D17" s="64">
        <v>41344</v>
      </c>
      <c r="E17">
        <v>4.3046600560892045E-4</v>
      </c>
      <c r="F17">
        <v>5.225520004963663E-2</v>
      </c>
      <c r="G17" s="40">
        <f t="shared" si="2"/>
        <v>0</v>
      </c>
      <c r="H17" s="33">
        <f t="shared" si="3"/>
        <v>-5.225520004963663E-2</v>
      </c>
      <c r="I17" s="43"/>
      <c r="K17"/>
      <c r="L17"/>
    </row>
    <row r="18" spans="2:12" ht="15">
      <c r="B18" s="32">
        <v>1</v>
      </c>
      <c r="C18" s="66" t="s">
        <v>62</v>
      </c>
      <c r="D18" s="64">
        <v>41345</v>
      </c>
      <c r="E18">
        <v>-5.0901789345569881E-4</v>
      </c>
      <c r="F18">
        <v>5.21072135614822E-2</v>
      </c>
      <c r="G18" s="40">
        <f t="shared" si="2"/>
        <v>0</v>
      </c>
      <c r="H18" s="33">
        <f t="shared" si="3"/>
        <v>-5.21072135614822E-2</v>
      </c>
      <c r="I18" s="43"/>
      <c r="K18"/>
      <c r="L18"/>
    </row>
    <row r="19" spans="2:12" ht="15">
      <c r="B19" s="32">
        <v>1</v>
      </c>
      <c r="C19" s="66" t="s">
        <v>62</v>
      </c>
      <c r="D19" s="64">
        <v>41346</v>
      </c>
      <c r="E19">
        <v>5.9327561020996455E-3</v>
      </c>
      <c r="F19">
        <v>5.2031004978165069E-2</v>
      </c>
      <c r="G19" s="40">
        <f t="shared" si="2"/>
        <v>0</v>
      </c>
      <c r="H19" s="33">
        <f t="shared" si="3"/>
        <v>-5.2031004978165069E-2</v>
      </c>
      <c r="I19" s="43"/>
      <c r="K19"/>
      <c r="L19"/>
    </row>
    <row r="20" spans="2:12" ht="15">
      <c r="B20" s="32">
        <v>1</v>
      </c>
      <c r="C20" s="66" t="s">
        <v>62</v>
      </c>
      <c r="D20" s="64">
        <v>41347</v>
      </c>
      <c r="E20">
        <v>-2.4311854285219425E-4</v>
      </c>
      <c r="F20">
        <v>5.2513179278622819E-2</v>
      </c>
      <c r="G20" s="40">
        <f t="shared" si="2"/>
        <v>0</v>
      </c>
      <c r="H20" s="33">
        <f t="shared" si="3"/>
        <v>-5.2513179278622819E-2</v>
      </c>
      <c r="I20" s="43"/>
      <c r="K20"/>
      <c r="L20"/>
    </row>
    <row r="21" spans="2:12" ht="15">
      <c r="B21" s="32">
        <v>1</v>
      </c>
      <c r="C21" s="66" t="s">
        <v>62</v>
      </c>
      <c r="D21" s="64">
        <v>41348</v>
      </c>
      <c r="E21">
        <v>5.4251178897626318E-3</v>
      </c>
      <c r="F21">
        <v>5.2719576357835675E-2</v>
      </c>
      <c r="G21" s="40">
        <f t="shared" si="2"/>
        <v>0</v>
      </c>
      <c r="H21" s="33">
        <f t="shared" si="3"/>
        <v>-5.2719576357835675E-2</v>
      </c>
      <c r="I21" s="43"/>
      <c r="K21"/>
      <c r="L21"/>
    </row>
    <row r="22" spans="2:12" ht="15">
      <c r="B22" s="32">
        <v>1</v>
      </c>
      <c r="C22" s="66" t="s">
        <v>62</v>
      </c>
      <c r="D22" s="64">
        <v>41351</v>
      </c>
      <c r="E22">
        <v>6.4670712764263172E-3</v>
      </c>
      <c r="F22">
        <v>5.3830143971638891E-2</v>
      </c>
      <c r="G22" s="40">
        <f t="shared" si="2"/>
        <v>0</v>
      </c>
      <c r="H22" s="33">
        <f t="shared" si="3"/>
        <v>-5.3830143971638891E-2</v>
      </c>
      <c r="I22" s="43"/>
      <c r="K22"/>
      <c r="L22"/>
    </row>
    <row r="23" spans="2:12" ht="15">
      <c r="B23" s="32">
        <v>1</v>
      </c>
      <c r="C23" s="66" t="s">
        <v>62</v>
      </c>
      <c r="D23" s="64">
        <v>41352</v>
      </c>
      <c r="E23">
        <v>1.4051475017873294E-2</v>
      </c>
      <c r="F23">
        <v>5.4013962506629189E-2</v>
      </c>
      <c r="G23" s="40">
        <f t="shared" si="2"/>
        <v>0</v>
      </c>
      <c r="H23" s="33">
        <f t="shared" si="3"/>
        <v>-5.4013962506629189E-2</v>
      </c>
      <c r="I23" s="43"/>
      <c r="K23"/>
      <c r="L23"/>
    </row>
    <row r="24" spans="2:12" ht="15">
      <c r="B24" s="32">
        <v>1</v>
      </c>
      <c r="C24" s="66" t="s">
        <v>62</v>
      </c>
      <c r="D24" s="64">
        <v>41353</v>
      </c>
      <c r="E24">
        <v>-3.2258222023058281E-3</v>
      </c>
      <c r="F24">
        <v>5.3819026013680028E-2</v>
      </c>
      <c r="G24" s="40">
        <f t="shared" si="2"/>
        <v>0</v>
      </c>
      <c r="H24" s="33">
        <f t="shared" si="3"/>
        <v>-5.3819026013680028E-2</v>
      </c>
      <c r="I24" s="43"/>
      <c r="K24"/>
      <c r="L24"/>
    </row>
    <row r="25" spans="2:12" ht="15">
      <c r="B25" s="32">
        <v>1</v>
      </c>
      <c r="C25" s="66" t="s">
        <v>62</v>
      </c>
      <c r="D25" s="64">
        <v>41354</v>
      </c>
      <c r="E25">
        <v>9.131380456334881E-3</v>
      </c>
      <c r="F25">
        <v>5.138641677252808E-2</v>
      </c>
      <c r="G25" s="40">
        <f t="shared" si="2"/>
        <v>0</v>
      </c>
      <c r="H25" s="33">
        <f t="shared" si="3"/>
        <v>-5.138641677252808E-2</v>
      </c>
      <c r="I25" s="43"/>
      <c r="K25"/>
      <c r="L25"/>
    </row>
    <row r="26" spans="2:12" ht="15">
      <c r="B26" s="32">
        <v>1</v>
      </c>
      <c r="C26" s="66" t="s">
        <v>62</v>
      </c>
      <c r="D26" s="64">
        <v>41355</v>
      </c>
      <c r="E26">
        <v>-2.3214085211389346E-3</v>
      </c>
      <c r="F26">
        <v>5.0699173072212493E-2</v>
      </c>
      <c r="G26" s="40">
        <f t="shared" si="2"/>
        <v>0</v>
      </c>
      <c r="H26" s="33">
        <f t="shared" si="3"/>
        <v>-5.0699173072212493E-2</v>
      </c>
      <c r="I26" s="43"/>
      <c r="K26"/>
      <c r="L26"/>
    </row>
    <row r="27" spans="2:12" ht="15">
      <c r="B27" s="32">
        <v>1</v>
      </c>
      <c r="C27" s="66" t="s">
        <v>62</v>
      </c>
      <c r="D27" s="64">
        <v>41358</v>
      </c>
      <c r="E27">
        <v>7.3071800388966324E-3</v>
      </c>
      <c r="F27">
        <v>4.9863123503167094E-2</v>
      </c>
      <c r="G27" s="40">
        <f t="shared" si="2"/>
        <v>0</v>
      </c>
      <c r="H27" s="33">
        <f t="shared" si="3"/>
        <v>-4.9863123503167094E-2</v>
      </c>
      <c r="I27" s="43"/>
      <c r="K27"/>
      <c r="L27"/>
    </row>
    <row r="28" spans="2:12" ht="15">
      <c r="B28" s="32">
        <v>1</v>
      </c>
      <c r="C28" s="66" t="s">
        <v>62</v>
      </c>
      <c r="D28" s="64">
        <v>41359</v>
      </c>
      <c r="E28">
        <v>3.0902820500813277E-3</v>
      </c>
      <c r="F28">
        <v>3.8434914656647716E-2</v>
      </c>
      <c r="G28" s="40">
        <f t="shared" si="2"/>
        <v>0</v>
      </c>
      <c r="H28" s="33">
        <f t="shared" si="3"/>
        <v>-3.8434914656647716E-2</v>
      </c>
      <c r="I28" s="43"/>
      <c r="K28"/>
      <c r="L28"/>
    </row>
    <row r="29" spans="2:12" ht="15">
      <c r="B29" s="32">
        <v>1</v>
      </c>
      <c r="C29" s="66" t="s">
        <v>62</v>
      </c>
      <c r="D29" s="64">
        <v>41360</v>
      </c>
      <c r="E29">
        <v>1.5794248395900823E-2</v>
      </c>
      <c r="F29">
        <v>3.8179977761375612E-2</v>
      </c>
      <c r="G29" s="40">
        <f t="shared" si="2"/>
        <v>0</v>
      </c>
      <c r="H29" s="33">
        <f t="shared" si="3"/>
        <v>-3.8179977761375612E-2</v>
      </c>
      <c r="I29" s="43"/>
      <c r="K29"/>
      <c r="L29"/>
    </row>
    <row r="30" spans="2:12" ht="15">
      <c r="B30" s="32">
        <v>1</v>
      </c>
      <c r="C30" s="66" t="s">
        <v>62</v>
      </c>
      <c r="D30" s="64">
        <v>41361</v>
      </c>
      <c r="E30">
        <v>1.5291741924803759E-2</v>
      </c>
      <c r="F30">
        <v>3.3989479214193562E-2</v>
      </c>
      <c r="G30" s="40">
        <f t="shared" si="2"/>
        <v>0</v>
      </c>
      <c r="H30" s="33">
        <f t="shared" si="3"/>
        <v>-3.3989479214193562E-2</v>
      </c>
      <c r="I30" s="43"/>
      <c r="K30"/>
      <c r="L30"/>
    </row>
    <row r="31" spans="2:12" ht="15">
      <c r="B31" s="32">
        <v>1</v>
      </c>
      <c r="C31" s="66" t="s">
        <v>62</v>
      </c>
      <c r="D31" s="64">
        <v>41365</v>
      </c>
      <c r="E31">
        <v>1.6934560511864483E-2</v>
      </c>
      <c r="F31">
        <v>3.5187232187334744E-2</v>
      </c>
      <c r="G31" s="40">
        <f t="shared" si="2"/>
        <v>0</v>
      </c>
      <c r="H31" s="33">
        <f t="shared" si="3"/>
        <v>-3.5187232187334744E-2</v>
      </c>
      <c r="I31" s="43"/>
      <c r="K31"/>
      <c r="L31"/>
    </row>
    <row r="32" spans="2:12" ht="15">
      <c r="B32" s="32">
        <v>1</v>
      </c>
      <c r="C32" s="66" t="s">
        <v>62</v>
      </c>
      <c r="D32" s="64">
        <v>41366</v>
      </c>
      <c r="E32">
        <v>-1.1458498389421479E-2</v>
      </c>
      <c r="F32">
        <v>3.5664621098903095E-2</v>
      </c>
      <c r="G32" s="40">
        <f t="shared" si="2"/>
        <v>0</v>
      </c>
      <c r="H32" s="33">
        <f t="shared" si="3"/>
        <v>-3.5664621098903095E-2</v>
      </c>
      <c r="I32" s="43"/>
      <c r="K32"/>
      <c r="L32"/>
    </row>
    <row r="33" spans="2:12" ht="15">
      <c r="B33" s="32">
        <v>1</v>
      </c>
      <c r="C33" s="66" t="s">
        <v>62</v>
      </c>
      <c r="D33" s="64">
        <v>41367</v>
      </c>
      <c r="E33">
        <v>1.3349475961846657E-2</v>
      </c>
      <c r="F33">
        <v>4.0263545020931581E-2</v>
      </c>
      <c r="G33" s="40">
        <f t="shared" si="2"/>
        <v>0</v>
      </c>
      <c r="H33" s="33">
        <f t="shared" si="3"/>
        <v>-4.0263545020931581E-2</v>
      </c>
      <c r="I33" s="43"/>
      <c r="K33"/>
      <c r="L33"/>
    </row>
    <row r="34" spans="2:12" ht="15">
      <c r="B34" s="32">
        <v>1</v>
      </c>
      <c r="C34" s="66" t="s">
        <v>62</v>
      </c>
      <c r="D34" s="64">
        <v>41368</v>
      </c>
      <c r="E34">
        <v>-5.1221163632693134E-3</v>
      </c>
      <c r="F34">
        <v>3.7977929262782158E-2</v>
      </c>
      <c r="G34" s="40">
        <f t="shared" si="2"/>
        <v>0</v>
      </c>
      <c r="H34" s="33">
        <f t="shared" si="3"/>
        <v>-3.7977929262782158E-2</v>
      </c>
      <c r="I34" s="43"/>
      <c r="K34"/>
      <c r="L34"/>
    </row>
    <row r="35" spans="2:12" ht="15">
      <c r="B35" s="32">
        <v>1</v>
      </c>
      <c r="C35" s="66" t="s">
        <v>62</v>
      </c>
      <c r="D35" s="64">
        <v>41369</v>
      </c>
      <c r="E35">
        <v>-7.5415276523251862E-3</v>
      </c>
      <c r="F35">
        <v>3.8776554322602033E-2</v>
      </c>
      <c r="G35" s="40">
        <f t="shared" si="2"/>
        <v>0</v>
      </c>
      <c r="H35" s="33">
        <f t="shared" si="3"/>
        <v>-3.8776554322602033E-2</v>
      </c>
      <c r="I35" s="43"/>
      <c r="K35"/>
      <c r="L35"/>
    </row>
    <row r="36" spans="2:12" ht="15">
      <c r="B36" s="32">
        <v>1</v>
      </c>
      <c r="C36" s="66" t="s">
        <v>62</v>
      </c>
      <c r="D36" s="64">
        <v>41372</v>
      </c>
      <c r="E36">
        <v>-5.0154971446874086E-3</v>
      </c>
      <c r="F36">
        <v>3.9876799160328991E-2</v>
      </c>
      <c r="G36" s="40">
        <f t="shared" si="2"/>
        <v>0</v>
      </c>
      <c r="H36" s="33">
        <f t="shared" si="3"/>
        <v>-3.9876799160328991E-2</v>
      </c>
      <c r="I36" s="43"/>
      <c r="K36"/>
      <c r="L36"/>
    </row>
    <row r="37" spans="2:12" ht="15">
      <c r="B37" s="32">
        <v>1</v>
      </c>
      <c r="C37" s="66" t="s">
        <v>62</v>
      </c>
      <c r="D37" s="64">
        <v>41373</v>
      </c>
      <c r="E37">
        <v>-3.9027646966474094E-3</v>
      </c>
      <c r="F37">
        <v>3.9657740603436124E-2</v>
      </c>
      <c r="G37" s="40">
        <f t="shared" si="2"/>
        <v>0</v>
      </c>
      <c r="H37" s="33">
        <f t="shared" si="3"/>
        <v>-3.9657740603436124E-2</v>
      </c>
      <c r="I37" s="43"/>
      <c r="K37"/>
      <c r="L37"/>
    </row>
    <row r="38" spans="2:12" ht="15">
      <c r="B38" s="32">
        <v>1</v>
      </c>
      <c r="C38" s="66" t="s">
        <v>62</v>
      </c>
      <c r="D38" s="64">
        <v>41374</v>
      </c>
      <c r="E38">
        <v>-5.652895337574293E-3</v>
      </c>
      <c r="F38">
        <v>4.3655064035867198E-2</v>
      </c>
      <c r="G38" s="40">
        <f t="shared" si="2"/>
        <v>0</v>
      </c>
      <c r="H38" s="33">
        <f t="shared" si="3"/>
        <v>-4.3655064035867198E-2</v>
      </c>
      <c r="I38" s="43"/>
      <c r="K38"/>
      <c r="L38"/>
    </row>
    <row r="39" spans="2:12" ht="15">
      <c r="B39" s="32">
        <v>1</v>
      </c>
      <c r="C39" s="66" t="s">
        <v>62</v>
      </c>
      <c r="D39" s="64">
        <v>41375</v>
      </c>
      <c r="E39">
        <v>-9.1925114203101899E-3</v>
      </c>
      <c r="F39">
        <v>4.3460435108448048E-2</v>
      </c>
      <c r="G39" s="40">
        <f t="shared" si="2"/>
        <v>0</v>
      </c>
      <c r="H39" s="33">
        <f t="shared" si="3"/>
        <v>-4.3460435108448048E-2</v>
      </c>
      <c r="I39" s="43"/>
      <c r="K39"/>
      <c r="L39"/>
    </row>
    <row r="40" spans="2:12" ht="15">
      <c r="B40" s="32">
        <v>1</v>
      </c>
      <c r="C40" s="66" t="s">
        <v>62</v>
      </c>
      <c r="D40" s="64">
        <v>41376</v>
      </c>
      <c r="E40">
        <v>-2.3250989446914616E-3</v>
      </c>
      <c r="F40">
        <v>4.3949835036997786E-2</v>
      </c>
      <c r="G40" s="40">
        <f t="shared" si="2"/>
        <v>0</v>
      </c>
      <c r="H40" s="33">
        <f t="shared" si="3"/>
        <v>-4.3949835036997786E-2</v>
      </c>
      <c r="I40" s="43"/>
      <c r="K40"/>
      <c r="L40"/>
    </row>
    <row r="41" spans="2:12" ht="15">
      <c r="B41" s="32">
        <v>1</v>
      </c>
      <c r="C41" s="66" t="s">
        <v>62</v>
      </c>
      <c r="D41" s="64">
        <v>41379</v>
      </c>
      <c r="E41">
        <v>1.9065214256458241E-2</v>
      </c>
      <c r="F41">
        <v>5.7991874497745212E-2</v>
      </c>
      <c r="G41" s="40">
        <f t="shared" si="2"/>
        <v>0</v>
      </c>
      <c r="H41" s="33">
        <f t="shared" si="3"/>
        <v>-5.7991874497745212E-2</v>
      </c>
      <c r="I41" s="43"/>
      <c r="K41"/>
      <c r="L41"/>
    </row>
    <row r="42" spans="2:12" ht="15">
      <c r="B42" s="32">
        <v>1</v>
      </c>
      <c r="C42" s="66" t="s">
        <v>62</v>
      </c>
      <c r="D42" s="64">
        <v>41380</v>
      </c>
      <c r="E42">
        <v>1.2019688682433305E-2</v>
      </c>
      <c r="F42">
        <v>6.2435734703915814E-2</v>
      </c>
      <c r="G42" s="40">
        <f t="shared" si="2"/>
        <v>0</v>
      </c>
      <c r="H42" s="33">
        <f t="shared" si="3"/>
        <v>-6.2435734703915814E-2</v>
      </c>
      <c r="I42" s="43"/>
      <c r="K42"/>
      <c r="L42"/>
    </row>
    <row r="43" spans="2:12" ht="15">
      <c r="B43" s="32">
        <v>1</v>
      </c>
      <c r="C43" s="66" t="s">
        <v>62</v>
      </c>
      <c r="D43" s="64">
        <v>41381</v>
      </c>
      <c r="E43">
        <v>2.8932819492073492E-2</v>
      </c>
      <c r="F43">
        <v>6.6251325030273062E-2</v>
      </c>
      <c r="G43" s="40">
        <f t="shared" si="2"/>
        <v>0</v>
      </c>
      <c r="H43" s="33">
        <f t="shared" si="3"/>
        <v>-6.6251325030273062E-2</v>
      </c>
      <c r="I43" s="43"/>
      <c r="K43"/>
      <c r="L43"/>
    </row>
    <row r="44" spans="2:12" ht="15">
      <c r="B44" s="32">
        <v>1</v>
      </c>
      <c r="C44" s="66" t="s">
        <v>62</v>
      </c>
      <c r="D44" s="64">
        <v>41382</v>
      </c>
      <c r="E44">
        <v>2.6304903263459245E-2</v>
      </c>
      <c r="F44">
        <v>6.7031337820508047E-2</v>
      </c>
      <c r="G44" s="40">
        <f t="shared" si="2"/>
        <v>0</v>
      </c>
      <c r="H44" s="33">
        <f t="shared" si="3"/>
        <v>-6.7031337820508047E-2</v>
      </c>
      <c r="I44" s="43"/>
      <c r="K44"/>
      <c r="L44"/>
    </row>
    <row r="45" spans="2:12" ht="15">
      <c r="B45" s="32">
        <v>1</v>
      </c>
      <c r="C45" s="66" t="s">
        <v>62</v>
      </c>
      <c r="D45" s="64">
        <v>41383</v>
      </c>
      <c r="E45">
        <v>2.6859918015746054E-2</v>
      </c>
      <c r="F45">
        <v>6.7708306488127437E-2</v>
      </c>
      <c r="G45" s="40">
        <f t="shared" si="2"/>
        <v>0</v>
      </c>
      <c r="H45" s="33">
        <f t="shared" si="3"/>
        <v>-6.7708306488127437E-2</v>
      </c>
      <c r="I45" s="43"/>
      <c r="K45"/>
      <c r="L45"/>
    </row>
    <row r="46" spans="2:12" ht="15">
      <c r="B46" s="32">
        <v>1</v>
      </c>
      <c r="C46" s="66" t="s">
        <v>62</v>
      </c>
      <c r="D46" s="64">
        <v>41386</v>
      </c>
      <c r="E46">
        <v>3.2688683669889862E-2</v>
      </c>
      <c r="F46">
        <v>6.6644793998188137E-2</v>
      </c>
      <c r="G46" s="40">
        <f t="shared" si="2"/>
        <v>0</v>
      </c>
      <c r="H46" s="33">
        <f t="shared" si="3"/>
        <v>-6.6644793998188137E-2</v>
      </c>
      <c r="I46" s="43"/>
      <c r="K46"/>
      <c r="L46"/>
    </row>
    <row r="47" spans="2:12" ht="15">
      <c r="B47" s="32">
        <v>1</v>
      </c>
      <c r="C47" s="66" t="s">
        <v>62</v>
      </c>
      <c r="D47" s="64">
        <v>41387</v>
      </c>
      <c r="E47">
        <v>2.4229332146987304E-2</v>
      </c>
      <c r="F47">
        <v>6.7703260818499492E-2</v>
      </c>
      <c r="G47" s="40">
        <f t="shared" si="2"/>
        <v>0</v>
      </c>
      <c r="H47" s="33">
        <f t="shared" si="3"/>
        <v>-6.7703260818499492E-2</v>
      </c>
      <c r="I47" s="43"/>
      <c r="K47"/>
      <c r="L47"/>
    </row>
    <row r="48" spans="2:12" ht="15">
      <c r="B48" s="32">
        <v>1</v>
      </c>
      <c r="C48" s="66" t="s">
        <v>62</v>
      </c>
      <c r="D48" s="64">
        <v>41388</v>
      </c>
      <c r="E48">
        <v>2.9439631026737523E-2</v>
      </c>
      <c r="F48">
        <v>6.7379036506897888E-2</v>
      </c>
      <c r="G48" s="40">
        <f t="shared" si="2"/>
        <v>0</v>
      </c>
      <c r="H48" s="33">
        <f t="shared" si="3"/>
        <v>-6.7379036506897888E-2</v>
      </c>
      <c r="I48" s="43"/>
      <c r="K48"/>
      <c r="L48"/>
    </row>
    <row r="49" spans="2:12" ht="15">
      <c r="B49" s="32">
        <v>1</v>
      </c>
      <c r="C49" s="66" t="s">
        <v>62</v>
      </c>
      <c r="D49" s="64">
        <v>41389</v>
      </c>
      <c r="E49">
        <v>2.954355511495077E-2</v>
      </c>
      <c r="F49">
        <v>6.6602690233837983E-2</v>
      </c>
      <c r="G49" s="40">
        <f t="shared" si="2"/>
        <v>0</v>
      </c>
      <c r="H49" s="33">
        <f t="shared" si="3"/>
        <v>-6.6602690233837983E-2</v>
      </c>
      <c r="I49" s="43"/>
      <c r="K49"/>
      <c r="L49"/>
    </row>
    <row r="50" spans="2:12" ht="15">
      <c r="B50" s="32">
        <v>1</v>
      </c>
      <c r="C50" s="66" t="s">
        <v>62</v>
      </c>
      <c r="D50" s="64">
        <v>41390</v>
      </c>
      <c r="E50">
        <v>2.7693449204909015E-2</v>
      </c>
      <c r="F50">
        <v>6.6696119230981607E-2</v>
      </c>
      <c r="G50" s="40">
        <f t="shared" si="2"/>
        <v>0</v>
      </c>
      <c r="H50" s="33">
        <f t="shared" si="3"/>
        <v>-6.6696119230981607E-2</v>
      </c>
      <c r="I50" s="43"/>
      <c r="K50"/>
      <c r="L50"/>
    </row>
    <row r="51" spans="2:12" ht="15">
      <c r="B51" s="32">
        <v>1</v>
      </c>
      <c r="C51" s="66" t="s">
        <v>62</v>
      </c>
      <c r="D51" s="64">
        <v>41393</v>
      </c>
      <c r="E51">
        <v>2.4845477540740291E-2</v>
      </c>
      <c r="F51">
        <v>6.7317305878536182E-2</v>
      </c>
      <c r="G51" s="40">
        <f t="shared" si="2"/>
        <v>0</v>
      </c>
      <c r="H51" s="33">
        <f t="shared" si="3"/>
        <v>-6.7317305878536182E-2</v>
      </c>
      <c r="I51" s="43"/>
      <c r="K51"/>
      <c r="L51"/>
    </row>
    <row r="52" spans="2:12" ht="15">
      <c r="B52" s="32">
        <v>1</v>
      </c>
      <c r="C52" s="66" t="s">
        <v>62</v>
      </c>
      <c r="D52" s="64">
        <v>41394</v>
      </c>
      <c r="E52">
        <v>2.2406548923478375E-2</v>
      </c>
      <c r="F52">
        <v>6.6782617491619622E-2</v>
      </c>
      <c r="G52" s="40">
        <f t="shared" si="2"/>
        <v>0</v>
      </c>
      <c r="H52" s="33">
        <f t="shared" si="3"/>
        <v>-6.6782617491619622E-2</v>
      </c>
      <c r="I52" s="43"/>
      <c r="K52"/>
      <c r="L52"/>
    </row>
    <row r="53" spans="2:12" ht="15">
      <c r="B53" s="32">
        <v>1</v>
      </c>
      <c r="C53" s="66" t="s">
        <v>62</v>
      </c>
      <c r="D53" s="64">
        <v>41395</v>
      </c>
      <c r="E53">
        <v>4.184908829181655E-2</v>
      </c>
      <c r="F53">
        <v>6.8419281250388528E-2</v>
      </c>
      <c r="G53" s="40">
        <f t="shared" si="2"/>
        <v>0</v>
      </c>
      <c r="H53" s="33">
        <f t="shared" si="3"/>
        <v>-6.8419281250388528E-2</v>
      </c>
      <c r="I53" s="43"/>
      <c r="K53"/>
      <c r="L53"/>
    </row>
    <row r="54" spans="2:12" ht="15">
      <c r="B54" s="32">
        <v>1</v>
      </c>
      <c r="C54" s="66" t="s">
        <v>62</v>
      </c>
      <c r="D54" s="64">
        <v>41396</v>
      </c>
      <c r="E54">
        <v>3.758618746278497E-2</v>
      </c>
      <c r="F54">
        <v>6.7248064295187537E-2</v>
      </c>
      <c r="G54" s="40">
        <f t="shared" si="2"/>
        <v>0</v>
      </c>
      <c r="H54" s="33">
        <f t="shared" si="3"/>
        <v>-6.7248064295187537E-2</v>
      </c>
      <c r="I54" s="43"/>
      <c r="K54"/>
      <c r="L54"/>
    </row>
    <row r="55" spans="2:12" ht="15">
      <c r="B55" s="32">
        <v>1</v>
      </c>
      <c r="C55" s="66" t="s">
        <v>62</v>
      </c>
      <c r="D55" s="64">
        <v>41397</v>
      </c>
      <c r="E55">
        <v>2.2084291966648628E-2</v>
      </c>
      <c r="F55">
        <v>6.8729322967797324E-2</v>
      </c>
      <c r="G55" s="40">
        <f t="shared" si="2"/>
        <v>0</v>
      </c>
      <c r="H55" s="33">
        <f t="shared" si="3"/>
        <v>-6.8729322967797324E-2</v>
      </c>
      <c r="I55" s="43"/>
      <c r="K55"/>
      <c r="L55"/>
    </row>
    <row r="56" spans="2:12" ht="15">
      <c r="B56" s="32">
        <v>1</v>
      </c>
      <c r="C56" s="66" t="s">
        <v>62</v>
      </c>
      <c r="D56" s="64">
        <v>41400</v>
      </c>
      <c r="E56">
        <v>3.0425742856767357E-2</v>
      </c>
      <c r="F56">
        <v>6.7996710442977989E-2</v>
      </c>
      <c r="G56" s="40">
        <f t="shared" si="2"/>
        <v>0</v>
      </c>
      <c r="H56" s="33">
        <f t="shared" si="3"/>
        <v>-6.7996710442977989E-2</v>
      </c>
      <c r="I56" s="43"/>
      <c r="K56"/>
      <c r="L56"/>
    </row>
    <row r="57" spans="2:12" ht="15">
      <c r="B57" s="32">
        <v>1</v>
      </c>
      <c r="C57" s="66" t="s">
        <v>62</v>
      </c>
      <c r="D57" s="64">
        <v>41401</v>
      </c>
      <c r="E57">
        <v>2.4501235038235869E-2</v>
      </c>
      <c r="F57">
        <v>6.7833311068391661E-2</v>
      </c>
      <c r="G57" s="40">
        <f t="shared" si="2"/>
        <v>0</v>
      </c>
      <c r="H57" s="33">
        <f t="shared" si="3"/>
        <v>-6.7833311068391661E-2</v>
      </c>
      <c r="I57" s="43"/>
      <c r="K57"/>
      <c r="L57"/>
    </row>
    <row r="58" spans="2:12" ht="15">
      <c r="B58" s="32">
        <v>1</v>
      </c>
      <c r="C58" s="66" t="s">
        <v>62</v>
      </c>
      <c r="D58" s="64">
        <v>41402</v>
      </c>
      <c r="E58">
        <v>2.2091601071660527E-2</v>
      </c>
      <c r="F58">
        <v>6.7879188537553758E-2</v>
      </c>
      <c r="G58" s="40">
        <f t="shared" si="2"/>
        <v>0</v>
      </c>
      <c r="H58" s="33">
        <f t="shared" si="3"/>
        <v>-6.7879188537553758E-2</v>
      </c>
      <c r="I58" s="43"/>
      <c r="K58"/>
      <c r="L58"/>
    </row>
    <row r="59" spans="2:12" ht="15">
      <c r="B59" s="32">
        <v>1</v>
      </c>
      <c r="C59" s="66" t="s">
        <v>62</v>
      </c>
      <c r="D59" s="64">
        <v>41403</v>
      </c>
      <c r="E59">
        <v>1.7477444910000806E-2</v>
      </c>
      <c r="F59">
        <v>6.6168268692663776E-2</v>
      </c>
      <c r="G59" s="40">
        <f t="shared" si="2"/>
        <v>0</v>
      </c>
      <c r="H59" s="33">
        <f t="shared" si="3"/>
        <v>-6.6168268692663776E-2</v>
      </c>
      <c r="I59" s="43"/>
      <c r="K59"/>
      <c r="L59"/>
    </row>
    <row r="60" spans="2:12" ht="15">
      <c r="B60" s="32">
        <v>1</v>
      </c>
      <c r="C60" s="66" t="s">
        <v>62</v>
      </c>
      <c r="D60" s="64">
        <v>41404</v>
      </c>
      <c r="E60">
        <v>1.0236986064501075E-2</v>
      </c>
      <c r="F60">
        <v>6.6254623838996524E-2</v>
      </c>
      <c r="G60" s="40">
        <f t="shared" si="2"/>
        <v>0</v>
      </c>
      <c r="H60" s="33">
        <f t="shared" si="3"/>
        <v>-6.6254623838996524E-2</v>
      </c>
      <c r="I60" s="43"/>
      <c r="K60"/>
      <c r="L60"/>
    </row>
    <row r="61" spans="2:12" ht="15">
      <c r="B61" s="32">
        <v>1</v>
      </c>
      <c r="C61" s="66" t="s">
        <v>62</v>
      </c>
      <c r="D61" s="64">
        <v>41407</v>
      </c>
      <c r="E61">
        <v>9.6425798335291191E-3</v>
      </c>
      <c r="F61">
        <v>6.5940847609087125E-2</v>
      </c>
      <c r="G61" s="40">
        <f t="shared" si="2"/>
        <v>0</v>
      </c>
      <c r="H61" s="33">
        <f t="shared" si="3"/>
        <v>-6.5940847609087125E-2</v>
      </c>
      <c r="I61" s="43"/>
      <c r="K61"/>
      <c r="L61"/>
    </row>
    <row r="62" spans="2:12" ht="15">
      <c r="B62" s="32">
        <v>1</v>
      </c>
      <c r="C62" s="66" t="s">
        <v>62</v>
      </c>
      <c r="D62" s="64">
        <v>41408</v>
      </c>
      <c r="E62">
        <v>5.8724751452849944E-3</v>
      </c>
      <c r="F62">
        <v>5.2730114555519451E-2</v>
      </c>
      <c r="G62" s="40">
        <f t="shared" si="2"/>
        <v>0</v>
      </c>
      <c r="H62" s="33">
        <f t="shared" si="3"/>
        <v>-5.2730114555519451E-2</v>
      </c>
      <c r="I62" s="43"/>
      <c r="K62"/>
      <c r="L62"/>
    </row>
    <row r="63" spans="2:12" ht="15">
      <c r="B63" s="32">
        <v>1</v>
      </c>
      <c r="C63" s="66" t="s">
        <v>62</v>
      </c>
      <c r="D63" s="64">
        <v>41409</v>
      </c>
      <c r="E63">
        <v>-6.3015647582407297E-3</v>
      </c>
      <c r="F63">
        <v>4.9373365372110699E-2</v>
      </c>
      <c r="G63" s="40">
        <f t="shared" si="2"/>
        <v>0</v>
      </c>
      <c r="H63" s="33">
        <f t="shared" si="3"/>
        <v>-4.9373365372110699E-2</v>
      </c>
      <c r="I63" s="43"/>
      <c r="K63"/>
      <c r="L63"/>
    </row>
    <row r="64" spans="2:12" ht="15">
      <c r="B64" s="32">
        <v>1</v>
      </c>
      <c r="C64" s="66" t="s">
        <v>62</v>
      </c>
      <c r="D64" s="64">
        <v>41410</v>
      </c>
      <c r="E64">
        <v>2.384392087307674E-3</v>
      </c>
      <c r="F64">
        <v>4.2481717558596359E-2</v>
      </c>
      <c r="G64" s="40">
        <f t="shared" si="2"/>
        <v>0</v>
      </c>
      <c r="H64" s="33">
        <f t="shared" si="3"/>
        <v>-4.2481717558596359E-2</v>
      </c>
      <c r="I64" s="43"/>
      <c r="K64"/>
      <c r="L64"/>
    </row>
    <row r="65" spans="2:12" ht="15">
      <c r="B65" s="32">
        <v>1</v>
      </c>
      <c r="C65" s="66" t="s">
        <v>62</v>
      </c>
      <c r="D65" s="64">
        <v>41411</v>
      </c>
      <c r="E65">
        <v>-2.2273596854390121E-2</v>
      </c>
      <c r="F65">
        <v>4.0747928374810283E-2</v>
      </c>
      <c r="G65" s="40">
        <f t="shared" si="2"/>
        <v>0</v>
      </c>
      <c r="H65" s="33">
        <f t="shared" si="3"/>
        <v>-4.0747928374810283E-2</v>
      </c>
      <c r="I65" s="43"/>
      <c r="K65"/>
      <c r="L65"/>
    </row>
    <row r="66" spans="2:12" ht="15">
      <c r="B66" s="32">
        <v>1</v>
      </c>
      <c r="C66" s="66" t="s">
        <v>62</v>
      </c>
      <c r="D66" s="64">
        <v>41414</v>
      </c>
      <c r="E66">
        <v>-1.5647288197332188E-2</v>
      </c>
      <c r="F66">
        <v>4.0405214163510783E-2</v>
      </c>
      <c r="G66" s="40">
        <f t="shared" si="2"/>
        <v>0</v>
      </c>
      <c r="H66" s="33">
        <f t="shared" si="3"/>
        <v>-4.0405214163510783E-2</v>
      </c>
      <c r="I66" s="43"/>
      <c r="K66"/>
      <c r="L66"/>
    </row>
    <row r="67" spans="2:12" ht="15">
      <c r="B67" s="32">
        <v>1</v>
      </c>
      <c r="C67" s="66" t="s">
        <v>62</v>
      </c>
      <c r="D67" s="64">
        <v>41415</v>
      </c>
      <c r="E67">
        <v>-2.2894240777302066E-2</v>
      </c>
      <c r="F67">
        <v>4.0410777810412364E-2</v>
      </c>
      <c r="G67" s="40">
        <f t="shared" si="2"/>
        <v>0</v>
      </c>
      <c r="H67" s="33">
        <f t="shared" si="3"/>
        <v>-4.0410777810412364E-2</v>
      </c>
      <c r="I67" s="43"/>
      <c r="K67"/>
      <c r="L67"/>
    </row>
    <row r="68" spans="2:12" ht="15">
      <c r="B68" s="32">
        <v>1</v>
      </c>
      <c r="C68" s="66" t="s">
        <v>62</v>
      </c>
      <c r="D68" s="64">
        <v>41416</v>
      </c>
      <c r="E68">
        <v>-2.8461721742424118E-2</v>
      </c>
      <c r="F68">
        <v>4.2449055074554834E-2</v>
      </c>
      <c r="G68" s="40">
        <f t="shared" si="2"/>
        <v>0</v>
      </c>
      <c r="H68" s="33">
        <f t="shared" si="3"/>
        <v>-4.2449055074554834E-2</v>
      </c>
      <c r="I68" s="43"/>
      <c r="K68"/>
      <c r="L68"/>
    </row>
    <row r="69" spans="2:12" ht="15">
      <c r="B69" s="32">
        <v>1</v>
      </c>
      <c r="C69" s="66" t="s">
        <v>62</v>
      </c>
      <c r="D69" s="64">
        <v>41417</v>
      </c>
      <c r="E69">
        <v>-1.7079151877719134E-2</v>
      </c>
      <c r="F69">
        <v>4.3125727681552414E-2</v>
      </c>
      <c r="G69" s="40">
        <f t="shared" si="2"/>
        <v>0</v>
      </c>
      <c r="H69" s="33">
        <f t="shared" si="3"/>
        <v>-4.3125727681552414E-2</v>
      </c>
      <c r="I69" s="43"/>
      <c r="K69"/>
      <c r="L69"/>
    </row>
    <row r="70" spans="2:12" ht="15">
      <c r="B70" s="32">
        <v>1</v>
      </c>
      <c r="C70" s="66" t="s">
        <v>62</v>
      </c>
      <c r="D70" s="64">
        <v>41418</v>
      </c>
      <c r="E70">
        <v>-3.7777201398574434E-3</v>
      </c>
      <c r="F70">
        <v>4.3202917102327633E-2</v>
      </c>
      <c r="G70" s="40">
        <f t="shared" ref="G70:G133" si="4">--(E70&lt;-F70)</f>
        <v>0</v>
      </c>
      <c r="H70" s="33">
        <f t="shared" ref="H70:H133" si="5">-F70</f>
        <v>-4.3202917102327633E-2</v>
      </c>
      <c r="I70" s="43"/>
      <c r="K70"/>
      <c r="L70"/>
    </row>
    <row r="71" spans="2:12" ht="15">
      <c r="B71" s="32">
        <v>1</v>
      </c>
      <c r="C71" s="66" t="s">
        <v>62</v>
      </c>
      <c r="D71" s="64">
        <v>41422</v>
      </c>
      <c r="E71">
        <v>-1.0445555670386852E-2</v>
      </c>
      <c r="F71">
        <v>4.327786152427375E-2</v>
      </c>
      <c r="G71" s="40">
        <f t="shared" si="4"/>
        <v>0</v>
      </c>
      <c r="H71" s="33">
        <f t="shared" si="5"/>
        <v>-4.327786152427375E-2</v>
      </c>
      <c r="I71" s="43"/>
      <c r="K71"/>
      <c r="L71"/>
    </row>
    <row r="72" spans="2:12" ht="15">
      <c r="B72" s="32">
        <v>1</v>
      </c>
      <c r="C72" s="66" t="s">
        <v>62</v>
      </c>
      <c r="D72" s="64">
        <v>41423</v>
      </c>
      <c r="E72">
        <v>-1.3577883329265461E-2</v>
      </c>
      <c r="F72">
        <v>4.4940123306992444E-2</v>
      </c>
      <c r="G72" s="40">
        <f t="shared" si="4"/>
        <v>0</v>
      </c>
      <c r="H72" s="33">
        <f t="shared" si="5"/>
        <v>-4.4940123306992444E-2</v>
      </c>
      <c r="I72" s="43"/>
      <c r="K72"/>
      <c r="L72"/>
    </row>
    <row r="73" spans="2:12" ht="15">
      <c r="B73" s="32">
        <v>1</v>
      </c>
      <c r="C73" s="66" t="s">
        <v>62</v>
      </c>
      <c r="D73" s="64">
        <v>41424</v>
      </c>
      <c r="E73">
        <v>-2.5646285237670874E-2</v>
      </c>
      <c r="F73">
        <v>4.5042196508286433E-2</v>
      </c>
      <c r="G73" s="40">
        <f t="shared" si="4"/>
        <v>0</v>
      </c>
      <c r="H73" s="33">
        <f t="shared" si="5"/>
        <v>-4.5042196508286433E-2</v>
      </c>
      <c r="I73" s="43"/>
      <c r="K73"/>
      <c r="L73"/>
    </row>
    <row r="74" spans="2:12" ht="15">
      <c r="B74" s="32">
        <v>1</v>
      </c>
      <c r="C74" s="66" t="s">
        <v>62</v>
      </c>
      <c r="D74" s="64">
        <v>41425</v>
      </c>
      <c r="E74">
        <v>3.4403603111199388E-3</v>
      </c>
      <c r="F74">
        <v>4.8952805748904746E-2</v>
      </c>
      <c r="G74" s="40">
        <f t="shared" si="4"/>
        <v>0</v>
      </c>
      <c r="H74" s="33">
        <f t="shared" si="5"/>
        <v>-4.8952805748904746E-2</v>
      </c>
      <c r="I74" s="43"/>
      <c r="K74"/>
      <c r="L74"/>
    </row>
    <row r="75" spans="2:12" ht="15">
      <c r="B75" s="32">
        <v>1</v>
      </c>
      <c r="C75" s="66" t="s">
        <v>62</v>
      </c>
      <c r="D75" s="64">
        <v>41428</v>
      </c>
      <c r="E75">
        <v>-8.3804808614518222E-3</v>
      </c>
      <c r="F75">
        <v>4.7737958255748496E-2</v>
      </c>
      <c r="G75" s="40">
        <f t="shared" si="4"/>
        <v>0</v>
      </c>
      <c r="H75" s="33">
        <f t="shared" si="5"/>
        <v>-4.7737958255748496E-2</v>
      </c>
      <c r="I75" s="43"/>
      <c r="K75"/>
      <c r="L75"/>
    </row>
    <row r="76" spans="2:12" ht="15">
      <c r="B76" s="32">
        <v>1</v>
      </c>
      <c r="C76" s="66" t="s">
        <v>62</v>
      </c>
      <c r="D76" s="64">
        <v>41429</v>
      </c>
      <c r="E76">
        <v>4.6844429183954261E-3</v>
      </c>
      <c r="F76">
        <v>4.6265432942572168E-2</v>
      </c>
      <c r="G76" s="40">
        <f t="shared" si="4"/>
        <v>0</v>
      </c>
      <c r="H76" s="33">
        <f t="shared" si="5"/>
        <v>-4.6265432942572168E-2</v>
      </c>
      <c r="I76" s="43"/>
      <c r="K76"/>
      <c r="L76"/>
    </row>
    <row r="77" spans="2:12" ht="15">
      <c r="B77" s="32">
        <v>1</v>
      </c>
      <c r="C77" s="66" t="s">
        <v>62</v>
      </c>
      <c r="D77" s="64">
        <v>41430</v>
      </c>
      <c r="E77">
        <v>2.6320961504366913E-2</v>
      </c>
      <c r="F77">
        <v>5.1595055836755013E-2</v>
      </c>
      <c r="G77" s="40">
        <f t="shared" si="4"/>
        <v>0</v>
      </c>
      <c r="H77" s="33">
        <f t="shared" si="5"/>
        <v>-5.1595055836755013E-2</v>
      </c>
      <c r="I77" s="43"/>
      <c r="K77"/>
      <c r="L77"/>
    </row>
    <row r="78" spans="2:12" ht="15">
      <c r="B78" s="32">
        <v>1</v>
      </c>
      <c r="C78" s="66" t="s">
        <v>62</v>
      </c>
      <c r="D78" s="64">
        <v>41431</v>
      </c>
      <c r="E78">
        <v>3.9182054554336432E-3</v>
      </c>
      <c r="F78">
        <v>5.2772384538624026E-2</v>
      </c>
      <c r="G78" s="40">
        <f t="shared" si="4"/>
        <v>0</v>
      </c>
      <c r="H78" s="33">
        <f t="shared" si="5"/>
        <v>-5.2772384538624026E-2</v>
      </c>
      <c r="I78" s="43"/>
      <c r="K78"/>
      <c r="L78"/>
    </row>
    <row r="79" spans="2:12" ht="15">
      <c r="B79" s="32">
        <v>1</v>
      </c>
      <c r="C79" s="66" t="s">
        <v>62</v>
      </c>
      <c r="D79" s="64">
        <v>41432</v>
      </c>
      <c r="E79">
        <v>-3.4160133717993091E-2</v>
      </c>
      <c r="F79">
        <v>5.6335722489405396E-2</v>
      </c>
      <c r="G79" s="40">
        <f t="shared" si="4"/>
        <v>0</v>
      </c>
      <c r="H79" s="33">
        <f t="shared" si="5"/>
        <v>-5.6335722489405396E-2</v>
      </c>
      <c r="I79" s="43"/>
      <c r="K79"/>
      <c r="L79"/>
    </row>
    <row r="80" spans="2:12" ht="15">
      <c r="B80" s="32">
        <v>1</v>
      </c>
      <c r="C80" s="66" t="s">
        <v>62</v>
      </c>
      <c r="D80" s="64">
        <v>41435</v>
      </c>
      <c r="E80">
        <v>-3.1147040799494263E-2</v>
      </c>
      <c r="F80">
        <v>5.5946793644938965E-2</v>
      </c>
      <c r="G80" s="40">
        <f t="shared" si="4"/>
        <v>0</v>
      </c>
      <c r="H80" s="33">
        <f t="shared" si="5"/>
        <v>-5.5946793644938965E-2</v>
      </c>
      <c r="I80" s="43"/>
      <c r="K80"/>
      <c r="L80"/>
    </row>
    <row r="81" spans="2:12" ht="15">
      <c r="B81" s="32">
        <v>1</v>
      </c>
      <c r="C81" s="66" t="s">
        <v>62</v>
      </c>
      <c r="D81" s="64">
        <v>41436</v>
      </c>
      <c r="E81">
        <v>-3.3161145466372943E-2</v>
      </c>
      <c r="F81">
        <v>5.8063085369911935E-2</v>
      </c>
      <c r="G81" s="40">
        <f t="shared" si="4"/>
        <v>0</v>
      </c>
      <c r="H81" s="33">
        <f t="shared" si="5"/>
        <v>-5.8063085369911935E-2</v>
      </c>
      <c r="I81" s="43"/>
      <c r="K81"/>
      <c r="L81"/>
    </row>
    <row r="82" spans="2:12" ht="15">
      <c r="B82" s="32">
        <v>1</v>
      </c>
      <c r="C82" s="66" t="s">
        <v>62</v>
      </c>
      <c r="D82" s="64">
        <v>41437</v>
      </c>
      <c r="E82">
        <v>-1.5303912518819018E-2</v>
      </c>
      <c r="F82">
        <v>5.9524442558747837E-2</v>
      </c>
      <c r="G82" s="40">
        <f t="shared" si="4"/>
        <v>0</v>
      </c>
      <c r="H82" s="33">
        <f t="shared" si="5"/>
        <v>-5.9524442558747837E-2</v>
      </c>
      <c r="I82" s="43"/>
      <c r="K82"/>
      <c r="L82"/>
    </row>
    <row r="83" spans="2:12" ht="15">
      <c r="B83" s="32">
        <v>1</v>
      </c>
      <c r="C83" s="66" t="s">
        <v>62</v>
      </c>
      <c r="D83" s="64">
        <v>41438</v>
      </c>
      <c r="E83">
        <v>-2.0435191111318751E-2</v>
      </c>
      <c r="F83">
        <v>6.2154647532299864E-2</v>
      </c>
      <c r="G83" s="40">
        <f t="shared" si="4"/>
        <v>0</v>
      </c>
      <c r="H83" s="33">
        <f t="shared" si="5"/>
        <v>-6.2154647532299864E-2</v>
      </c>
      <c r="I83" s="43"/>
      <c r="K83"/>
      <c r="L83"/>
    </row>
    <row r="84" spans="2:12" ht="15">
      <c r="B84" s="32">
        <v>1</v>
      </c>
      <c r="C84" s="66" t="s">
        <v>62</v>
      </c>
      <c r="D84" s="64">
        <v>41439</v>
      </c>
      <c r="E84">
        <v>-8.3520989279826097E-3</v>
      </c>
      <c r="F84">
        <v>6.202688077921252E-2</v>
      </c>
      <c r="G84" s="40">
        <f t="shared" si="4"/>
        <v>0</v>
      </c>
      <c r="H84" s="33">
        <f t="shared" si="5"/>
        <v>-6.202688077921252E-2</v>
      </c>
      <c r="I84" s="43"/>
      <c r="K84"/>
      <c r="L84"/>
    </row>
    <row r="85" spans="2:12" ht="15">
      <c r="B85" s="32">
        <v>1</v>
      </c>
      <c r="C85" s="66" t="s">
        <v>62</v>
      </c>
      <c r="D85" s="64">
        <v>41442</v>
      </c>
      <c r="E85">
        <v>-2.0189763799466576E-2</v>
      </c>
      <c r="F85">
        <v>6.3053139422571E-2</v>
      </c>
      <c r="G85" s="40">
        <f t="shared" si="4"/>
        <v>0</v>
      </c>
      <c r="H85" s="33">
        <f t="shared" si="5"/>
        <v>-6.3053139422571E-2</v>
      </c>
      <c r="I85" s="43"/>
      <c r="K85"/>
      <c r="L85"/>
    </row>
    <row r="86" spans="2:12" ht="15">
      <c r="B86" s="32">
        <v>1</v>
      </c>
      <c r="C86" s="66" t="s">
        <v>62</v>
      </c>
      <c r="D86" s="64">
        <v>41443</v>
      </c>
      <c r="E86">
        <v>-2.2561527679412663E-2</v>
      </c>
      <c r="F86">
        <v>6.2042604990796245E-2</v>
      </c>
      <c r="G86" s="40">
        <f t="shared" si="4"/>
        <v>0</v>
      </c>
      <c r="H86" s="33">
        <f t="shared" si="5"/>
        <v>-6.2042604990796245E-2</v>
      </c>
      <c r="I86" s="43"/>
      <c r="K86"/>
      <c r="L86"/>
    </row>
    <row r="87" spans="2:12" ht="15">
      <c r="B87" s="32">
        <v>1</v>
      </c>
      <c r="C87" s="66" t="s">
        <v>62</v>
      </c>
      <c r="D87" s="64">
        <v>41444</v>
      </c>
      <c r="E87">
        <v>-9.1582830450773756E-3</v>
      </c>
      <c r="F87">
        <v>6.5723654501423437E-2</v>
      </c>
      <c r="G87" s="40">
        <f t="shared" si="4"/>
        <v>0</v>
      </c>
      <c r="H87" s="33">
        <f t="shared" si="5"/>
        <v>-6.5723654501423437E-2</v>
      </c>
      <c r="I87" s="43"/>
      <c r="K87"/>
      <c r="L87"/>
    </row>
    <row r="88" spans="2:12" ht="15">
      <c r="B88" s="32">
        <v>1</v>
      </c>
      <c r="C88" s="66" t="s">
        <v>62</v>
      </c>
      <c r="D88" s="64">
        <v>41445</v>
      </c>
      <c r="E88">
        <v>1.6993849597694677E-2</v>
      </c>
      <c r="F88">
        <v>7.6126063120241824E-2</v>
      </c>
      <c r="G88" s="40">
        <f t="shared" si="4"/>
        <v>0</v>
      </c>
      <c r="H88" s="33">
        <f t="shared" si="5"/>
        <v>-7.6126063120241824E-2</v>
      </c>
      <c r="I88" s="43"/>
      <c r="K88"/>
      <c r="L88"/>
    </row>
    <row r="89" spans="2:12" ht="15">
      <c r="B89" s="32">
        <v>1</v>
      </c>
      <c r="C89" s="66" t="s">
        <v>62</v>
      </c>
      <c r="D89" s="64">
        <v>41446</v>
      </c>
      <c r="E89">
        <v>2.4477676136744897E-2</v>
      </c>
      <c r="F89">
        <v>7.5846897362764204E-2</v>
      </c>
      <c r="G89" s="40">
        <f t="shared" si="4"/>
        <v>0</v>
      </c>
      <c r="H89" s="33">
        <f t="shared" si="5"/>
        <v>-7.5846897362764204E-2</v>
      </c>
      <c r="I89" s="43"/>
      <c r="K89"/>
      <c r="L89"/>
    </row>
    <row r="90" spans="2:12" ht="15">
      <c r="B90" s="32">
        <v>1</v>
      </c>
      <c r="C90" s="66" t="s">
        <v>62</v>
      </c>
      <c r="D90" s="64">
        <v>41449</v>
      </c>
      <c r="E90">
        <v>4.193485020017107E-2</v>
      </c>
      <c r="F90">
        <v>7.765096986049827E-2</v>
      </c>
      <c r="G90" s="40">
        <f t="shared" si="4"/>
        <v>0</v>
      </c>
      <c r="H90" s="33">
        <f t="shared" si="5"/>
        <v>-7.765096986049827E-2</v>
      </c>
      <c r="I90" s="43"/>
      <c r="K90"/>
      <c r="L90"/>
    </row>
    <row r="91" spans="2:12" ht="15">
      <c r="B91" s="32">
        <v>1</v>
      </c>
      <c r="C91" s="66" t="s">
        <v>62</v>
      </c>
      <c r="D91" s="64">
        <v>41450</v>
      </c>
      <c r="E91">
        <v>3.9686055663859854E-2</v>
      </c>
      <c r="F91">
        <v>7.9884836179198282E-2</v>
      </c>
      <c r="G91" s="40">
        <f t="shared" si="4"/>
        <v>0</v>
      </c>
      <c r="H91" s="33">
        <f t="shared" si="5"/>
        <v>-7.9884836179198282E-2</v>
      </c>
      <c r="I91" s="43"/>
      <c r="K91"/>
      <c r="L91"/>
    </row>
    <row r="92" spans="2:12" ht="15">
      <c r="B92" s="32">
        <v>1</v>
      </c>
      <c r="C92" s="66" t="s">
        <v>62</v>
      </c>
      <c r="D92" s="64">
        <v>41451</v>
      </c>
      <c r="E92">
        <v>3.0322841733199546E-2</v>
      </c>
      <c r="F92">
        <v>8.0933649927629789E-2</v>
      </c>
      <c r="G92" s="40">
        <f t="shared" si="4"/>
        <v>0</v>
      </c>
      <c r="H92" s="33">
        <f t="shared" si="5"/>
        <v>-8.0933649927629789E-2</v>
      </c>
      <c r="I92" s="43"/>
      <c r="K92"/>
      <c r="L92"/>
    </row>
    <row r="93" spans="2:12" ht="15">
      <c r="B93" s="32">
        <v>1</v>
      </c>
      <c r="C93" s="66" t="s">
        <v>62</v>
      </c>
      <c r="D93" s="64">
        <v>41452</v>
      </c>
      <c r="E93">
        <v>3.7605363801743508E-2</v>
      </c>
      <c r="F93">
        <v>8.1329789454360701E-2</v>
      </c>
      <c r="G93" s="40">
        <f t="shared" si="4"/>
        <v>0</v>
      </c>
      <c r="H93" s="33">
        <f t="shared" si="5"/>
        <v>-8.1329789454360701E-2</v>
      </c>
      <c r="I93" s="43"/>
      <c r="K93"/>
      <c r="L93"/>
    </row>
    <row r="94" spans="2:12" ht="15">
      <c r="B94" s="32">
        <v>1</v>
      </c>
      <c r="C94" s="66" t="s">
        <v>62</v>
      </c>
      <c r="D94" s="64">
        <v>41453</v>
      </c>
      <c r="E94">
        <v>4.498588255948377E-2</v>
      </c>
      <c r="F94">
        <v>8.1091351725874949E-2</v>
      </c>
      <c r="G94" s="40">
        <f t="shared" si="4"/>
        <v>0</v>
      </c>
      <c r="H94" s="33">
        <f t="shared" si="5"/>
        <v>-8.1091351725874949E-2</v>
      </c>
      <c r="I94" s="43"/>
      <c r="K94"/>
      <c r="L94"/>
    </row>
    <row r="95" spans="2:12" ht="15">
      <c r="B95" s="32">
        <v>1</v>
      </c>
      <c r="C95" s="66" t="s">
        <v>62</v>
      </c>
      <c r="D95" s="64">
        <v>41456</v>
      </c>
      <c r="E95">
        <v>4.0970618119915869E-2</v>
      </c>
      <c r="F95">
        <v>7.8693067247236154E-2</v>
      </c>
      <c r="G95" s="40">
        <f t="shared" si="4"/>
        <v>0</v>
      </c>
      <c r="H95" s="33">
        <f t="shared" si="5"/>
        <v>-7.8693067247236154E-2</v>
      </c>
      <c r="I95" s="43"/>
      <c r="K95"/>
      <c r="L95"/>
    </row>
    <row r="96" spans="2:12" ht="15">
      <c r="B96" s="32">
        <v>1</v>
      </c>
      <c r="C96" s="66" t="s">
        <v>62</v>
      </c>
      <c r="D96" s="64">
        <v>41457</v>
      </c>
      <c r="E96">
        <v>3.7800019604662616E-2</v>
      </c>
      <c r="F96">
        <v>7.7955365567250343E-2</v>
      </c>
      <c r="G96" s="40">
        <f t="shared" si="4"/>
        <v>0</v>
      </c>
      <c r="H96" s="33">
        <f t="shared" si="5"/>
        <v>-7.7955365567250343E-2</v>
      </c>
      <c r="I96" s="43"/>
      <c r="K96"/>
      <c r="L96"/>
    </row>
    <row r="97" spans="2:12" ht="15">
      <c r="B97" s="32">
        <v>1</v>
      </c>
      <c r="C97" s="66" t="s">
        <v>62</v>
      </c>
      <c r="D97" s="64">
        <v>41458</v>
      </c>
      <c r="E97">
        <v>3.9746518189117452E-2</v>
      </c>
      <c r="F97">
        <v>7.757278008677318E-2</v>
      </c>
      <c r="G97" s="40">
        <f t="shared" si="4"/>
        <v>0</v>
      </c>
      <c r="H97" s="33">
        <f t="shared" si="5"/>
        <v>-7.757278008677318E-2</v>
      </c>
      <c r="I97" s="43"/>
      <c r="K97"/>
      <c r="L97"/>
    </row>
    <row r="98" spans="2:12" ht="15">
      <c r="B98" s="32">
        <v>1</v>
      </c>
      <c r="C98" s="66" t="s">
        <v>62</v>
      </c>
      <c r="D98" s="64">
        <v>41460</v>
      </c>
      <c r="E98">
        <v>3.4616813908763255E-2</v>
      </c>
      <c r="F98">
        <v>7.5906946856313426E-2</v>
      </c>
      <c r="G98" s="40">
        <f t="shared" si="4"/>
        <v>0</v>
      </c>
      <c r="H98" s="33">
        <f t="shared" si="5"/>
        <v>-7.5906946856313426E-2</v>
      </c>
      <c r="I98" s="43"/>
      <c r="K98"/>
      <c r="L98"/>
    </row>
    <row r="99" spans="2:12" ht="15">
      <c r="B99" s="32">
        <v>1</v>
      </c>
      <c r="C99" s="66" t="s">
        <v>62</v>
      </c>
      <c r="D99" s="64">
        <v>41463</v>
      </c>
      <c r="E99">
        <v>3.0987764627466774E-2</v>
      </c>
      <c r="F99">
        <v>7.5187194139355762E-2</v>
      </c>
      <c r="G99" s="40">
        <f t="shared" si="4"/>
        <v>0</v>
      </c>
      <c r="H99" s="33">
        <f t="shared" si="5"/>
        <v>-7.5187194139355762E-2</v>
      </c>
      <c r="I99" s="43"/>
      <c r="K99"/>
      <c r="L99"/>
    </row>
    <row r="100" spans="2:12" ht="15">
      <c r="B100" s="32">
        <v>1</v>
      </c>
      <c r="C100" s="66" t="s">
        <v>62</v>
      </c>
      <c r="D100" s="64">
        <v>41464</v>
      </c>
      <c r="E100">
        <v>2.5815065166788109E-2</v>
      </c>
      <c r="F100">
        <v>7.3248697106513855E-2</v>
      </c>
      <c r="G100" s="40">
        <f t="shared" si="4"/>
        <v>0</v>
      </c>
      <c r="H100" s="33">
        <f t="shared" si="5"/>
        <v>-7.3248697106513855E-2</v>
      </c>
      <c r="I100" s="43"/>
      <c r="K100"/>
      <c r="L100"/>
    </row>
    <row r="101" spans="2:12" ht="15">
      <c r="B101" s="32">
        <v>1</v>
      </c>
      <c r="C101" s="66" t="s">
        <v>62</v>
      </c>
      <c r="D101" s="64">
        <v>41465</v>
      </c>
      <c r="E101">
        <v>2.3779835612613986E-2</v>
      </c>
      <c r="F101">
        <v>7.3241794311784222E-2</v>
      </c>
      <c r="G101" s="40">
        <f t="shared" si="4"/>
        <v>0</v>
      </c>
      <c r="H101" s="33">
        <f t="shared" si="5"/>
        <v>-7.3241794311784222E-2</v>
      </c>
      <c r="I101" s="43"/>
      <c r="K101"/>
      <c r="L101"/>
    </row>
    <row r="102" spans="2:12" ht="15">
      <c r="B102" s="32">
        <v>1</v>
      </c>
      <c r="C102" s="66" t="s">
        <v>62</v>
      </c>
      <c r="D102" s="64">
        <v>41466</v>
      </c>
      <c r="E102">
        <v>6.4981193180893015E-3</v>
      </c>
      <c r="F102">
        <v>7.3922384681935821E-2</v>
      </c>
      <c r="G102" s="40">
        <f t="shared" si="4"/>
        <v>0</v>
      </c>
      <c r="H102" s="33">
        <f t="shared" si="5"/>
        <v>-7.3922384681935821E-2</v>
      </c>
      <c r="I102" s="43"/>
      <c r="K102"/>
      <c r="L102"/>
    </row>
    <row r="103" spans="2:12" ht="15">
      <c r="B103" s="32">
        <v>1</v>
      </c>
      <c r="C103" s="66" t="s">
        <v>62</v>
      </c>
      <c r="D103" s="64">
        <v>41467</v>
      </c>
      <c r="E103">
        <v>5.9695998452484744E-3</v>
      </c>
      <c r="F103">
        <v>7.2072052192392155E-2</v>
      </c>
      <c r="G103" s="40">
        <f t="shared" si="4"/>
        <v>0</v>
      </c>
      <c r="H103" s="33">
        <f t="shared" si="5"/>
        <v>-7.2072052192392155E-2</v>
      </c>
      <c r="I103" s="43"/>
      <c r="K103"/>
      <c r="L103"/>
    </row>
    <row r="104" spans="2:12" ht="15">
      <c r="B104" s="32">
        <v>1</v>
      </c>
      <c r="C104" s="66" t="s">
        <v>62</v>
      </c>
      <c r="D104" s="64">
        <v>41470</v>
      </c>
      <c r="E104">
        <v>5.4236156450446771E-3</v>
      </c>
      <c r="F104">
        <v>6.8809784106461908E-2</v>
      </c>
      <c r="G104" s="40">
        <f t="shared" si="4"/>
        <v>0</v>
      </c>
      <c r="H104" s="33">
        <f t="shared" si="5"/>
        <v>-6.8809784106461908E-2</v>
      </c>
      <c r="I104" s="43"/>
      <c r="K104"/>
      <c r="L104"/>
    </row>
    <row r="105" spans="2:12" ht="15">
      <c r="B105" s="32">
        <v>1</v>
      </c>
      <c r="C105" s="66" t="s">
        <v>62</v>
      </c>
      <c r="D105" s="64">
        <v>41471</v>
      </c>
      <c r="E105">
        <v>5.3962369598830051E-3</v>
      </c>
      <c r="F105">
        <v>6.8275821919533311E-2</v>
      </c>
      <c r="G105" s="40">
        <f t="shared" si="4"/>
        <v>0</v>
      </c>
      <c r="H105" s="33">
        <f t="shared" si="5"/>
        <v>-6.8275821919533311E-2</v>
      </c>
      <c r="I105" s="43"/>
      <c r="K105"/>
      <c r="L105"/>
    </row>
    <row r="106" spans="2:12" ht="15">
      <c r="B106" s="32">
        <v>1</v>
      </c>
      <c r="C106" s="66" t="s">
        <v>62</v>
      </c>
      <c r="D106" s="64">
        <v>41472</v>
      </c>
      <c r="E106">
        <v>2.9997777130583714E-3</v>
      </c>
      <c r="F106">
        <v>6.7546216165621439E-2</v>
      </c>
      <c r="G106" s="40">
        <f t="shared" si="4"/>
        <v>0</v>
      </c>
      <c r="H106" s="33">
        <f t="shared" si="5"/>
        <v>-6.7546216165621439E-2</v>
      </c>
      <c r="I106" s="43"/>
      <c r="K106"/>
      <c r="L106"/>
    </row>
    <row r="107" spans="2:12" ht="15">
      <c r="B107" s="32">
        <v>1</v>
      </c>
      <c r="C107" s="66" t="s">
        <v>62</v>
      </c>
      <c r="D107" s="64">
        <v>41473</v>
      </c>
      <c r="E107">
        <v>-2.1569828676177849E-3</v>
      </c>
      <c r="F107">
        <v>6.6966807685479329E-2</v>
      </c>
      <c r="G107" s="40">
        <f t="shared" si="4"/>
        <v>0</v>
      </c>
      <c r="H107" s="33">
        <f t="shared" si="5"/>
        <v>-6.6966807685479329E-2</v>
      </c>
      <c r="I107" s="43"/>
      <c r="K107"/>
      <c r="L107"/>
    </row>
    <row r="108" spans="2:12" ht="15">
      <c r="B108" s="32">
        <v>1</v>
      </c>
      <c r="C108" s="66" t="s">
        <v>62</v>
      </c>
      <c r="D108" s="64">
        <v>41474</v>
      </c>
      <c r="E108">
        <v>8.6968498170056918E-3</v>
      </c>
      <c r="F108">
        <v>6.1998163884475085E-2</v>
      </c>
      <c r="G108" s="40">
        <f t="shared" si="4"/>
        <v>0</v>
      </c>
      <c r="H108" s="33">
        <f t="shared" si="5"/>
        <v>-6.1998163884475085E-2</v>
      </c>
      <c r="I108" s="43"/>
      <c r="K108"/>
      <c r="L108"/>
    </row>
    <row r="109" spans="2:12" ht="15">
      <c r="B109" s="32">
        <v>1</v>
      </c>
      <c r="C109" s="66" t="s">
        <v>62</v>
      </c>
      <c r="D109" s="64">
        <v>41477</v>
      </c>
      <c r="E109">
        <v>8.3050017444552537E-3</v>
      </c>
      <c r="F109">
        <v>4.1884592401281742E-2</v>
      </c>
      <c r="G109" s="40">
        <f t="shared" si="4"/>
        <v>0</v>
      </c>
      <c r="H109" s="33">
        <f t="shared" si="5"/>
        <v>-4.1884592401281742E-2</v>
      </c>
      <c r="I109" s="43"/>
      <c r="K109"/>
      <c r="L109"/>
    </row>
    <row r="110" spans="2:12" ht="15">
      <c r="B110" s="32">
        <v>1</v>
      </c>
      <c r="C110" s="66" t="s">
        <v>62</v>
      </c>
      <c r="D110" s="64">
        <v>41478</v>
      </c>
      <c r="E110">
        <v>8.677724526353181E-3</v>
      </c>
      <c r="F110">
        <v>4.2637164932338927E-2</v>
      </c>
      <c r="G110" s="40">
        <f t="shared" si="4"/>
        <v>0</v>
      </c>
      <c r="H110" s="33">
        <f t="shared" si="5"/>
        <v>-4.2637164932338927E-2</v>
      </c>
      <c r="I110" s="43"/>
      <c r="K110"/>
      <c r="L110"/>
    </row>
    <row r="111" spans="2:12" ht="15">
      <c r="B111" s="32">
        <v>1</v>
      </c>
      <c r="C111" s="66" t="s">
        <v>62</v>
      </c>
      <c r="D111" s="64">
        <v>41479</v>
      </c>
      <c r="E111">
        <v>6.7567545992357481E-3</v>
      </c>
      <c r="F111">
        <v>3.6227765909889242E-2</v>
      </c>
      <c r="G111" s="40">
        <f t="shared" si="4"/>
        <v>0</v>
      </c>
      <c r="H111" s="33">
        <f t="shared" si="5"/>
        <v>-3.6227765909889242E-2</v>
      </c>
      <c r="I111" s="43"/>
      <c r="K111"/>
      <c r="L111"/>
    </row>
    <row r="112" spans="2:12" ht="15">
      <c r="B112" s="32">
        <v>1</v>
      </c>
      <c r="C112" s="66" t="s">
        <v>62</v>
      </c>
      <c r="D112" s="64">
        <v>41480</v>
      </c>
      <c r="E112">
        <v>3.9041867391453877E-4</v>
      </c>
      <c r="F112">
        <v>3.4718384125968095E-2</v>
      </c>
      <c r="G112" s="40">
        <f t="shared" si="4"/>
        <v>0</v>
      </c>
      <c r="H112" s="33">
        <f t="shared" si="5"/>
        <v>-3.4718384125968095E-2</v>
      </c>
      <c r="I112" s="43"/>
      <c r="K112"/>
      <c r="L112"/>
    </row>
    <row r="113" spans="2:12" ht="15">
      <c r="B113" s="32">
        <v>1</v>
      </c>
      <c r="C113" s="66" t="s">
        <v>62</v>
      </c>
      <c r="D113" s="64">
        <v>41481</v>
      </c>
      <c r="E113">
        <v>3.4403883849432049E-3</v>
      </c>
      <c r="F113">
        <v>3.3030990390842896E-2</v>
      </c>
      <c r="G113" s="40">
        <f t="shared" si="4"/>
        <v>0</v>
      </c>
      <c r="H113" s="33">
        <f t="shared" si="5"/>
        <v>-3.3030990390842896E-2</v>
      </c>
      <c r="I113" s="43"/>
      <c r="K113"/>
      <c r="L113"/>
    </row>
    <row r="114" spans="2:12" ht="15">
      <c r="B114" s="32">
        <v>1</v>
      </c>
      <c r="C114" s="66" t="s">
        <v>62</v>
      </c>
      <c r="D114" s="64">
        <v>41484</v>
      </c>
      <c r="E114">
        <v>3.6070746150418387E-3</v>
      </c>
      <c r="F114">
        <v>3.3913769201996478E-2</v>
      </c>
      <c r="G114" s="40">
        <f t="shared" si="4"/>
        <v>0</v>
      </c>
      <c r="H114" s="33">
        <f t="shared" si="5"/>
        <v>-3.3913769201996478E-2</v>
      </c>
      <c r="I114" s="43"/>
      <c r="K114"/>
      <c r="L114"/>
    </row>
    <row r="115" spans="2:12" ht="15">
      <c r="B115" s="32">
        <v>1</v>
      </c>
      <c r="C115" s="66" t="s">
        <v>62</v>
      </c>
      <c r="D115" s="64">
        <v>41485</v>
      </c>
      <c r="E115">
        <v>2.0797417430511445E-3</v>
      </c>
      <c r="F115">
        <v>3.2326954575048965E-2</v>
      </c>
      <c r="G115" s="40">
        <f t="shared" si="4"/>
        <v>0</v>
      </c>
      <c r="H115" s="33">
        <f t="shared" si="5"/>
        <v>-3.2326954575048965E-2</v>
      </c>
      <c r="I115" s="43"/>
      <c r="K115"/>
      <c r="L115"/>
    </row>
    <row r="116" spans="2:12" ht="15">
      <c r="B116" s="32">
        <v>1</v>
      </c>
      <c r="C116" s="66" t="s">
        <v>62</v>
      </c>
      <c r="D116" s="64">
        <v>41486</v>
      </c>
      <c r="E116">
        <v>4.9883702996735835E-3</v>
      </c>
      <c r="F116">
        <v>3.211697192670715E-2</v>
      </c>
      <c r="G116" s="40">
        <f t="shared" si="4"/>
        <v>0</v>
      </c>
      <c r="H116" s="33">
        <f t="shared" si="5"/>
        <v>-3.211697192670715E-2</v>
      </c>
      <c r="I116" s="43"/>
      <c r="K116"/>
      <c r="L116"/>
    </row>
    <row r="117" spans="2:12" ht="15">
      <c r="B117" s="32">
        <v>1</v>
      </c>
      <c r="C117" s="66" t="s">
        <v>62</v>
      </c>
      <c r="D117" s="64">
        <v>41487</v>
      </c>
      <c r="E117">
        <v>-1.2664281053356596E-2</v>
      </c>
      <c r="F117">
        <v>3.5852483979576528E-2</v>
      </c>
      <c r="G117" s="40">
        <f t="shared" si="4"/>
        <v>0</v>
      </c>
      <c r="H117" s="33">
        <f t="shared" si="5"/>
        <v>-3.5852483979576528E-2</v>
      </c>
      <c r="I117" s="43"/>
      <c r="K117"/>
      <c r="L117"/>
    </row>
    <row r="118" spans="2:12" ht="15">
      <c r="B118" s="32">
        <v>1</v>
      </c>
      <c r="C118" s="66" t="s">
        <v>62</v>
      </c>
      <c r="D118" s="64">
        <v>41488</v>
      </c>
      <c r="E118">
        <v>-2.8687960572499449E-2</v>
      </c>
      <c r="F118">
        <v>3.5763153127390424E-2</v>
      </c>
      <c r="G118" s="40">
        <f t="shared" si="4"/>
        <v>0</v>
      </c>
      <c r="H118" s="33">
        <f t="shared" si="5"/>
        <v>-3.5763153127390424E-2</v>
      </c>
      <c r="I118" s="43"/>
      <c r="K118"/>
      <c r="L118"/>
    </row>
    <row r="119" spans="2:12" ht="15">
      <c r="B119" s="32">
        <v>1</v>
      </c>
      <c r="C119" s="66" t="s">
        <v>62</v>
      </c>
      <c r="D119" s="64">
        <v>41491</v>
      </c>
      <c r="E119">
        <v>-3.0517097351394185E-2</v>
      </c>
      <c r="F119">
        <v>3.4039949806897507E-2</v>
      </c>
      <c r="G119" s="40">
        <f t="shared" si="4"/>
        <v>0</v>
      </c>
      <c r="H119" s="33">
        <f t="shared" si="5"/>
        <v>-3.4039949806897507E-2</v>
      </c>
      <c r="I119" s="43"/>
      <c r="K119"/>
      <c r="L119"/>
    </row>
    <row r="120" spans="2:12" ht="15">
      <c r="B120" s="32">
        <v>1</v>
      </c>
      <c r="C120" s="66" t="s">
        <v>62</v>
      </c>
      <c r="D120" s="64">
        <v>41492</v>
      </c>
      <c r="E120">
        <v>-3.0695401923188648E-2</v>
      </c>
      <c r="F120">
        <v>3.5855588615371359E-2</v>
      </c>
      <c r="G120" s="40">
        <f t="shared" si="4"/>
        <v>0</v>
      </c>
      <c r="H120" s="33">
        <f t="shared" si="5"/>
        <v>-3.5855588615371359E-2</v>
      </c>
      <c r="I120" s="43"/>
      <c r="K120"/>
      <c r="L120"/>
    </row>
    <row r="121" spans="2:12" ht="15">
      <c r="B121" s="32">
        <v>1</v>
      </c>
      <c r="C121" s="66" t="s">
        <v>62</v>
      </c>
      <c r="D121" s="64">
        <v>41493</v>
      </c>
      <c r="E121">
        <v>-2.3068363121860891E-2</v>
      </c>
      <c r="F121">
        <v>3.5577143832213845E-2</v>
      </c>
      <c r="G121" s="40">
        <f t="shared" si="4"/>
        <v>0</v>
      </c>
      <c r="H121" s="33">
        <f t="shared" si="5"/>
        <v>-3.5577143832213845E-2</v>
      </c>
      <c r="I121" s="43"/>
      <c r="K121"/>
      <c r="L121"/>
    </row>
    <row r="122" spans="2:12" ht="15">
      <c r="B122" s="32">
        <v>1</v>
      </c>
      <c r="C122" s="66" t="s">
        <v>62</v>
      </c>
      <c r="D122" s="64">
        <v>41494</v>
      </c>
      <c r="E122">
        <v>-3.2742653639343366E-2</v>
      </c>
      <c r="F122">
        <v>3.5813186843871574E-2</v>
      </c>
      <c r="G122" s="40">
        <f t="shared" si="4"/>
        <v>0</v>
      </c>
      <c r="H122" s="33">
        <f t="shared" si="5"/>
        <v>-3.5813186843871574E-2</v>
      </c>
      <c r="I122" s="43"/>
      <c r="K122"/>
      <c r="L122"/>
    </row>
    <row r="123" spans="2:12" ht="15">
      <c r="B123" s="32">
        <v>1</v>
      </c>
      <c r="C123" s="66" t="s">
        <v>62</v>
      </c>
      <c r="D123" s="64">
        <v>41495</v>
      </c>
      <c r="E123">
        <v>-2.0583864229883453E-2</v>
      </c>
      <c r="F123">
        <v>3.0115065182152428E-2</v>
      </c>
      <c r="G123" s="40">
        <f t="shared" si="4"/>
        <v>0</v>
      </c>
      <c r="H123" s="33">
        <f t="shared" si="5"/>
        <v>-3.0115065182152428E-2</v>
      </c>
      <c r="I123" s="43"/>
      <c r="K123"/>
      <c r="L123"/>
    </row>
    <row r="124" spans="2:12" ht="15">
      <c r="B124" s="32">
        <v>1</v>
      </c>
      <c r="C124" s="66" t="s">
        <v>62</v>
      </c>
      <c r="D124" s="64">
        <v>41498</v>
      </c>
      <c r="E124">
        <v>-1.5491036640253419E-2</v>
      </c>
      <c r="F124">
        <v>2.9885495464218557E-2</v>
      </c>
      <c r="G124" s="40">
        <f t="shared" si="4"/>
        <v>0</v>
      </c>
      <c r="H124" s="33">
        <f t="shared" si="5"/>
        <v>-2.9885495464218557E-2</v>
      </c>
      <c r="I124" s="43"/>
      <c r="K124"/>
      <c r="L124"/>
    </row>
    <row r="125" spans="2:12" ht="15">
      <c r="B125" s="32">
        <v>1</v>
      </c>
      <c r="C125" s="66" t="s">
        <v>62</v>
      </c>
      <c r="D125" s="64">
        <v>41499</v>
      </c>
      <c r="E125">
        <v>-2.2311085774983752E-2</v>
      </c>
      <c r="F125">
        <v>3.0109694370805531E-2</v>
      </c>
      <c r="G125" s="40">
        <f t="shared" si="4"/>
        <v>0</v>
      </c>
      <c r="H125" s="33">
        <f t="shared" si="5"/>
        <v>-3.0109694370805531E-2</v>
      </c>
      <c r="I125" s="43"/>
      <c r="K125"/>
      <c r="L125"/>
    </row>
    <row r="126" spans="2:12" ht="15">
      <c r="B126" s="32">
        <v>1</v>
      </c>
      <c r="C126" s="66" t="s">
        <v>62</v>
      </c>
      <c r="D126" s="64">
        <v>41500</v>
      </c>
      <c r="E126">
        <v>-3.3122562199270789E-2</v>
      </c>
      <c r="F126">
        <v>3.0732208181639409E-2</v>
      </c>
      <c r="G126" s="40">
        <f t="shared" si="4"/>
        <v>1</v>
      </c>
      <c r="H126" s="33">
        <f t="shared" si="5"/>
        <v>-3.0732208181639409E-2</v>
      </c>
      <c r="I126" s="43">
        <f t="shared" ref="I69:I132" si="6">IF(G126=0,"",E126)</f>
        <v>-3.3122562199270789E-2</v>
      </c>
      <c r="K126"/>
      <c r="L126"/>
    </row>
    <row r="127" spans="2:12" ht="15">
      <c r="B127" s="32">
        <v>1</v>
      </c>
      <c r="C127" s="66" t="s">
        <v>62</v>
      </c>
      <c r="D127" s="64">
        <v>41501</v>
      </c>
      <c r="E127">
        <v>-1.5994119234030713E-2</v>
      </c>
      <c r="F127">
        <v>3.8336665773476171E-2</v>
      </c>
      <c r="G127" s="40">
        <f t="shared" si="4"/>
        <v>0</v>
      </c>
      <c r="H127" s="33">
        <f t="shared" si="5"/>
        <v>-3.8336665773476171E-2</v>
      </c>
      <c r="I127" s="43"/>
      <c r="K127"/>
      <c r="L127"/>
    </row>
    <row r="128" spans="2:12" ht="15">
      <c r="B128" s="32">
        <v>1</v>
      </c>
      <c r="C128" s="66" t="s">
        <v>62</v>
      </c>
      <c r="D128" s="64">
        <v>41502</v>
      </c>
      <c r="E128">
        <v>-1.0722575107269705E-2</v>
      </c>
      <c r="F128">
        <v>3.7376979371745916E-2</v>
      </c>
      <c r="G128" s="40">
        <f t="shared" si="4"/>
        <v>0</v>
      </c>
      <c r="H128" s="33">
        <f t="shared" si="5"/>
        <v>-3.7376979371745916E-2</v>
      </c>
      <c r="I128" s="43"/>
      <c r="K128"/>
      <c r="L128"/>
    </row>
    <row r="129" spans="2:12" ht="15">
      <c r="B129" s="32">
        <v>1</v>
      </c>
      <c r="C129" s="66" t="s">
        <v>62</v>
      </c>
      <c r="D129" s="64">
        <v>41505</v>
      </c>
      <c r="E129">
        <v>-7.9841644741618367E-3</v>
      </c>
      <c r="F129">
        <v>3.7928905410660713E-2</v>
      </c>
      <c r="G129" s="40">
        <f t="shared" si="4"/>
        <v>0</v>
      </c>
      <c r="H129" s="33">
        <f t="shared" si="5"/>
        <v>-3.7928905410660713E-2</v>
      </c>
      <c r="I129" s="43"/>
      <c r="K129"/>
      <c r="L129"/>
    </row>
    <row r="130" spans="2:12" ht="15">
      <c r="B130" s="32">
        <v>1</v>
      </c>
      <c r="C130" s="66" t="s">
        <v>62</v>
      </c>
      <c r="D130" s="64">
        <v>41506</v>
      </c>
      <c r="E130">
        <v>-7.6425022452992764E-3</v>
      </c>
      <c r="F130">
        <v>3.8458597608708241E-2</v>
      </c>
      <c r="G130" s="40">
        <f t="shared" si="4"/>
        <v>0</v>
      </c>
      <c r="H130" s="33">
        <f t="shared" si="5"/>
        <v>-3.8458597608708241E-2</v>
      </c>
      <c r="I130" s="43"/>
      <c r="K130"/>
      <c r="L130"/>
    </row>
    <row r="131" spans="2:12" ht="15">
      <c r="B131" s="32">
        <v>1</v>
      </c>
      <c r="C131" s="66" t="s">
        <v>62</v>
      </c>
      <c r="D131" s="64">
        <v>41507</v>
      </c>
      <c r="E131">
        <v>6.2380549776293037E-3</v>
      </c>
      <c r="F131">
        <v>3.9146718232763417E-2</v>
      </c>
      <c r="G131" s="40">
        <f t="shared" si="4"/>
        <v>0</v>
      </c>
      <c r="H131" s="33">
        <f t="shared" si="5"/>
        <v>-3.9146718232763417E-2</v>
      </c>
      <c r="I131" s="43"/>
      <c r="K131"/>
      <c r="L131"/>
    </row>
    <row r="132" spans="2:12" ht="15">
      <c r="B132" s="32">
        <v>1</v>
      </c>
      <c r="C132" s="66" t="s">
        <v>62</v>
      </c>
      <c r="D132" s="64">
        <v>41508</v>
      </c>
      <c r="E132">
        <v>-1.135255159373294E-3</v>
      </c>
      <c r="F132">
        <v>4.2042276059597379E-2</v>
      </c>
      <c r="G132" s="40">
        <f t="shared" si="4"/>
        <v>0</v>
      </c>
      <c r="H132" s="33">
        <f t="shared" si="5"/>
        <v>-4.2042276059597379E-2</v>
      </c>
      <c r="I132" s="43"/>
      <c r="K132"/>
      <c r="L132"/>
    </row>
    <row r="133" spans="2:12" ht="15">
      <c r="B133" s="32">
        <v>1</v>
      </c>
      <c r="C133" s="66" t="s">
        <v>62</v>
      </c>
      <c r="D133" s="64">
        <v>41509</v>
      </c>
      <c r="E133">
        <v>-5.0200673060016854E-3</v>
      </c>
      <c r="F133">
        <v>4.2401047324502623E-2</v>
      </c>
      <c r="G133" s="40">
        <f t="shared" si="4"/>
        <v>0</v>
      </c>
      <c r="H133" s="33">
        <f t="shared" si="5"/>
        <v>-4.2401047324502623E-2</v>
      </c>
      <c r="I133" s="43"/>
      <c r="K133"/>
      <c r="L133"/>
    </row>
    <row r="134" spans="2:12" ht="15">
      <c r="B134" s="32">
        <v>1</v>
      </c>
      <c r="C134" s="66" t="s">
        <v>62</v>
      </c>
      <c r="D134" s="64">
        <v>41512</v>
      </c>
      <c r="E134">
        <v>8.9710542465608611E-3</v>
      </c>
      <c r="F134">
        <v>4.2628892428441145E-2</v>
      </c>
      <c r="G134" s="40">
        <f t="shared" ref="G134:G197" si="7">--(E134&lt;-F134)</f>
        <v>0</v>
      </c>
      <c r="H134" s="33">
        <f t="shared" ref="H134:H197" si="8">-F134</f>
        <v>-4.2628892428441145E-2</v>
      </c>
      <c r="I134" s="43"/>
      <c r="K134"/>
      <c r="L134"/>
    </row>
    <row r="135" spans="2:12" ht="15">
      <c r="B135" s="32">
        <v>1</v>
      </c>
      <c r="C135" s="66" t="s">
        <v>62</v>
      </c>
      <c r="D135" s="64">
        <v>41513</v>
      </c>
      <c r="E135">
        <v>3.2291533892285784E-2</v>
      </c>
      <c r="F135">
        <v>4.8856978098591977E-2</v>
      </c>
      <c r="G135" s="40">
        <f t="shared" si="7"/>
        <v>0</v>
      </c>
      <c r="H135" s="33">
        <f t="shared" si="8"/>
        <v>-4.8856978098591977E-2</v>
      </c>
      <c r="I135" s="43"/>
      <c r="K135"/>
      <c r="L135"/>
    </row>
    <row r="136" spans="2:12" ht="15">
      <c r="B136" s="32">
        <v>1</v>
      </c>
      <c r="C136" s="66" t="s">
        <v>62</v>
      </c>
      <c r="D136" s="64">
        <v>41514</v>
      </c>
      <c r="E136">
        <v>3.2595291079971389E-2</v>
      </c>
      <c r="F136">
        <v>4.925936292640571E-2</v>
      </c>
      <c r="G136" s="40">
        <f t="shared" si="7"/>
        <v>0</v>
      </c>
      <c r="H136" s="33">
        <f t="shared" si="8"/>
        <v>-4.925936292640571E-2</v>
      </c>
      <c r="I136" s="43"/>
      <c r="K136"/>
      <c r="L136"/>
    </row>
    <row r="137" spans="2:12" ht="15">
      <c r="B137" s="32">
        <v>1</v>
      </c>
      <c r="C137" s="66" t="s">
        <v>62</v>
      </c>
      <c r="D137" s="64">
        <v>41515</v>
      </c>
      <c r="E137">
        <v>2.7247672571026449E-2</v>
      </c>
      <c r="F137">
        <v>4.9526610520904915E-2</v>
      </c>
      <c r="G137" s="40">
        <f t="shared" si="7"/>
        <v>0</v>
      </c>
      <c r="H137" s="33">
        <f t="shared" si="8"/>
        <v>-4.9526610520904915E-2</v>
      </c>
      <c r="I137" s="43"/>
      <c r="K137"/>
      <c r="L137"/>
    </row>
    <row r="138" spans="2:12" ht="15">
      <c r="B138" s="32">
        <v>1</v>
      </c>
      <c r="C138" s="66" t="s">
        <v>62</v>
      </c>
      <c r="D138" s="64">
        <v>41516</v>
      </c>
      <c r="E138">
        <v>3.3138041097013016E-2</v>
      </c>
      <c r="F138">
        <v>4.3738641212819854E-2</v>
      </c>
      <c r="G138" s="40">
        <f t="shared" si="7"/>
        <v>0</v>
      </c>
      <c r="H138" s="33">
        <f t="shared" si="8"/>
        <v>-4.3738641212819854E-2</v>
      </c>
      <c r="I138" s="43"/>
      <c r="K138"/>
      <c r="L138"/>
    </row>
    <row r="139" spans="2:12" ht="15">
      <c r="B139" s="32">
        <v>1</v>
      </c>
      <c r="C139" s="66" t="s">
        <v>62</v>
      </c>
      <c r="D139" s="64">
        <v>41520</v>
      </c>
      <c r="E139">
        <v>3.4659474444571181E-2</v>
      </c>
      <c r="F139">
        <v>4.4501854117408132E-2</v>
      </c>
      <c r="G139" s="40">
        <f t="shared" si="7"/>
        <v>0</v>
      </c>
      <c r="H139" s="33">
        <f t="shared" si="8"/>
        <v>-4.4501854117408132E-2</v>
      </c>
      <c r="I139" s="43"/>
      <c r="K139"/>
      <c r="L139"/>
    </row>
    <row r="140" spans="2:12" ht="15">
      <c r="B140" s="32">
        <v>1</v>
      </c>
      <c r="C140" s="66" t="s">
        <v>62</v>
      </c>
      <c r="D140" s="64">
        <v>41521</v>
      </c>
      <c r="E140">
        <v>3.0784156325080581E-2</v>
      </c>
      <c r="F140">
        <v>4.7354374874964467E-2</v>
      </c>
      <c r="G140" s="40">
        <f t="shared" si="7"/>
        <v>0</v>
      </c>
      <c r="H140" s="33">
        <f t="shared" si="8"/>
        <v>-4.7354374874964467E-2</v>
      </c>
      <c r="I140" s="43"/>
      <c r="K140"/>
      <c r="L140"/>
    </row>
    <row r="141" spans="2:12" ht="15">
      <c r="B141" s="32">
        <v>1</v>
      </c>
      <c r="C141" s="66" t="s">
        <v>62</v>
      </c>
      <c r="D141" s="64">
        <v>41522</v>
      </c>
      <c r="E141">
        <v>4.1679146478163176E-2</v>
      </c>
      <c r="F141">
        <v>4.6996354931426995E-2</v>
      </c>
      <c r="G141" s="40">
        <f t="shared" si="7"/>
        <v>0</v>
      </c>
      <c r="H141" s="33">
        <f t="shared" si="8"/>
        <v>-4.6996354931426995E-2</v>
      </c>
      <c r="I141" s="43"/>
      <c r="K141"/>
      <c r="L141"/>
    </row>
    <row r="142" spans="2:12" ht="15">
      <c r="B142" s="32">
        <v>1</v>
      </c>
      <c r="C142" s="66" t="s">
        <v>62</v>
      </c>
      <c r="D142" s="64">
        <v>41523</v>
      </c>
      <c r="E142">
        <v>3.9780062436486574E-2</v>
      </c>
      <c r="F142">
        <v>4.6824579486738314E-2</v>
      </c>
      <c r="G142" s="40">
        <f t="shared" si="7"/>
        <v>0</v>
      </c>
      <c r="H142" s="33">
        <f t="shared" si="8"/>
        <v>-4.6824579486738314E-2</v>
      </c>
      <c r="I142" s="43"/>
      <c r="K142"/>
      <c r="L142"/>
    </row>
    <row r="143" spans="2:12" ht="15">
      <c r="B143" s="32">
        <v>1</v>
      </c>
      <c r="C143" s="66" t="s">
        <v>62</v>
      </c>
      <c r="D143" s="64">
        <v>41526</v>
      </c>
      <c r="E143">
        <v>2.2593726120909707E-2</v>
      </c>
      <c r="F143">
        <v>4.9477618104997748E-2</v>
      </c>
      <c r="G143" s="40">
        <f t="shared" si="7"/>
        <v>0</v>
      </c>
      <c r="H143" s="33">
        <f t="shared" si="8"/>
        <v>-4.9477618104997748E-2</v>
      </c>
      <c r="I143" s="43"/>
      <c r="K143"/>
      <c r="L143"/>
    </row>
    <row r="144" spans="2:12" ht="15">
      <c r="B144" s="32">
        <v>1</v>
      </c>
      <c r="C144" s="66" t="s">
        <v>62</v>
      </c>
      <c r="D144" s="64">
        <v>41527</v>
      </c>
      <c r="E144">
        <v>1.0544027081391683E-2</v>
      </c>
      <c r="F144">
        <v>5.0853037192764169E-2</v>
      </c>
      <c r="G144" s="40">
        <f t="shared" si="7"/>
        <v>0</v>
      </c>
      <c r="H144" s="33">
        <f t="shared" si="8"/>
        <v>-5.0853037192764169E-2</v>
      </c>
      <c r="I144" s="43"/>
      <c r="K144"/>
      <c r="L144"/>
    </row>
    <row r="145" spans="2:12" ht="15">
      <c r="B145" s="32">
        <v>1</v>
      </c>
      <c r="C145" s="66" t="s">
        <v>62</v>
      </c>
      <c r="D145" s="64">
        <v>41528</v>
      </c>
      <c r="E145">
        <v>4.8958706879194125E-3</v>
      </c>
      <c r="F145">
        <v>5.10887040314515E-2</v>
      </c>
      <c r="G145" s="40">
        <f t="shared" si="7"/>
        <v>0</v>
      </c>
      <c r="H145" s="33">
        <f t="shared" si="8"/>
        <v>-5.10887040314515E-2</v>
      </c>
      <c r="I145" s="43"/>
      <c r="K145"/>
      <c r="L145"/>
    </row>
    <row r="146" spans="2:12" ht="15">
      <c r="B146" s="32">
        <v>1</v>
      </c>
      <c r="C146" s="66" t="s">
        <v>62</v>
      </c>
      <c r="D146" s="64">
        <v>41529</v>
      </c>
      <c r="E146">
        <v>5.538787642930032E-3</v>
      </c>
      <c r="F146">
        <v>5.1137853989773184E-2</v>
      </c>
      <c r="G146" s="40">
        <f t="shared" si="7"/>
        <v>0</v>
      </c>
      <c r="H146" s="33">
        <f t="shared" si="8"/>
        <v>-5.1137853989773184E-2</v>
      </c>
      <c r="I146" s="43"/>
      <c r="K146"/>
      <c r="L146"/>
    </row>
    <row r="147" spans="2:12" ht="15">
      <c r="B147" s="32">
        <v>1</v>
      </c>
      <c r="C147" s="66" t="s">
        <v>62</v>
      </c>
      <c r="D147" s="64">
        <v>41530</v>
      </c>
      <c r="E147">
        <v>6.3071517644397446E-3</v>
      </c>
      <c r="F147">
        <v>5.0665406367698458E-2</v>
      </c>
      <c r="G147" s="40">
        <f t="shared" si="7"/>
        <v>0</v>
      </c>
      <c r="H147" s="33">
        <f t="shared" si="8"/>
        <v>-5.0665406367698458E-2</v>
      </c>
      <c r="I147" s="43"/>
      <c r="K147"/>
      <c r="L147"/>
    </row>
    <row r="148" spans="2:12" ht="15">
      <c r="B148" s="32">
        <v>1</v>
      </c>
      <c r="C148" s="66" t="s">
        <v>62</v>
      </c>
      <c r="D148" s="64">
        <v>41533</v>
      </c>
      <c r="E148">
        <v>-3.4519786097781946E-3</v>
      </c>
      <c r="F148">
        <v>4.5104984693338818E-2</v>
      </c>
      <c r="G148" s="40">
        <f t="shared" si="7"/>
        <v>0</v>
      </c>
      <c r="H148" s="33">
        <f t="shared" si="8"/>
        <v>-4.5104984693338818E-2</v>
      </c>
      <c r="I148" s="43"/>
      <c r="K148"/>
      <c r="L148"/>
    </row>
    <row r="149" spans="2:12" ht="15">
      <c r="B149" s="32">
        <v>1</v>
      </c>
      <c r="C149" s="66" t="s">
        <v>62</v>
      </c>
      <c r="D149" s="64">
        <v>41534</v>
      </c>
      <c r="E149">
        <v>-1.3708327978880774E-2</v>
      </c>
      <c r="F149">
        <v>4.4761608631222229E-2</v>
      </c>
      <c r="G149" s="40">
        <f t="shared" si="7"/>
        <v>0</v>
      </c>
      <c r="H149" s="33">
        <f t="shared" si="8"/>
        <v>-4.4761608631222229E-2</v>
      </c>
      <c r="I149" s="43"/>
      <c r="K149"/>
      <c r="L149"/>
    </row>
    <row r="150" spans="2:12" ht="15">
      <c r="B150" s="32">
        <v>1</v>
      </c>
      <c r="C150" s="66" t="s">
        <v>62</v>
      </c>
      <c r="D150" s="64">
        <v>41535</v>
      </c>
      <c r="E150">
        <v>-1.7845725090277043E-2</v>
      </c>
      <c r="F150">
        <v>4.6132220936301427E-2</v>
      </c>
      <c r="G150" s="40">
        <f t="shared" si="7"/>
        <v>0</v>
      </c>
      <c r="H150" s="33">
        <f t="shared" si="8"/>
        <v>-4.6132220936301427E-2</v>
      </c>
      <c r="I150" s="43"/>
      <c r="K150"/>
      <c r="L150"/>
    </row>
    <row r="151" spans="2:12" ht="15">
      <c r="B151" s="32">
        <v>1</v>
      </c>
      <c r="C151" s="66" t="s">
        <v>62</v>
      </c>
      <c r="D151" s="64">
        <v>41536</v>
      </c>
      <c r="E151">
        <v>-1.6667962713989404E-2</v>
      </c>
      <c r="F151">
        <v>4.6504315616812064E-2</v>
      </c>
      <c r="G151" s="40">
        <f t="shared" si="7"/>
        <v>0</v>
      </c>
      <c r="H151" s="33">
        <f t="shared" si="8"/>
        <v>-4.6504315616812064E-2</v>
      </c>
      <c r="I151" s="43"/>
      <c r="K151"/>
      <c r="L151"/>
    </row>
    <row r="152" spans="2:12" ht="15">
      <c r="B152" s="32">
        <v>1</v>
      </c>
      <c r="C152" s="66" t="s">
        <v>62</v>
      </c>
      <c r="D152" s="64">
        <v>41537</v>
      </c>
      <c r="E152">
        <v>-1.8444881080140973E-2</v>
      </c>
      <c r="F152">
        <v>4.7211155650001252E-2</v>
      </c>
      <c r="G152" s="40">
        <f t="shared" si="7"/>
        <v>0</v>
      </c>
      <c r="H152" s="33">
        <f t="shared" si="8"/>
        <v>-4.7211155650001252E-2</v>
      </c>
      <c r="I152" s="43"/>
      <c r="K152"/>
      <c r="L152"/>
    </row>
    <row r="153" spans="2:12" ht="15">
      <c r="B153" s="32">
        <v>1</v>
      </c>
      <c r="C153" s="66" t="s">
        <v>62</v>
      </c>
      <c r="D153" s="64">
        <v>41540</v>
      </c>
      <c r="E153">
        <v>-6.6856555375345295E-3</v>
      </c>
      <c r="F153">
        <v>4.695389864689424E-2</v>
      </c>
      <c r="G153" s="40">
        <f t="shared" si="7"/>
        <v>0</v>
      </c>
      <c r="H153" s="33">
        <f t="shared" si="8"/>
        <v>-4.695389864689424E-2</v>
      </c>
      <c r="I153" s="43"/>
      <c r="K153"/>
      <c r="L153"/>
    </row>
    <row r="154" spans="2:12" ht="15">
      <c r="B154" s="32">
        <v>1</v>
      </c>
      <c r="C154" s="66" t="s">
        <v>62</v>
      </c>
      <c r="D154" s="64">
        <v>41541</v>
      </c>
      <c r="E154">
        <v>-1.2627881573171074E-2</v>
      </c>
      <c r="F154">
        <v>4.7122279646517662E-2</v>
      </c>
      <c r="G154" s="40">
        <f t="shared" si="7"/>
        <v>0</v>
      </c>
      <c r="H154" s="33">
        <f t="shared" si="8"/>
        <v>-4.7122279646517662E-2</v>
      </c>
      <c r="I154" s="43"/>
      <c r="K154"/>
      <c r="L154"/>
    </row>
    <row r="155" spans="2:12" ht="15">
      <c r="B155" s="32">
        <v>1</v>
      </c>
      <c r="C155" s="66" t="s">
        <v>62</v>
      </c>
      <c r="D155" s="64">
        <v>41542</v>
      </c>
      <c r="E155">
        <v>-2.2293406628479673E-2</v>
      </c>
      <c r="F155">
        <v>4.6792406892996831E-2</v>
      </c>
      <c r="G155" s="40">
        <f t="shared" si="7"/>
        <v>0</v>
      </c>
      <c r="H155" s="33">
        <f t="shared" si="8"/>
        <v>-4.6792406892996831E-2</v>
      </c>
      <c r="I155" s="43"/>
      <c r="K155"/>
      <c r="L155"/>
    </row>
    <row r="156" spans="2:12" ht="15">
      <c r="B156" s="32">
        <v>1</v>
      </c>
      <c r="C156" s="66" t="s">
        <v>62</v>
      </c>
      <c r="D156" s="64">
        <v>41543</v>
      </c>
      <c r="E156">
        <v>-2.5199030647306664E-2</v>
      </c>
      <c r="F156">
        <v>3.7049165579129462E-2</v>
      </c>
      <c r="G156" s="40">
        <f t="shared" si="7"/>
        <v>0</v>
      </c>
      <c r="H156" s="33">
        <f t="shared" si="8"/>
        <v>-3.7049165579129462E-2</v>
      </c>
      <c r="I156" s="43"/>
      <c r="K156"/>
      <c r="L156"/>
    </row>
    <row r="157" spans="2:12" ht="15">
      <c r="B157" s="32">
        <v>1</v>
      </c>
      <c r="C157" s="66" t="s">
        <v>62</v>
      </c>
      <c r="D157" s="64">
        <v>41544</v>
      </c>
      <c r="E157">
        <v>4.7871442116598217E-4</v>
      </c>
      <c r="F157">
        <v>3.8254784901676782E-2</v>
      </c>
      <c r="G157" s="40">
        <f t="shared" si="7"/>
        <v>0</v>
      </c>
      <c r="H157" s="33">
        <f t="shared" si="8"/>
        <v>-3.8254784901676782E-2</v>
      </c>
      <c r="I157" s="43"/>
      <c r="K157"/>
      <c r="L157"/>
    </row>
    <row r="158" spans="2:12" ht="15">
      <c r="B158" s="32">
        <v>1</v>
      </c>
      <c r="C158" s="66" t="s">
        <v>62</v>
      </c>
      <c r="D158" s="64">
        <v>41547</v>
      </c>
      <c r="E158">
        <v>1.2792789576537622E-2</v>
      </c>
      <c r="F158">
        <v>4.0176977776683095E-2</v>
      </c>
      <c r="G158" s="40">
        <f t="shared" si="7"/>
        <v>0</v>
      </c>
      <c r="H158" s="33">
        <f t="shared" si="8"/>
        <v>-4.0176977776683095E-2</v>
      </c>
      <c r="I158" s="43"/>
      <c r="K158"/>
      <c r="L158"/>
    </row>
    <row r="159" spans="2:12" ht="15">
      <c r="B159" s="32">
        <v>1</v>
      </c>
      <c r="C159" s="66" t="s">
        <v>62</v>
      </c>
      <c r="D159" s="64">
        <v>41548</v>
      </c>
      <c r="E159">
        <v>8.8925064471201409E-3</v>
      </c>
      <c r="F159">
        <v>4.0834990429506848E-2</v>
      </c>
      <c r="G159" s="40">
        <f t="shared" si="7"/>
        <v>0</v>
      </c>
      <c r="H159" s="33">
        <f t="shared" si="8"/>
        <v>-4.0834990429506848E-2</v>
      </c>
      <c r="I159" s="43"/>
      <c r="K159"/>
      <c r="L159"/>
    </row>
    <row r="160" spans="2:12" ht="15">
      <c r="B160" s="32">
        <v>1</v>
      </c>
      <c r="C160" s="66" t="s">
        <v>62</v>
      </c>
      <c r="D160" s="64">
        <v>41549</v>
      </c>
      <c r="E160">
        <v>2.4706088065533649E-3</v>
      </c>
      <c r="F160">
        <v>4.0808197816981043E-2</v>
      </c>
      <c r="G160" s="40">
        <f t="shared" si="7"/>
        <v>0</v>
      </c>
      <c r="H160" s="33">
        <f t="shared" si="8"/>
        <v>-4.0808197816981043E-2</v>
      </c>
      <c r="I160" s="43"/>
      <c r="K160"/>
      <c r="L160"/>
    </row>
    <row r="161" spans="2:12" ht="15">
      <c r="B161" s="32">
        <v>1</v>
      </c>
      <c r="C161" s="66" t="s">
        <v>62</v>
      </c>
      <c r="D161" s="64">
        <v>41550</v>
      </c>
      <c r="E161">
        <v>2.5223385376549778E-2</v>
      </c>
      <c r="F161">
        <v>4.2591113668898416E-2</v>
      </c>
      <c r="G161" s="40">
        <f t="shared" si="7"/>
        <v>0</v>
      </c>
      <c r="H161" s="33">
        <f t="shared" si="8"/>
        <v>-4.2591113668898416E-2</v>
      </c>
      <c r="I161" s="43"/>
      <c r="K161"/>
      <c r="L161"/>
    </row>
    <row r="162" spans="2:12" ht="15">
      <c r="B162" s="32">
        <v>1</v>
      </c>
      <c r="C162" s="66" t="s">
        <v>62</v>
      </c>
      <c r="D162" s="64">
        <v>41551</v>
      </c>
      <c r="E162">
        <v>2.4916232776358349E-2</v>
      </c>
      <c r="F162">
        <v>4.3775865510398283E-2</v>
      </c>
      <c r="G162" s="40">
        <f t="shared" si="7"/>
        <v>0</v>
      </c>
      <c r="H162" s="33">
        <f t="shared" si="8"/>
        <v>-4.3775865510398283E-2</v>
      </c>
      <c r="I162" s="43"/>
      <c r="K162"/>
      <c r="L162"/>
    </row>
    <row r="163" spans="2:12" ht="15">
      <c r="B163" s="32">
        <v>1</v>
      </c>
      <c r="C163" s="66" t="s">
        <v>62</v>
      </c>
      <c r="D163" s="64">
        <v>41554</v>
      </c>
      <c r="E163">
        <v>3.9986386085623771E-2</v>
      </c>
      <c r="F163">
        <v>4.6380873352562219E-2</v>
      </c>
      <c r="G163" s="40">
        <f t="shared" si="7"/>
        <v>0</v>
      </c>
      <c r="H163" s="33">
        <f t="shared" si="8"/>
        <v>-4.6380873352562219E-2</v>
      </c>
      <c r="I163" s="43"/>
      <c r="K163"/>
      <c r="L163"/>
    </row>
    <row r="164" spans="2:12" ht="15">
      <c r="B164" s="32">
        <v>1</v>
      </c>
      <c r="C164" s="66" t="s">
        <v>62</v>
      </c>
      <c r="D164" s="64">
        <v>41555</v>
      </c>
      <c r="E164">
        <v>5.2486868157226141E-2</v>
      </c>
      <c r="F164">
        <v>4.8045606828739811E-2</v>
      </c>
      <c r="G164" s="40">
        <f t="shared" si="7"/>
        <v>0</v>
      </c>
      <c r="H164" s="33">
        <f t="shared" si="8"/>
        <v>-4.8045606828739811E-2</v>
      </c>
      <c r="I164" s="43"/>
      <c r="K164"/>
      <c r="L164"/>
    </row>
    <row r="165" spans="2:12" ht="15">
      <c r="B165" s="32">
        <v>1</v>
      </c>
      <c r="C165" s="66" t="s">
        <v>62</v>
      </c>
      <c r="D165" s="64">
        <v>41556</v>
      </c>
      <c r="E165">
        <v>5.763424294656172E-2</v>
      </c>
      <c r="F165">
        <v>4.6276007278469575E-2</v>
      </c>
      <c r="G165" s="40">
        <f t="shared" si="7"/>
        <v>0</v>
      </c>
      <c r="H165" s="33">
        <f t="shared" si="8"/>
        <v>-4.6276007278469575E-2</v>
      </c>
      <c r="I165" s="43"/>
      <c r="K165"/>
      <c r="L165"/>
    </row>
    <row r="166" spans="2:12" ht="15">
      <c r="B166" s="32">
        <v>1</v>
      </c>
      <c r="C166" s="66" t="s">
        <v>62</v>
      </c>
      <c r="D166" s="64">
        <v>41557</v>
      </c>
      <c r="E166">
        <v>3.1302866369626869E-2</v>
      </c>
      <c r="F166">
        <v>5.8420406127317422E-2</v>
      </c>
      <c r="G166" s="40">
        <f t="shared" si="7"/>
        <v>0</v>
      </c>
      <c r="H166" s="33">
        <f t="shared" si="8"/>
        <v>-5.8420406127317422E-2</v>
      </c>
      <c r="I166" s="43"/>
      <c r="K166"/>
      <c r="L166"/>
    </row>
    <row r="167" spans="2:12" ht="15">
      <c r="B167" s="32">
        <v>1</v>
      </c>
      <c r="C167" s="66" t="s">
        <v>62</v>
      </c>
      <c r="D167" s="64">
        <v>41558</v>
      </c>
      <c r="E167">
        <v>2.8289109405501556E-2</v>
      </c>
      <c r="F167">
        <v>5.8916281983925317E-2</v>
      </c>
      <c r="G167" s="40">
        <f t="shared" si="7"/>
        <v>0</v>
      </c>
      <c r="H167" s="33">
        <f t="shared" si="8"/>
        <v>-5.8916281983925317E-2</v>
      </c>
      <c r="I167" s="43"/>
      <c r="K167"/>
      <c r="L167"/>
    </row>
    <row r="168" spans="2:12" ht="15">
      <c r="B168" s="32">
        <v>1</v>
      </c>
      <c r="C168" s="66" t="s">
        <v>62</v>
      </c>
      <c r="D168" s="64">
        <v>41561</v>
      </c>
      <c r="E168">
        <v>2.8607882777853533E-2</v>
      </c>
      <c r="F168">
        <v>5.9090346976518278E-2</v>
      </c>
      <c r="G168" s="40">
        <f t="shared" si="7"/>
        <v>0</v>
      </c>
      <c r="H168" s="33">
        <f t="shared" si="8"/>
        <v>-5.9090346976518278E-2</v>
      </c>
      <c r="I168" s="43"/>
      <c r="K168"/>
      <c r="L168"/>
    </row>
    <row r="169" spans="2:12" ht="15">
      <c r="B169" s="32">
        <v>1</v>
      </c>
      <c r="C169" s="66" t="s">
        <v>62</v>
      </c>
      <c r="D169" s="64">
        <v>41562</v>
      </c>
      <c r="E169">
        <v>3.7025488411298824E-2</v>
      </c>
      <c r="F169">
        <v>5.9685236339203175E-2</v>
      </c>
      <c r="G169" s="40">
        <f t="shared" si="7"/>
        <v>0</v>
      </c>
      <c r="H169" s="33">
        <f t="shared" si="8"/>
        <v>-5.9685236339203175E-2</v>
      </c>
      <c r="I169" s="43"/>
      <c r="K169"/>
      <c r="L169"/>
    </row>
    <row r="170" spans="2:12" ht="15">
      <c r="B170" s="32">
        <v>1</v>
      </c>
      <c r="C170" s="66" t="s">
        <v>62</v>
      </c>
      <c r="D170" s="64">
        <v>41563</v>
      </c>
      <c r="E170">
        <v>2.8861345696323149E-2</v>
      </c>
      <c r="F170">
        <v>6.3343145965066558E-2</v>
      </c>
      <c r="G170" s="40">
        <f t="shared" si="7"/>
        <v>0</v>
      </c>
      <c r="H170" s="33">
        <f t="shared" si="8"/>
        <v>-6.3343145965066558E-2</v>
      </c>
      <c r="I170" s="43"/>
      <c r="K170"/>
      <c r="L170"/>
    </row>
    <row r="171" spans="2:12" ht="15">
      <c r="B171" s="32">
        <v>1</v>
      </c>
      <c r="C171" s="66" t="s">
        <v>62</v>
      </c>
      <c r="D171" s="64">
        <v>41564</v>
      </c>
      <c r="E171">
        <v>1.7252182118007831E-2</v>
      </c>
      <c r="F171">
        <v>6.1220948166493538E-2</v>
      </c>
      <c r="G171" s="40">
        <f t="shared" si="7"/>
        <v>0</v>
      </c>
      <c r="H171" s="33">
        <f t="shared" si="8"/>
        <v>-6.1220948166493538E-2</v>
      </c>
      <c r="I171" s="43"/>
      <c r="K171"/>
      <c r="L171"/>
    </row>
    <row r="172" spans="2:12" ht="15">
      <c r="B172" s="32">
        <v>1</v>
      </c>
      <c r="C172" s="66" t="s">
        <v>62</v>
      </c>
      <c r="D172" s="64">
        <v>41565</v>
      </c>
      <c r="E172">
        <v>6.8780055815675922E-3</v>
      </c>
      <c r="F172">
        <v>6.1931722198627394E-2</v>
      </c>
      <c r="G172" s="40">
        <f t="shared" si="7"/>
        <v>0</v>
      </c>
      <c r="H172" s="33">
        <f t="shared" si="8"/>
        <v>-6.1931722198627394E-2</v>
      </c>
      <c r="I172" s="43"/>
      <c r="K172"/>
      <c r="L172"/>
    </row>
    <row r="173" spans="2:12" ht="15">
      <c r="B173" s="32">
        <v>1</v>
      </c>
      <c r="C173" s="66" t="s">
        <v>62</v>
      </c>
      <c r="D173" s="64">
        <v>41568</v>
      </c>
      <c r="E173">
        <v>9.6854881223125133E-3</v>
      </c>
      <c r="F173">
        <v>6.0518630109421802E-2</v>
      </c>
      <c r="G173" s="40">
        <f t="shared" si="7"/>
        <v>0</v>
      </c>
      <c r="H173" s="33">
        <f t="shared" si="8"/>
        <v>-6.0518630109421802E-2</v>
      </c>
      <c r="I173" s="43"/>
      <c r="K173"/>
      <c r="L173"/>
    </row>
    <row r="174" spans="2:12" ht="15">
      <c r="B174" s="32">
        <v>1</v>
      </c>
      <c r="C174" s="66" t="s">
        <v>62</v>
      </c>
      <c r="D174" s="64">
        <v>41569</v>
      </c>
      <c r="E174">
        <v>7.5285710905612646E-3</v>
      </c>
      <c r="F174">
        <v>6.0185101923941012E-2</v>
      </c>
      <c r="G174" s="40">
        <f t="shared" si="7"/>
        <v>0</v>
      </c>
      <c r="H174" s="33">
        <f t="shared" si="8"/>
        <v>-6.0185101923941012E-2</v>
      </c>
      <c r="I174" s="43"/>
      <c r="K174"/>
      <c r="L174"/>
    </row>
    <row r="175" spans="2:12" ht="15">
      <c r="B175" s="32">
        <v>1</v>
      </c>
      <c r="C175" s="66" t="s">
        <v>62</v>
      </c>
      <c r="D175" s="64">
        <v>41570</v>
      </c>
      <c r="E175">
        <v>9.4547934512130283E-3</v>
      </c>
      <c r="F175">
        <v>6.0670164846789026E-2</v>
      </c>
      <c r="G175" s="40">
        <f t="shared" si="7"/>
        <v>0</v>
      </c>
      <c r="H175" s="33">
        <f t="shared" si="8"/>
        <v>-6.0670164846789026E-2</v>
      </c>
      <c r="I175" s="43"/>
      <c r="K175"/>
      <c r="L175"/>
    </row>
    <row r="176" spans="2:12" ht="15">
      <c r="B176" s="32">
        <v>1</v>
      </c>
      <c r="C176" s="66" t="s">
        <v>62</v>
      </c>
      <c r="D176" s="64">
        <v>41571</v>
      </c>
      <c r="E176">
        <v>1.0458423550458562E-2</v>
      </c>
      <c r="F176">
        <v>6.0337093560440355E-2</v>
      </c>
      <c r="G176" s="40">
        <f t="shared" si="7"/>
        <v>0</v>
      </c>
      <c r="H176" s="33">
        <f t="shared" si="8"/>
        <v>-6.0337093560440355E-2</v>
      </c>
      <c r="I176" s="43"/>
      <c r="K176"/>
      <c r="L176"/>
    </row>
    <row r="177" spans="2:12" ht="15">
      <c r="B177" s="32">
        <v>1</v>
      </c>
      <c r="C177" s="66" t="s">
        <v>62</v>
      </c>
      <c r="D177" s="64">
        <v>41572</v>
      </c>
      <c r="E177">
        <v>-7.1972273778788676E-3</v>
      </c>
      <c r="F177">
        <v>6.042928681444025E-2</v>
      </c>
      <c r="G177" s="40">
        <f t="shared" si="7"/>
        <v>0</v>
      </c>
      <c r="H177" s="33">
        <f t="shared" si="8"/>
        <v>-6.042928681444025E-2</v>
      </c>
      <c r="I177" s="43"/>
      <c r="K177"/>
      <c r="L177"/>
    </row>
    <row r="178" spans="2:12" ht="15">
      <c r="B178" s="32">
        <v>1</v>
      </c>
      <c r="C178" s="66" t="s">
        <v>62</v>
      </c>
      <c r="D178" s="64">
        <v>41575</v>
      </c>
      <c r="E178">
        <v>4.8121653994694924E-3</v>
      </c>
      <c r="F178">
        <v>5.9651794685070467E-2</v>
      </c>
      <c r="G178" s="40">
        <f t="shared" si="7"/>
        <v>0</v>
      </c>
      <c r="H178" s="33">
        <f t="shared" si="8"/>
        <v>-5.9651794685070467E-2</v>
      </c>
      <c r="I178" s="43"/>
      <c r="K178"/>
      <c r="L178"/>
    </row>
    <row r="179" spans="2:12" ht="15">
      <c r="B179" s="32">
        <v>1</v>
      </c>
      <c r="C179" s="66" t="s">
        <v>62</v>
      </c>
      <c r="D179" s="64">
        <v>41576</v>
      </c>
      <c r="E179">
        <v>-3.3825455201252908E-5</v>
      </c>
      <c r="F179">
        <v>5.8343080692058645E-2</v>
      </c>
      <c r="G179" s="40">
        <f t="shared" si="7"/>
        <v>0</v>
      </c>
      <c r="H179" s="33">
        <f t="shared" si="8"/>
        <v>-5.8343080692058645E-2</v>
      </c>
      <c r="I179" s="43"/>
      <c r="K179"/>
      <c r="L179"/>
    </row>
    <row r="180" spans="2:12" ht="15">
      <c r="B180" s="32">
        <v>1</v>
      </c>
      <c r="C180" s="66" t="s">
        <v>62</v>
      </c>
      <c r="D180" s="64">
        <v>41577</v>
      </c>
      <c r="E180">
        <v>2.4808180381290512E-3</v>
      </c>
      <c r="F180">
        <v>5.8728175176016723E-2</v>
      </c>
      <c r="G180" s="40">
        <f t="shared" si="7"/>
        <v>0</v>
      </c>
      <c r="H180" s="33">
        <f t="shared" si="8"/>
        <v>-5.8728175176016723E-2</v>
      </c>
      <c r="I180" s="43"/>
      <c r="K180"/>
      <c r="L180"/>
    </row>
    <row r="181" spans="2:12" ht="15">
      <c r="B181" s="32">
        <v>1</v>
      </c>
      <c r="C181" s="66" t="s">
        <v>62</v>
      </c>
      <c r="D181" s="64">
        <v>41578</v>
      </c>
      <c r="E181">
        <v>1.4390341822357655E-2</v>
      </c>
      <c r="F181">
        <v>5.9320415185703558E-2</v>
      </c>
      <c r="G181" s="40">
        <f t="shared" si="7"/>
        <v>0</v>
      </c>
      <c r="H181" s="33">
        <f t="shared" si="8"/>
        <v>-5.9320415185703558E-2</v>
      </c>
      <c r="I181" s="43"/>
      <c r="K181"/>
      <c r="L181"/>
    </row>
    <row r="182" spans="2:12" ht="15">
      <c r="B182" s="32">
        <v>1</v>
      </c>
      <c r="C182" s="66" t="s">
        <v>62</v>
      </c>
      <c r="D182" s="64">
        <v>41579</v>
      </c>
      <c r="E182">
        <v>1.6316723930007271E-2</v>
      </c>
      <c r="F182">
        <v>5.6494247599778391E-2</v>
      </c>
      <c r="G182" s="40">
        <f t="shared" si="7"/>
        <v>0</v>
      </c>
      <c r="H182" s="33">
        <f t="shared" si="8"/>
        <v>-5.6494247599778391E-2</v>
      </c>
      <c r="I182" s="43"/>
      <c r="K182"/>
      <c r="L182"/>
    </row>
    <row r="183" spans="2:12" ht="15">
      <c r="B183" s="32">
        <v>1</v>
      </c>
      <c r="C183" s="66" t="s">
        <v>62</v>
      </c>
      <c r="D183" s="64">
        <v>41582</v>
      </c>
      <c r="E183">
        <v>1.6965671088049916E-2</v>
      </c>
      <c r="F183">
        <v>5.5980642782286996E-2</v>
      </c>
      <c r="G183" s="40">
        <f t="shared" si="7"/>
        <v>0</v>
      </c>
      <c r="H183" s="33">
        <f t="shared" si="8"/>
        <v>-5.5980642782286996E-2</v>
      </c>
      <c r="I183" s="43"/>
      <c r="K183"/>
      <c r="L183"/>
    </row>
    <row r="184" spans="2:12" ht="15">
      <c r="B184" s="32">
        <v>1</v>
      </c>
      <c r="C184" s="66" t="s">
        <v>62</v>
      </c>
      <c r="D184" s="64">
        <v>41583</v>
      </c>
      <c r="E184">
        <v>1.6070149181531157E-2</v>
      </c>
      <c r="F184">
        <v>5.3733696242385193E-2</v>
      </c>
      <c r="G184" s="40">
        <f t="shared" si="7"/>
        <v>0</v>
      </c>
      <c r="H184" s="33">
        <f t="shared" si="8"/>
        <v>-5.3733696242385193E-2</v>
      </c>
      <c r="I184" s="43"/>
      <c r="K184"/>
      <c r="L184"/>
    </row>
    <row r="185" spans="2:12" ht="15">
      <c r="B185" s="32">
        <v>1</v>
      </c>
      <c r="C185" s="66" t="s">
        <v>62</v>
      </c>
      <c r="D185" s="64">
        <v>41584</v>
      </c>
      <c r="E185">
        <v>9.7686255925806265E-3</v>
      </c>
      <c r="F185">
        <v>4.7612284882752064E-2</v>
      </c>
      <c r="G185" s="40">
        <f t="shared" si="7"/>
        <v>0</v>
      </c>
      <c r="H185" s="33">
        <f t="shared" si="8"/>
        <v>-4.7612284882752064E-2</v>
      </c>
      <c r="I185" s="43"/>
      <c r="K185"/>
      <c r="L185"/>
    </row>
    <row r="186" spans="2:12" ht="15">
      <c r="B186" s="32">
        <v>1</v>
      </c>
      <c r="C186" s="66" t="s">
        <v>62</v>
      </c>
      <c r="D186" s="64">
        <v>41585</v>
      </c>
      <c r="E186">
        <v>1.9396825700389364E-2</v>
      </c>
      <c r="F186">
        <v>5.438352084225917E-2</v>
      </c>
      <c r="G186" s="40">
        <f t="shared" si="7"/>
        <v>0</v>
      </c>
      <c r="H186" s="33">
        <f t="shared" si="8"/>
        <v>-5.438352084225917E-2</v>
      </c>
      <c r="I186" s="43"/>
      <c r="K186"/>
      <c r="L186"/>
    </row>
    <row r="187" spans="2:12" ht="15">
      <c r="B187" s="32">
        <v>1</v>
      </c>
      <c r="C187" s="66" t="s">
        <v>62</v>
      </c>
      <c r="D187" s="64">
        <v>41586</v>
      </c>
      <c r="E187">
        <v>1.4154322586793278E-2</v>
      </c>
      <c r="F187">
        <v>4.7767374833915355E-2</v>
      </c>
      <c r="G187" s="40">
        <f t="shared" si="7"/>
        <v>0</v>
      </c>
      <c r="H187" s="33">
        <f t="shared" si="8"/>
        <v>-4.7767374833915355E-2</v>
      </c>
      <c r="I187" s="43"/>
      <c r="K187"/>
      <c r="L187"/>
    </row>
    <row r="188" spans="2:12" ht="15">
      <c r="B188" s="32">
        <v>1</v>
      </c>
      <c r="C188" s="66" t="s">
        <v>62</v>
      </c>
      <c r="D188" s="64">
        <v>41589</v>
      </c>
      <c r="E188">
        <v>1.8380842524183372E-2</v>
      </c>
      <c r="F188">
        <v>4.7300330243836522E-2</v>
      </c>
      <c r="G188" s="40">
        <f t="shared" si="7"/>
        <v>0</v>
      </c>
      <c r="H188" s="33">
        <f t="shared" si="8"/>
        <v>-4.7300330243836522E-2</v>
      </c>
      <c r="I188" s="43"/>
      <c r="K188"/>
      <c r="L188"/>
    </row>
    <row r="189" spans="2:12" ht="15">
      <c r="B189" s="32">
        <v>1</v>
      </c>
      <c r="C189" s="66" t="s">
        <v>62</v>
      </c>
      <c r="D189" s="64">
        <v>41590</v>
      </c>
      <c r="E189">
        <v>1.9489907220870961E-2</v>
      </c>
      <c r="F189">
        <v>4.7624448138114832E-2</v>
      </c>
      <c r="G189" s="40">
        <f t="shared" si="7"/>
        <v>0</v>
      </c>
      <c r="H189" s="33">
        <f t="shared" si="8"/>
        <v>-4.7624448138114832E-2</v>
      </c>
      <c r="I189" s="43"/>
      <c r="K189"/>
      <c r="L189"/>
    </row>
    <row r="190" spans="2:12" ht="15">
      <c r="B190" s="32">
        <v>1</v>
      </c>
      <c r="C190" s="66" t="s">
        <v>62</v>
      </c>
      <c r="D190" s="64">
        <v>41591</v>
      </c>
      <c r="E190">
        <v>1.1576947766114287E-2</v>
      </c>
      <c r="F190">
        <v>4.6359464906488609E-2</v>
      </c>
      <c r="G190" s="40">
        <f t="shared" si="7"/>
        <v>0</v>
      </c>
      <c r="H190" s="33">
        <f t="shared" si="8"/>
        <v>-4.6359464906488609E-2</v>
      </c>
      <c r="I190" s="43"/>
      <c r="K190"/>
      <c r="L190"/>
    </row>
    <row r="191" spans="2:12" ht="15">
      <c r="B191" s="32">
        <v>1</v>
      </c>
      <c r="C191" s="66" t="s">
        <v>62</v>
      </c>
      <c r="D191" s="64">
        <v>41592</v>
      </c>
      <c r="E191">
        <v>9.2333494291949592E-3</v>
      </c>
      <c r="F191">
        <v>4.2455039619353888E-2</v>
      </c>
      <c r="G191" s="40">
        <f t="shared" si="7"/>
        <v>0</v>
      </c>
      <c r="H191" s="33">
        <f t="shared" si="8"/>
        <v>-4.2455039619353888E-2</v>
      </c>
      <c r="I191" s="43"/>
      <c r="K191"/>
      <c r="L191"/>
    </row>
    <row r="192" spans="2:12" ht="15">
      <c r="B192" s="32">
        <v>1</v>
      </c>
      <c r="C192" s="66" t="s">
        <v>62</v>
      </c>
      <c r="D192" s="64">
        <v>41593</v>
      </c>
      <c r="E192">
        <v>4.2342049563428574E-3</v>
      </c>
      <c r="F192">
        <v>4.1866910088229924E-2</v>
      </c>
      <c r="G192" s="40">
        <f t="shared" si="7"/>
        <v>0</v>
      </c>
      <c r="H192" s="33">
        <f t="shared" si="8"/>
        <v>-4.1866910088229924E-2</v>
      </c>
      <c r="I192" s="43"/>
      <c r="K192"/>
      <c r="L192"/>
    </row>
    <row r="193" spans="2:12" ht="15">
      <c r="B193" s="32">
        <v>1</v>
      </c>
      <c r="C193" s="66" t="s">
        <v>62</v>
      </c>
      <c r="D193" s="64">
        <v>41596</v>
      </c>
      <c r="E193">
        <v>5.2165337167053849E-3</v>
      </c>
      <c r="F193">
        <v>4.1932475595270531E-2</v>
      </c>
      <c r="G193" s="40">
        <f t="shared" si="7"/>
        <v>0</v>
      </c>
      <c r="H193" s="33">
        <f t="shared" si="8"/>
        <v>-4.1932475595270531E-2</v>
      </c>
      <c r="I193" s="43"/>
      <c r="K193"/>
      <c r="L193"/>
    </row>
    <row r="194" spans="2:12" ht="15">
      <c r="B194" s="32">
        <v>1</v>
      </c>
      <c r="C194" s="66" t="s">
        <v>62</v>
      </c>
      <c r="D194" s="64">
        <v>41597</v>
      </c>
      <c r="E194">
        <v>4.0636329015120154E-3</v>
      </c>
      <c r="F194">
        <v>4.2233722280489182E-2</v>
      </c>
      <c r="G194" s="40">
        <f t="shared" si="7"/>
        <v>0</v>
      </c>
      <c r="H194" s="33">
        <f t="shared" si="8"/>
        <v>-4.2233722280489182E-2</v>
      </c>
      <c r="I194" s="43"/>
      <c r="K194"/>
      <c r="L194"/>
    </row>
    <row r="195" spans="2:12" ht="15">
      <c r="B195" s="32">
        <v>1</v>
      </c>
      <c r="C195" s="66" t="s">
        <v>62</v>
      </c>
      <c r="D195" s="64">
        <v>41598</v>
      </c>
      <c r="E195">
        <v>6.4015258853808987E-3</v>
      </c>
      <c r="F195">
        <v>4.2175270762649701E-2</v>
      </c>
      <c r="G195" s="40">
        <f t="shared" si="7"/>
        <v>0</v>
      </c>
      <c r="H195" s="33">
        <f t="shared" si="8"/>
        <v>-4.2175270762649701E-2</v>
      </c>
      <c r="I195" s="43"/>
      <c r="K195"/>
      <c r="L195"/>
    </row>
    <row r="196" spans="2:12" ht="15">
      <c r="B196" s="32">
        <v>1</v>
      </c>
      <c r="C196" s="66" t="s">
        <v>62</v>
      </c>
      <c r="D196" s="64">
        <v>41599</v>
      </c>
      <c r="E196">
        <v>-6.0431960377194116E-3</v>
      </c>
      <c r="F196">
        <v>4.271136888308364E-2</v>
      </c>
      <c r="G196" s="40">
        <f t="shared" si="7"/>
        <v>0</v>
      </c>
      <c r="H196" s="33">
        <f t="shared" si="8"/>
        <v>-4.271136888308364E-2</v>
      </c>
      <c r="I196" s="43"/>
      <c r="K196"/>
      <c r="L196"/>
    </row>
    <row r="197" spans="2:12" ht="15">
      <c r="B197" s="32">
        <v>1</v>
      </c>
      <c r="C197" s="66" t="s">
        <v>62</v>
      </c>
      <c r="D197" s="64">
        <v>41600</v>
      </c>
      <c r="E197">
        <v>1.8280870568698759E-4</v>
      </c>
      <c r="F197">
        <v>4.3003813880616894E-2</v>
      </c>
      <c r="G197" s="40">
        <f t="shared" si="7"/>
        <v>0</v>
      </c>
      <c r="H197" s="33">
        <f t="shared" si="8"/>
        <v>-4.3003813880616894E-2</v>
      </c>
      <c r="I197" s="43"/>
      <c r="K197"/>
      <c r="L197"/>
    </row>
    <row r="198" spans="2:12" ht="15">
      <c r="B198" s="32">
        <v>1</v>
      </c>
      <c r="C198" s="66" t="s">
        <v>62</v>
      </c>
      <c r="D198" s="64">
        <v>41603</v>
      </c>
      <c r="E198">
        <v>3.2624009664532494E-3</v>
      </c>
      <c r="F198">
        <v>4.2902701641428398E-2</v>
      </c>
      <c r="G198" s="40">
        <f t="shared" ref="G198:G261" si="9">--(E198&lt;-F198)</f>
        <v>0</v>
      </c>
      <c r="H198" s="33">
        <f t="shared" ref="H198:H261" si="10">-F198</f>
        <v>-4.2902701641428398E-2</v>
      </c>
      <c r="I198" s="43"/>
      <c r="K198"/>
      <c r="L198"/>
    </row>
    <row r="199" spans="2:12" ht="15">
      <c r="B199" s="32">
        <v>1</v>
      </c>
      <c r="C199" s="66" t="s">
        <v>62</v>
      </c>
      <c r="D199" s="64">
        <v>41604</v>
      </c>
      <c r="E199">
        <v>-7.2117424972262256E-5</v>
      </c>
      <c r="F199">
        <v>4.2930544877776811E-2</v>
      </c>
      <c r="G199" s="40">
        <f t="shared" si="9"/>
        <v>0</v>
      </c>
      <c r="H199" s="33">
        <f t="shared" si="10"/>
        <v>-4.2930544877776811E-2</v>
      </c>
      <c r="I199" s="43"/>
      <c r="K199"/>
      <c r="L199"/>
    </row>
    <row r="200" spans="2:12" ht="15">
      <c r="B200" s="32">
        <v>1</v>
      </c>
      <c r="C200" s="66" t="s">
        <v>62</v>
      </c>
      <c r="D200" s="64">
        <v>41605</v>
      </c>
      <c r="E200">
        <v>-1.3935513286080337E-2</v>
      </c>
      <c r="F200">
        <v>4.2340284636202749E-2</v>
      </c>
      <c r="G200" s="40">
        <f t="shared" si="9"/>
        <v>0</v>
      </c>
      <c r="H200" s="33">
        <f t="shared" si="10"/>
        <v>-4.2340284636202749E-2</v>
      </c>
      <c r="I200" s="43"/>
      <c r="K200"/>
      <c r="L200"/>
    </row>
    <row r="201" spans="2:12" ht="15">
      <c r="B201" s="32">
        <v>1</v>
      </c>
      <c r="C201" s="66" t="s">
        <v>62</v>
      </c>
      <c r="D201" s="64">
        <v>41607</v>
      </c>
      <c r="E201">
        <v>-1.6927203859038897E-2</v>
      </c>
      <c r="F201">
        <v>4.1312411638630003E-2</v>
      </c>
      <c r="G201" s="40">
        <f t="shared" si="9"/>
        <v>0</v>
      </c>
      <c r="H201" s="33">
        <f t="shared" si="10"/>
        <v>-4.1312411638630003E-2</v>
      </c>
      <c r="I201" s="43"/>
      <c r="K201"/>
      <c r="L201"/>
    </row>
    <row r="202" spans="2:12" ht="15">
      <c r="B202" s="32">
        <v>1</v>
      </c>
      <c r="C202" s="66" t="s">
        <v>62</v>
      </c>
      <c r="D202" s="64">
        <v>41610</v>
      </c>
      <c r="E202">
        <v>-1.4305895318763362E-2</v>
      </c>
      <c r="F202">
        <v>4.0983796736939762E-2</v>
      </c>
      <c r="G202" s="40">
        <f t="shared" si="9"/>
        <v>0</v>
      </c>
      <c r="H202" s="33">
        <f t="shared" si="10"/>
        <v>-4.0983796736939762E-2</v>
      </c>
      <c r="I202" s="43"/>
      <c r="K202"/>
      <c r="L202"/>
    </row>
    <row r="203" spans="2:12" ht="15">
      <c r="B203" s="32">
        <v>1</v>
      </c>
      <c r="C203" s="66" t="s">
        <v>62</v>
      </c>
      <c r="D203" s="64">
        <v>41611</v>
      </c>
      <c r="E203">
        <v>-4.8077870688976176E-3</v>
      </c>
      <c r="F203">
        <v>4.146081555202439E-2</v>
      </c>
      <c r="G203" s="40">
        <f t="shared" si="9"/>
        <v>0</v>
      </c>
      <c r="H203" s="33">
        <f t="shared" si="10"/>
        <v>-4.146081555202439E-2</v>
      </c>
      <c r="I203" s="43"/>
      <c r="K203"/>
      <c r="L203"/>
    </row>
    <row r="204" spans="2:12" ht="15">
      <c r="B204" s="32">
        <v>1</v>
      </c>
      <c r="C204" s="66" t="s">
        <v>62</v>
      </c>
      <c r="D204" s="64">
        <v>41612</v>
      </c>
      <c r="E204">
        <v>-6.6092499577541375E-3</v>
      </c>
      <c r="F204">
        <v>4.1349919554522996E-2</v>
      </c>
      <c r="G204" s="40">
        <f t="shared" si="9"/>
        <v>0</v>
      </c>
      <c r="H204" s="33">
        <f t="shared" si="10"/>
        <v>-4.1349919554522996E-2</v>
      </c>
      <c r="I204" s="43"/>
      <c r="K204"/>
      <c r="L204"/>
    </row>
    <row r="205" spans="2:12" ht="15">
      <c r="B205" s="32">
        <v>1</v>
      </c>
      <c r="C205" s="66" t="s">
        <v>62</v>
      </c>
      <c r="D205" s="64">
        <v>41613</v>
      </c>
      <c r="E205">
        <v>1.425067202873187E-2</v>
      </c>
      <c r="F205">
        <v>4.1771708974204701E-2</v>
      </c>
      <c r="G205" s="40">
        <f t="shared" si="9"/>
        <v>0</v>
      </c>
      <c r="H205" s="33">
        <f t="shared" si="10"/>
        <v>-4.1771708974204701E-2</v>
      </c>
      <c r="I205" s="43"/>
      <c r="K205"/>
      <c r="L205"/>
    </row>
    <row r="206" spans="2:12" ht="15">
      <c r="B206" s="32">
        <v>1</v>
      </c>
      <c r="C206" s="66" t="s">
        <v>62</v>
      </c>
      <c r="D206" s="64">
        <v>41614</v>
      </c>
      <c r="E206">
        <v>2.49537991509996E-3</v>
      </c>
      <c r="F206">
        <v>4.4782163501396383E-2</v>
      </c>
      <c r="G206" s="40">
        <f t="shared" si="9"/>
        <v>0</v>
      </c>
      <c r="H206" s="33">
        <f t="shared" si="10"/>
        <v>-4.4782163501396383E-2</v>
      </c>
      <c r="I206" s="43"/>
      <c r="K206"/>
      <c r="L206"/>
    </row>
    <row r="207" spans="2:12" ht="15">
      <c r="B207" s="32">
        <v>1</v>
      </c>
      <c r="C207" s="66" t="s">
        <v>62</v>
      </c>
      <c r="D207" s="64">
        <v>41617</v>
      </c>
      <c r="E207">
        <v>5.4870838844003345E-3</v>
      </c>
      <c r="F207">
        <v>3.7858441769270952E-2</v>
      </c>
      <c r="G207" s="40">
        <f t="shared" si="9"/>
        <v>0</v>
      </c>
      <c r="H207" s="33">
        <f t="shared" si="10"/>
        <v>-3.7858441769270952E-2</v>
      </c>
      <c r="I207" s="43"/>
      <c r="K207"/>
      <c r="L207"/>
    </row>
    <row r="208" spans="2:12" ht="15">
      <c r="B208" s="32">
        <v>1</v>
      </c>
      <c r="C208" s="66" t="s">
        <v>62</v>
      </c>
      <c r="D208" s="64">
        <v>41618</v>
      </c>
      <c r="E208">
        <v>1.3975837697228322E-2</v>
      </c>
      <c r="F208">
        <v>3.3026784989132064E-2</v>
      </c>
      <c r="G208" s="40">
        <f t="shared" si="9"/>
        <v>0</v>
      </c>
      <c r="H208" s="33">
        <f t="shared" si="10"/>
        <v>-3.3026784989132064E-2</v>
      </c>
      <c r="I208" s="43"/>
      <c r="K208"/>
      <c r="L208"/>
    </row>
    <row r="209" spans="2:12" ht="15">
      <c r="B209" s="32">
        <v>1</v>
      </c>
      <c r="C209" s="66" t="s">
        <v>62</v>
      </c>
      <c r="D209" s="64">
        <v>41619</v>
      </c>
      <c r="E209">
        <v>2.8268739415098665E-2</v>
      </c>
      <c r="F209">
        <v>3.8430253416846936E-2</v>
      </c>
      <c r="G209" s="40">
        <f t="shared" si="9"/>
        <v>0</v>
      </c>
      <c r="H209" s="33">
        <f t="shared" si="10"/>
        <v>-3.8430253416846936E-2</v>
      </c>
      <c r="I209" s="43"/>
      <c r="K209"/>
      <c r="L209"/>
    </row>
    <row r="210" spans="2:12" ht="15">
      <c r="B210" s="32">
        <v>1</v>
      </c>
      <c r="C210" s="66" t="s">
        <v>62</v>
      </c>
      <c r="D210" s="64">
        <v>41620</v>
      </c>
      <c r="E210">
        <v>3.678073299411011E-2</v>
      </c>
      <c r="F210">
        <v>3.8757069080661989E-2</v>
      </c>
      <c r="G210" s="40">
        <f t="shared" si="9"/>
        <v>0</v>
      </c>
      <c r="H210" s="33">
        <f t="shared" si="10"/>
        <v>-3.8757069080661989E-2</v>
      </c>
      <c r="I210" s="43"/>
      <c r="K210"/>
      <c r="L210"/>
    </row>
    <row r="211" spans="2:12" ht="15">
      <c r="B211" s="32">
        <v>1</v>
      </c>
      <c r="C211" s="66" t="s">
        <v>62</v>
      </c>
      <c r="D211" s="64">
        <v>41621</v>
      </c>
      <c r="E211">
        <v>3.654550695349279E-2</v>
      </c>
      <c r="F211">
        <v>3.642686955387623E-2</v>
      </c>
      <c r="G211" s="40">
        <f t="shared" si="9"/>
        <v>0</v>
      </c>
      <c r="H211" s="33">
        <f t="shared" si="10"/>
        <v>-3.642686955387623E-2</v>
      </c>
      <c r="I211" s="43"/>
      <c r="K211"/>
      <c r="L211"/>
    </row>
    <row r="212" spans="2:12" ht="15">
      <c r="B212" s="32">
        <v>1</v>
      </c>
      <c r="C212" s="66" t="s">
        <v>62</v>
      </c>
      <c r="D212" s="64">
        <v>41624</v>
      </c>
      <c r="E212">
        <v>3.0066084802097492E-2</v>
      </c>
      <c r="F212">
        <v>3.704667792250016E-2</v>
      </c>
      <c r="G212" s="40">
        <f t="shared" si="9"/>
        <v>0</v>
      </c>
      <c r="H212" s="33">
        <f t="shared" si="10"/>
        <v>-3.704667792250016E-2</v>
      </c>
      <c r="I212" s="43"/>
      <c r="K212"/>
      <c r="L212"/>
    </row>
    <row r="213" spans="2:12" ht="15">
      <c r="B213" s="32">
        <v>1</v>
      </c>
      <c r="C213" s="66" t="s">
        <v>62</v>
      </c>
      <c r="D213" s="64">
        <v>41625</v>
      </c>
      <c r="E213">
        <v>3.7123747019403019E-2</v>
      </c>
      <c r="F213">
        <v>3.6596733196976219E-2</v>
      </c>
      <c r="G213" s="40">
        <f t="shared" si="9"/>
        <v>0</v>
      </c>
      <c r="H213" s="33">
        <f t="shared" si="10"/>
        <v>-3.6596733196976219E-2</v>
      </c>
      <c r="I213" s="43"/>
      <c r="K213"/>
      <c r="L213"/>
    </row>
    <row r="214" spans="2:12" ht="15">
      <c r="B214" s="32">
        <v>1</v>
      </c>
      <c r="C214" s="66" t="s">
        <v>62</v>
      </c>
      <c r="D214" s="64">
        <v>41626</v>
      </c>
      <c r="E214">
        <v>1.1711428156613302E-2</v>
      </c>
      <c r="F214">
        <v>4.5135322955301198E-2</v>
      </c>
      <c r="G214" s="40">
        <f t="shared" si="9"/>
        <v>0</v>
      </c>
      <c r="H214" s="33">
        <f t="shared" si="10"/>
        <v>-4.5135322955301198E-2</v>
      </c>
      <c r="I214" s="43"/>
      <c r="K214"/>
      <c r="L214"/>
    </row>
    <row r="215" spans="2:12" ht="15">
      <c r="B215" s="32">
        <v>1</v>
      </c>
      <c r="C215" s="66" t="s">
        <v>62</v>
      </c>
      <c r="D215" s="64">
        <v>41627</v>
      </c>
      <c r="E215">
        <v>1.1958504799231662E-2</v>
      </c>
      <c r="F215">
        <v>4.4972287315501569E-2</v>
      </c>
      <c r="G215" s="40">
        <f t="shared" si="9"/>
        <v>0</v>
      </c>
      <c r="H215" s="33">
        <f t="shared" si="10"/>
        <v>-4.4972287315501569E-2</v>
      </c>
      <c r="I215" s="43"/>
      <c r="K215"/>
      <c r="L215"/>
    </row>
    <row r="216" spans="2:12" ht="15">
      <c r="B216" s="32">
        <v>1</v>
      </c>
      <c r="C216" s="66" t="s">
        <v>62</v>
      </c>
      <c r="D216" s="64">
        <v>41628</v>
      </c>
      <c r="E216">
        <v>4.6364228131574592E-3</v>
      </c>
      <c r="F216">
        <v>4.4873553209298173E-2</v>
      </c>
      <c r="G216" s="40">
        <f t="shared" si="9"/>
        <v>0</v>
      </c>
      <c r="H216" s="33">
        <f t="shared" si="10"/>
        <v>-4.4873553209298173E-2</v>
      </c>
      <c r="I216" s="43"/>
      <c r="K216"/>
      <c r="L216"/>
    </row>
    <row r="217" spans="2:12" ht="15">
      <c r="B217" s="32">
        <v>1</v>
      </c>
      <c r="C217" s="66" t="s">
        <v>62</v>
      </c>
      <c r="D217" s="64">
        <v>41631</v>
      </c>
      <c r="E217">
        <v>5.3957390787466863E-3</v>
      </c>
      <c r="F217">
        <v>4.3888250266498612E-2</v>
      </c>
      <c r="G217" s="40">
        <f t="shared" si="9"/>
        <v>0</v>
      </c>
      <c r="H217" s="33">
        <f t="shared" si="10"/>
        <v>-4.3888250266498612E-2</v>
      </c>
      <c r="I217" s="43"/>
      <c r="K217"/>
      <c r="L217"/>
    </row>
    <row r="218" spans="2:12" ht="15">
      <c r="B218" s="32">
        <v>1</v>
      </c>
      <c r="C218" s="66" t="s">
        <v>62</v>
      </c>
      <c r="D218" s="64">
        <v>41632</v>
      </c>
      <c r="E218">
        <v>2.2720031091321147E-3</v>
      </c>
      <c r="F218">
        <v>4.3492708475530453E-2</v>
      </c>
      <c r="G218" s="40">
        <f t="shared" si="9"/>
        <v>0</v>
      </c>
      <c r="H218" s="33">
        <f t="shared" si="10"/>
        <v>-4.3492708475530453E-2</v>
      </c>
      <c r="I218" s="43"/>
      <c r="K218"/>
      <c r="L218"/>
    </row>
    <row r="219" spans="2:12" ht="15">
      <c r="B219" s="32">
        <v>1</v>
      </c>
      <c r="C219" s="66" t="s">
        <v>62</v>
      </c>
      <c r="D219" s="64">
        <v>41634</v>
      </c>
      <c r="E219">
        <v>-2.1140531893273362E-3</v>
      </c>
      <c r="F219">
        <v>4.380677956983281E-2</v>
      </c>
      <c r="G219" s="40">
        <f t="shared" si="9"/>
        <v>0</v>
      </c>
      <c r="H219" s="33">
        <f t="shared" si="10"/>
        <v>-4.380677956983281E-2</v>
      </c>
      <c r="I219" s="43"/>
      <c r="K219"/>
      <c r="L219"/>
    </row>
    <row r="220" spans="2:12" ht="15">
      <c r="B220" s="32">
        <v>1</v>
      </c>
      <c r="C220" s="66" t="s">
        <v>62</v>
      </c>
      <c r="D220" s="64">
        <v>41635</v>
      </c>
      <c r="E220">
        <v>5.2661866371384036E-4</v>
      </c>
      <c r="F220">
        <v>4.3840273605899857E-2</v>
      </c>
      <c r="G220" s="40">
        <f t="shared" si="9"/>
        <v>0</v>
      </c>
      <c r="H220" s="33">
        <f t="shared" si="10"/>
        <v>-4.3840273605899857E-2</v>
      </c>
      <c r="I220" s="43"/>
      <c r="K220"/>
      <c r="L220"/>
    </row>
    <row r="221" spans="2:12" ht="15">
      <c r="B221" s="32">
        <v>1</v>
      </c>
      <c r="C221" s="66" t="s">
        <v>62</v>
      </c>
      <c r="D221" s="64">
        <v>41638</v>
      </c>
      <c r="E221">
        <v>-1.1950077931792258E-2</v>
      </c>
      <c r="F221">
        <v>4.3806654493363989E-2</v>
      </c>
      <c r="G221" s="40">
        <f t="shared" si="9"/>
        <v>0</v>
      </c>
      <c r="H221" s="33">
        <f t="shared" si="10"/>
        <v>-4.3806654493363989E-2</v>
      </c>
      <c r="I221" s="43"/>
      <c r="K221"/>
      <c r="L221"/>
    </row>
    <row r="222" spans="2:12" ht="15">
      <c r="B222" s="32">
        <v>1</v>
      </c>
      <c r="C222" s="66" t="s">
        <v>62</v>
      </c>
      <c r="D222" s="64">
        <v>41639</v>
      </c>
      <c r="E222">
        <v>-5.142057969569791E-3</v>
      </c>
      <c r="F222">
        <v>4.3978025654111165E-2</v>
      </c>
      <c r="G222" s="40">
        <f t="shared" si="9"/>
        <v>0</v>
      </c>
      <c r="H222" s="33">
        <f t="shared" si="10"/>
        <v>-4.3978025654111165E-2</v>
      </c>
      <c r="I222" s="43"/>
      <c r="K222"/>
      <c r="L222"/>
    </row>
    <row r="223" spans="2:12" ht="15">
      <c r="B223" s="32">
        <v>1</v>
      </c>
      <c r="C223" s="66" t="s">
        <v>62</v>
      </c>
      <c r="D223" s="64">
        <v>41641</v>
      </c>
      <c r="E223">
        <v>8.9122442470825902E-3</v>
      </c>
      <c r="F223">
        <v>4.6482016566382955E-2</v>
      </c>
      <c r="G223" s="40">
        <f t="shared" si="9"/>
        <v>0</v>
      </c>
      <c r="H223" s="33">
        <f t="shared" si="10"/>
        <v>-4.6482016566382955E-2</v>
      </c>
      <c r="I223" s="43"/>
      <c r="K223"/>
      <c r="L223"/>
    </row>
    <row r="224" spans="2:12" ht="15">
      <c r="B224" s="32">
        <v>1</v>
      </c>
      <c r="C224" s="66" t="s">
        <v>62</v>
      </c>
      <c r="D224" s="64">
        <v>41642</v>
      </c>
      <c r="E224">
        <v>7.8972362159923648E-3</v>
      </c>
      <c r="F224">
        <v>4.6038175303385227E-2</v>
      </c>
      <c r="G224" s="40">
        <f t="shared" si="9"/>
        <v>0</v>
      </c>
      <c r="H224" s="33">
        <f t="shared" si="10"/>
        <v>-4.6038175303385227E-2</v>
      </c>
      <c r="I224" s="43"/>
      <c r="K224"/>
      <c r="L224"/>
    </row>
    <row r="225" spans="2:12" ht="15">
      <c r="B225" s="32">
        <v>1</v>
      </c>
      <c r="C225" s="66" t="s">
        <v>62</v>
      </c>
      <c r="D225" s="64">
        <v>41645</v>
      </c>
      <c r="E225">
        <v>6.5093825452144927E-3</v>
      </c>
      <c r="F225">
        <v>4.6239245448800405E-2</v>
      </c>
      <c r="G225" s="40">
        <f t="shared" si="9"/>
        <v>0</v>
      </c>
      <c r="H225" s="33">
        <f t="shared" si="10"/>
        <v>-4.6239245448800405E-2</v>
      </c>
      <c r="I225" s="43"/>
      <c r="K225"/>
      <c r="L225"/>
    </row>
    <row r="226" spans="2:12" ht="15">
      <c r="B226" s="32">
        <v>1</v>
      </c>
      <c r="C226" s="66" t="s">
        <v>62</v>
      </c>
      <c r="D226" s="64">
        <v>41646</v>
      </c>
      <c r="E226">
        <v>3.2159497921728786E-3</v>
      </c>
      <c r="F226">
        <v>4.6065668699831849E-2</v>
      </c>
      <c r="G226" s="40">
        <f t="shared" si="9"/>
        <v>0</v>
      </c>
      <c r="H226" s="33">
        <f t="shared" si="10"/>
        <v>-4.6065668699831849E-2</v>
      </c>
      <c r="I226" s="43"/>
      <c r="K226"/>
      <c r="L226"/>
    </row>
    <row r="227" spans="2:12" ht="15">
      <c r="B227" s="32">
        <v>1</v>
      </c>
      <c r="C227" s="66" t="s">
        <v>62</v>
      </c>
      <c r="D227" s="64">
        <v>41647</v>
      </c>
      <c r="E227">
        <v>4.0028812529255831E-3</v>
      </c>
      <c r="F227">
        <v>4.3048253302792001E-2</v>
      </c>
      <c r="G227" s="40">
        <f t="shared" si="9"/>
        <v>0</v>
      </c>
      <c r="H227" s="33">
        <f t="shared" si="10"/>
        <v>-4.3048253302792001E-2</v>
      </c>
      <c r="I227" s="43"/>
      <c r="K227"/>
      <c r="L227"/>
    </row>
    <row r="228" spans="2:12" ht="15">
      <c r="B228" s="32">
        <v>1</v>
      </c>
      <c r="C228" s="66" t="s">
        <v>62</v>
      </c>
      <c r="D228" s="64">
        <v>41648</v>
      </c>
      <c r="E228">
        <v>-5.2746920217199289E-3</v>
      </c>
      <c r="F228">
        <v>4.3023378545263509E-2</v>
      </c>
      <c r="G228" s="40">
        <f t="shared" si="9"/>
        <v>0</v>
      </c>
      <c r="H228" s="33">
        <f t="shared" si="10"/>
        <v>-4.3023378545263509E-2</v>
      </c>
      <c r="I228" s="43"/>
      <c r="K228"/>
      <c r="L228"/>
    </row>
    <row r="229" spans="2:12" ht="15">
      <c r="B229" s="32">
        <v>1</v>
      </c>
      <c r="C229" s="66" t="s">
        <v>62</v>
      </c>
      <c r="D229" s="64">
        <v>41649</v>
      </c>
      <c r="E229">
        <v>-2.8675143881248033E-2</v>
      </c>
      <c r="F229">
        <v>4.2555376857833144E-2</v>
      </c>
      <c r="G229" s="40">
        <f t="shared" si="9"/>
        <v>0</v>
      </c>
      <c r="H229" s="33">
        <f t="shared" si="10"/>
        <v>-4.2555376857833144E-2</v>
      </c>
      <c r="I229" s="43"/>
      <c r="K229"/>
      <c r="L229"/>
    </row>
    <row r="230" spans="2:12" ht="15">
      <c r="B230" s="32">
        <v>1</v>
      </c>
      <c r="C230" s="66" t="s">
        <v>62</v>
      </c>
      <c r="D230" s="64">
        <v>41652</v>
      </c>
      <c r="E230">
        <v>-2.0907398981981018E-2</v>
      </c>
      <c r="F230">
        <v>4.35983722204277E-2</v>
      </c>
      <c r="G230" s="40">
        <f t="shared" si="9"/>
        <v>0</v>
      </c>
      <c r="H230" s="33">
        <f t="shared" si="10"/>
        <v>-4.35983722204277E-2</v>
      </c>
      <c r="I230" s="43"/>
      <c r="K230"/>
      <c r="L230"/>
    </row>
    <row r="231" spans="2:12" ht="15">
      <c r="B231" s="32">
        <v>1</v>
      </c>
      <c r="C231" s="66" t="s">
        <v>62</v>
      </c>
      <c r="D231" s="64">
        <v>41653</v>
      </c>
      <c r="E231">
        <v>-2.5545399865719354E-2</v>
      </c>
      <c r="F231">
        <v>4.5511635283012546E-2</v>
      </c>
      <c r="G231" s="40">
        <f t="shared" si="9"/>
        <v>0</v>
      </c>
      <c r="H231" s="33">
        <f t="shared" si="10"/>
        <v>-4.5511635283012546E-2</v>
      </c>
      <c r="I231" s="43"/>
      <c r="K231"/>
      <c r="L231"/>
    </row>
    <row r="232" spans="2:12" ht="15">
      <c r="B232" s="32">
        <v>1</v>
      </c>
      <c r="C232" s="66" t="s">
        <v>62</v>
      </c>
      <c r="D232" s="64">
        <v>41654</v>
      </c>
      <c r="E232">
        <v>-4.095999300544495E-2</v>
      </c>
      <c r="F232">
        <v>4.573924813618957E-2</v>
      </c>
      <c r="G232" s="40">
        <f t="shared" si="9"/>
        <v>0</v>
      </c>
      <c r="H232" s="33">
        <f t="shared" si="10"/>
        <v>-4.573924813618957E-2</v>
      </c>
      <c r="I232" s="43"/>
      <c r="K232"/>
      <c r="L232"/>
    </row>
    <row r="233" spans="2:12" ht="15">
      <c r="B233" s="32">
        <v>1</v>
      </c>
      <c r="C233" s="66" t="s">
        <v>62</v>
      </c>
      <c r="D233" s="64">
        <v>41655</v>
      </c>
      <c r="E233">
        <v>-2.8407920403408227E-2</v>
      </c>
      <c r="F233">
        <v>4.5404218531243108E-2</v>
      </c>
      <c r="G233" s="40">
        <f t="shared" si="9"/>
        <v>0</v>
      </c>
      <c r="H233" s="33">
        <f t="shared" si="10"/>
        <v>-4.5404218531243108E-2</v>
      </c>
      <c r="I233" s="43"/>
      <c r="K233"/>
      <c r="L233"/>
    </row>
    <row r="234" spans="2:12" ht="15">
      <c r="B234" s="32">
        <v>1</v>
      </c>
      <c r="C234" s="66" t="s">
        <v>62</v>
      </c>
      <c r="D234" s="64">
        <v>41656</v>
      </c>
      <c r="E234">
        <v>-3.0991429686483052E-2</v>
      </c>
      <c r="F234">
        <v>4.5643049400129566E-2</v>
      </c>
      <c r="G234" s="40">
        <f t="shared" si="9"/>
        <v>0</v>
      </c>
      <c r="H234" s="33">
        <f t="shared" si="10"/>
        <v>-4.5643049400129566E-2</v>
      </c>
      <c r="I234" s="43"/>
      <c r="K234"/>
      <c r="L234"/>
    </row>
    <row r="235" spans="2:12" ht="15">
      <c r="B235" s="32">
        <v>1</v>
      </c>
      <c r="C235" s="66" t="s">
        <v>62</v>
      </c>
      <c r="D235" s="64">
        <v>41660</v>
      </c>
      <c r="E235">
        <v>-5.6857946719455654E-2</v>
      </c>
      <c r="F235">
        <v>3.8143903081037309E-2</v>
      </c>
      <c r="G235" s="40">
        <f t="shared" si="9"/>
        <v>1</v>
      </c>
      <c r="H235" s="33">
        <f t="shared" si="10"/>
        <v>-3.8143903081037309E-2</v>
      </c>
      <c r="I235" s="43">
        <f t="shared" ref="I197:I236" si="11">IF(G235=0,"",E235)</f>
        <v>-5.6857946719455654E-2</v>
      </c>
      <c r="K235"/>
      <c r="L235"/>
    </row>
    <row r="236" spans="2:12" ht="15">
      <c r="B236" s="32">
        <v>1</v>
      </c>
      <c r="C236" s="66" t="s">
        <v>62</v>
      </c>
      <c r="D236" s="64">
        <v>41661</v>
      </c>
      <c r="E236">
        <v>-4.9820603102111782E-2</v>
      </c>
      <c r="F236">
        <v>3.8070583384195084E-2</v>
      </c>
      <c r="G236" s="40">
        <f t="shared" si="9"/>
        <v>1</v>
      </c>
      <c r="H236" s="33">
        <f t="shared" si="10"/>
        <v>-3.8070583384195084E-2</v>
      </c>
      <c r="I236" s="43">
        <f t="shared" si="11"/>
        <v>-4.9820603102111782E-2</v>
      </c>
      <c r="K236"/>
      <c r="L236"/>
    </row>
    <row r="237" spans="2:12" ht="15">
      <c r="B237" s="32">
        <v>1</v>
      </c>
      <c r="C237" s="66" t="s">
        <v>62</v>
      </c>
      <c r="D237" s="64">
        <v>41662</v>
      </c>
      <c r="E237">
        <v>-4.2921560672315451E-2</v>
      </c>
      <c r="F237">
        <v>4.0578210882737935E-2</v>
      </c>
      <c r="G237" s="40">
        <f t="shared" si="9"/>
        <v>1</v>
      </c>
      <c r="H237" s="33">
        <f t="shared" si="10"/>
        <v>-4.0578210882737935E-2</v>
      </c>
      <c r="I237" s="43">
        <f>IF(G237=0,"",E237)</f>
        <v>-4.2921560672315451E-2</v>
      </c>
      <c r="K237"/>
      <c r="L237"/>
    </row>
    <row r="238" spans="2:12" ht="15">
      <c r="B238" s="32">
        <v>1</v>
      </c>
      <c r="C238" s="66" t="s">
        <v>62</v>
      </c>
      <c r="D238" s="64">
        <v>41663</v>
      </c>
      <c r="E238">
        <v>-9.4620847602149283E-3</v>
      </c>
      <c r="F238">
        <v>5.2180434916986748E-2</v>
      </c>
      <c r="G238" s="40">
        <f t="shared" si="9"/>
        <v>0</v>
      </c>
      <c r="H238" s="33">
        <f t="shared" si="10"/>
        <v>-5.2180434916986748E-2</v>
      </c>
      <c r="I238" s="43"/>
      <c r="K238"/>
      <c r="L238"/>
    </row>
    <row r="239" spans="2:12" ht="15">
      <c r="B239" s="32">
        <v>1</v>
      </c>
      <c r="C239" s="66" t="s">
        <v>62</v>
      </c>
      <c r="D239" s="64">
        <v>41666</v>
      </c>
      <c r="E239">
        <v>8.6403304323328101E-3</v>
      </c>
      <c r="F239">
        <v>5.2103649861855783E-2</v>
      </c>
      <c r="G239" s="40">
        <f t="shared" si="9"/>
        <v>0</v>
      </c>
      <c r="H239" s="33">
        <f t="shared" si="10"/>
        <v>-5.2103649861855783E-2</v>
      </c>
      <c r="I239" s="43"/>
      <c r="K239"/>
      <c r="L239"/>
    </row>
    <row r="240" spans="2:12" ht="15">
      <c r="B240" s="32">
        <v>1</v>
      </c>
      <c r="C240" s="66" t="s">
        <v>62</v>
      </c>
      <c r="D240" s="64">
        <v>41667</v>
      </c>
      <c r="E240">
        <v>4.0864596801721831E-3</v>
      </c>
      <c r="F240">
        <v>5.2588448313126028E-2</v>
      </c>
      <c r="G240" s="40">
        <f t="shared" si="9"/>
        <v>0</v>
      </c>
      <c r="H240" s="33">
        <f t="shared" si="10"/>
        <v>-5.2588448313126028E-2</v>
      </c>
      <c r="I240" s="43"/>
      <c r="K240"/>
      <c r="L240"/>
    </row>
    <row r="241" spans="2:12" ht="15">
      <c r="B241" s="32">
        <v>1</v>
      </c>
      <c r="C241" s="66" t="s">
        <v>62</v>
      </c>
      <c r="D241" s="64">
        <v>41668</v>
      </c>
      <c r="E241">
        <v>2.5349539529962328E-2</v>
      </c>
      <c r="F241">
        <v>5.4477380419124838E-2</v>
      </c>
      <c r="G241" s="40">
        <f t="shared" si="9"/>
        <v>0</v>
      </c>
      <c r="H241" s="33">
        <f t="shared" si="10"/>
        <v>-5.4477380419124838E-2</v>
      </c>
      <c r="I241" s="43"/>
      <c r="K241"/>
      <c r="L241"/>
    </row>
    <row r="242" spans="2:12" ht="15">
      <c r="B242" s="32">
        <v>1</v>
      </c>
      <c r="C242" s="66" t="s">
        <v>62</v>
      </c>
      <c r="D242" s="64">
        <v>41669</v>
      </c>
      <c r="E242">
        <v>1.3876196768404014E-2</v>
      </c>
      <c r="F242">
        <v>5.8307297229654588E-2</v>
      </c>
      <c r="G242" s="40">
        <f t="shared" si="9"/>
        <v>0</v>
      </c>
      <c r="H242" s="33">
        <f t="shared" si="10"/>
        <v>-5.8307297229654588E-2</v>
      </c>
      <c r="I242" s="43"/>
      <c r="K242"/>
      <c r="L242"/>
    </row>
    <row r="243" spans="2:12" ht="15">
      <c r="B243" s="32">
        <v>1</v>
      </c>
      <c r="C243" s="66" t="s">
        <v>62</v>
      </c>
      <c r="D243" s="64">
        <v>41670</v>
      </c>
      <c r="E243">
        <v>2.6155698475487377E-2</v>
      </c>
      <c r="F243">
        <v>5.820569367768854E-2</v>
      </c>
      <c r="G243" s="40">
        <f t="shared" si="9"/>
        <v>0</v>
      </c>
      <c r="H243" s="33">
        <f t="shared" si="10"/>
        <v>-5.820569367768854E-2</v>
      </c>
      <c r="I243" s="43"/>
      <c r="K243"/>
      <c r="L243"/>
    </row>
    <row r="244" spans="2:12" ht="15">
      <c r="B244" s="32">
        <v>1</v>
      </c>
      <c r="C244" s="66" t="s">
        <v>62</v>
      </c>
      <c r="D244" s="64">
        <v>41673</v>
      </c>
      <c r="E244">
        <v>5.4049992558119264E-2</v>
      </c>
      <c r="F244">
        <v>6.6771888707427604E-2</v>
      </c>
      <c r="G244" s="40">
        <f t="shared" si="9"/>
        <v>0</v>
      </c>
      <c r="H244" s="33">
        <f t="shared" si="10"/>
        <v>-6.6771888707427604E-2</v>
      </c>
      <c r="I244" s="43"/>
      <c r="K244"/>
      <c r="L244"/>
    </row>
    <row r="245" spans="2:12" ht="15">
      <c r="B245" s="32">
        <v>1</v>
      </c>
      <c r="C245" s="66" t="s">
        <v>62</v>
      </c>
      <c r="D245" s="64">
        <v>41674</v>
      </c>
      <c r="E245">
        <v>4.7595752630935628E-2</v>
      </c>
      <c r="F245">
        <v>6.8630108159120101E-2</v>
      </c>
      <c r="G245" s="40">
        <f t="shared" si="9"/>
        <v>0</v>
      </c>
      <c r="H245" s="33">
        <f t="shared" si="10"/>
        <v>-6.8630108159120101E-2</v>
      </c>
      <c r="I245" s="43"/>
      <c r="K245"/>
      <c r="L245"/>
    </row>
    <row r="246" spans="2:12" ht="15">
      <c r="B246" s="32">
        <v>1</v>
      </c>
      <c r="C246" s="66" t="s">
        <v>62</v>
      </c>
      <c r="D246" s="64">
        <v>41675</v>
      </c>
      <c r="E246">
        <v>4.3080172840443964E-2</v>
      </c>
      <c r="F246">
        <v>6.8625116562127872E-2</v>
      </c>
      <c r="G246" s="40">
        <f t="shared" si="9"/>
        <v>0</v>
      </c>
      <c r="H246" s="33">
        <f t="shared" si="10"/>
        <v>-6.8625116562127872E-2</v>
      </c>
      <c r="I246" s="43"/>
      <c r="K246"/>
      <c r="L246"/>
    </row>
    <row r="247" spans="2:12" ht="15">
      <c r="B247" s="32">
        <v>1</v>
      </c>
      <c r="C247" s="66" t="s">
        <v>62</v>
      </c>
      <c r="D247" s="64">
        <v>41676</v>
      </c>
      <c r="E247">
        <v>3.6730460090346639E-2</v>
      </c>
      <c r="F247">
        <v>7.1320287989864381E-2</v>
      </c>
      <c r="G247" s="40">
        <f t="shared" si="9"/>
        <v>0</v>
      </c>
      <c r="H247" s="33">
        <f t="shared" si="10"/>
        <v>-7.1320287989864381E-2</v>
      </c>
      <c r="I247" s="43"/>
      <c r="K247"/>
      <c r="L247"/>
    </row>
    <row r="248" spans="2:12" ht="15">
      <c r="B248" s="32">
        <v>1</v>
      </c>
      <c r="C248" s="66" t="s">
        <v>62</v>
      </c>
      <c r="D248" s="64">
        <v>41677</v>
      </c>
      <c r="E248">
        <v>2.1595699976380445E-2</v>
      </c>
      <c r="F248">
        <v>7.5227974663474473E-2</v>
      </c>
      <c r="G248" s="40">
        <f t="shared" si="9"/>
        <v>0</v>
      </c>
      <c r="H248" s="33">
        <f t="shared" si="10"/>
        <v>-7.5227974663474473E-2</v>
      </c>
      <c r="I248" s="43"/>
      <c r="K248"/>
      <c r="L248"/>
    </row>
    <row r="249" spans="2:12" ht="15">
      <c r="B249" s="32">
        <v>1</v>
      </c>
      <c r="C249" s="66" t="s">
        <v>62</v>
      </c>
      <c r="D249" s="64">
        <v>41680</v>
      </c>
      <c r="E249">
        <v>2.6195150696191938E-2</v>
      </c>
      <c r="F249">
        <v>7.5315216793465548E-2</v>
      </c>
      <c r="G249" s="40">
        <f t="shared" si="9"/>
        <v>0</v>
      </c>
      <c r="H249" s="33">
        <f t="shared" si="10"/>
        <v>-7.5315216793465548E-2</v>
      </c>
      <c r="I249" s="43"/>
      <c r="K249"/>
      <c r="L249"/>
    </row>
    <row r="250" spans="2:12" ht="15">
      <c r="B250" s="32">
        <v>1</v>
      </c>
      <c r="C250" s="66" t="s">
        <v>62</v>
      </c>
      <c r="D250" s="64">
        <v>41681</v>
      </c>
      <c r="E250">
        <v>1.3845184301764846E-2</v>
      </c>
      <c r="F250">
        <v>7.7607700018131429E-2</v>
      </c>
      <c r="G250" s="40">
        <f t="shared" si="9"/>
        <v>0</v>
      </c>
      <c r="H250" s="33">
        <f t="shared" si="10"/>
        <v>-7.7607700018131429E-2</v>
      </c>
      <c r="I250" s="43"/>
      <c r="K250"/>
      <c r="L250"/>
    </row>
    <row r="251" spans="2:12" ht="15">
      <c r="B251" s="32">
        <v>1</v>
      </c>
      <c r="C251" s="66" t="s">
        <v>62</v>
      </c>
      <c r="D251" s="64">
        <v>41682</v>
      </c>
      <c r="E251">
        <v>1.4136182528909025E-2</v>
      </c>
      <c r="F251">
        <v>7.4895894824467138E-2</v>
      </c>
      <c r="G251" s="40">
        <f t="shared" si="9"/>
        <v>0</v>
      </c>
      <c r="H251" s="33">
        <f t="shared" si="10"/>
        <v>-7.4895894824467138E-2</v>
      </c>
      <c r="I251" s="43"/>
      <c r="K251"/>
      <c r="L251"/>
    </row>
    <row r="252" spans="2:12" ht="15">
      <c r="B252" s="32">
        <v>1</v>
      </c>
      <c r="C252" s="66" t="s">
        <v>62</v>
      </c>
      <c r="D252" s="64">
        <v>41683</v>
      </c>
      <c r="E252">
        <v>1.3278852180943268E-2</v>
      </c>
      <c r="F252">
        <v>7.337433480336282E-2</v>
      </c>
      <c r="G252" s="40">
        <f t="shared" si="9"/>
        <v>0</v>
      </c>
      <c r="H252" s="33">
        <f t="shared" si="10"/>
        <v>-7.337433480336282E-2</v>
      </c>
      <c r="I252" s="43"/>
      <c r="K252"/>
      <c r="L252"/>
    </row>
    <row r="253" spans="2:12" ht="15">
      <c r="B253" s="32">
        <v>1</v>
      </c>
      <c r="C253" s="66" t="s">
        <v>62</v>
      </c>
      <c r="D253" s="64">
        <v>41684</v>
      </c>
      <c r="E253">
        <v>1.1259986924382126E-2</v>
      </c>
      <c r="F253">
        <v>7.3305941909165881E-2</v>
      </c>
      <c r="G253" s="40">
        <f t="shared" si="9"/>
        <v>0</v>
      </c>
      <c r="H253" s="33">
        <f t="shared" si="10"/>
        <v>-7.3305941909165881E-2</v>
      </c>
      <c r="I253" s="43"/>
      <c r="K253"/>
      <c r="L253"/>
    </row>
    <row r="254" spans="2:12" ht="15">
      <c r="B254" s="32">
        <v>1</v>
      </c>
      <c r="C254" s="66" t="s">
        <v>62</v>
      </c>
      <c r="D254" s="64">
        <v>41688</v>
      </c>
      <c r="E254">
        <v>2.6963171062490687E-3</v>
      </c>
      <c r="F254">
        <v>7.331492058936423E-2</v>
      </c>
      <c r="G254" s="40">
        <f t="shared" si="9"/>
        <v>0</v>
      </c>
      <c r="H254" s="33">
        <f t="shared" si="10"/>
        <v>-7.331492058936423E-2</v>
      </c>
      <c r="I254" s="43"/>
      <c r="K254"/>
      <c r="L254"/>
    </row>
    <row r="255" spans="2:12" ht="15">
      <c r="B255" s="32">
        <v>1</v>
      </c>
      <c r="C255" s="66" t="s">
        <v>62</v>
      </c>
      <c r="D255" s="64">
        <v>41689</v>
      </c>
      <c r="E255">
        <v>2.4394501840986571E-2</v>
      </c>
      <c r="F255">
        <v>7.3803867566561446E-2</v>
      </c>
      <c r="G255" s="40">
        <f t="shared" si="9"/>
        <v>0</v>
      </c>
      <c r="H255" s="33">
        <f t="shared" si="10"/>
        <v>-7.3803867566561446E-2</v>
      </c>
      <c r="I255" s="43"/>
      <c r="K255"/>
      <c r="L255"/>
    </row>
    <row r="256" spans="2:12" ht="15">
      <c r="B256" s="32">
        <v>1</v>
      </c>
      <c r="C256" s="66" t="s">
        <v>62</v>
      </c>
      <c r="D256" s="64">
        <v>41690</v>
      </c>
      <c r="E256">
        <v>1.8327807738446111E-2</v>
      </c>
      <c r="F256">
        <v>7.4345662025530751E-2</v>
      </c>
      <c r="G256" s="40">
        <f t="shared" si="9"/>
        <v>0</v>
      </c>
      <c r="H256" s="33">
        <f t="shared" si="10"/>
        <v>-7.4345662025530751E-2</v>
      </c>
      <c r="I256" s="43"/>
      <c r="K256"/>
      <c r="L256"/>
    </row>
    <row r="257" spans="2:12" ht="15">
      <c r="B257" s="32">
        <v>1</v>
      </c>
      <c r="C257" s="66" t="s">
        <v>62</v>
      </c>
      <c r="D257" s="64">
        <v>41691</v>
      </c>
      <c r="E257">
        <v>2.1965307372154186E-2</v>
      </c>
      <c r="F257">
        <v>7.4391928092878715E-2</v>
      </c>
      <c r="G257" s="40">
        <f t="shared" si="9"/>
        <v>0</v>
      </c>
      <c r="H257" s="33">
        <f t="shared" si="10"/>
        <v>-7.4391928092878715E-2</v>
      </c>
      <c r="I257" s="43"/>
      <c r="K257"/>
      <c r="L257"/>
    </row>
    <row r="258" spans="2:12" ht="15">
      <c r="B258" s="32">
        <v>1</v>
      </c>
      <c r="C258" s="66" t="s">
        <v>62</v>
      </c>
      <c r="D258" s="64">
        <v>41694</v>
      </c>
      <c r="E258">
        <v>1.6335796712099615E-2</v>
      </c>
      <c r="F258">
        <v>7.3553829774065382E-2</v>
      </c>
      <c r="G258" s="40">
        <f t="shared" si="9"/>
        <v>0</v>
      </c>
      <c r="H258" s="33">
        <f t="shared" si="10"/>
        <v>-7.3553829774065382E-2</v>
      </c>
      <c r="I258" s="43"/>
      <c r="K258"/>
      <c r="L258"/>
    </row>
    <row r="259" spans="2:12" ht="15">
      <c r="B259" s="32">
        <v>1</v>
      </c>
      <c r="C259" s="66" t="s">
        <v>62</v>
      </c>
      <c r="D259" s="64">
        <v>41695</v>
      </c>
      <c r="E259">
        <v>1.7221033683299858E-2</v>
      </c>
      <c r="F259">
        <v>6.4089836382036733E-2</v>
      </c>
      <c r="G259" s="40">
        <f t="shared" si="9"/>
        <v>0</v>
      </c>
      <c r="H259" s="33">
        <f t="shared" si="10"/>
        <v>-6.4089836382036733E-2</v>
      </c>
      <c r="I259" s="43"/>
      <c r="K259"/>
      <c r="L259"/>
    </row>
    <row r="260" spans="2:12" ht="15">
      <c r="B260" s="32">
        <v>1</v>
      </c>
      <c r="C260" s="66" t="s">
        <v>62</v>
      </c>
      <c r="D260" s="64">
        <v>41696</v>
      </c>
      <c r="E260">
        <v>1.2104237033444321E-2</v>
      </c>
      <c r="F260">
        <v>6.3257990588165003E-2</v>
      </c>
      <c r="G260" s="40">
        <f t="shared" si="9"/>
        <v>0</v>
      </c>
      <c r="H260" s="33">
        <f t="shared" si="10"/>
        <v>-6.3257990588165003E-2</v>
      </c>
      <c r="I260" s="43"/>
      <c r="K260"/>
      <c r="L260"/>
    </row>
    <row r="261" spans="2:12" ht="15">
      <c r="B261" s="32">
        <v>1</v>
      </c>
      <c r="C261" s="66" t="s">
        <v>62</v>
      </c>
      <c r="D261" s="64">
        <v>41697</v>
      </c>
      <c r="E261">
        <v>7.4734797298132705E-3</v>
      </c>
      <c r="F261">
        <v>6.3060495033486347E-2</v>
      </c>
      <c r="G261" s="40">
        <f t="shared" si="9"/>
        <v>0</v>
      </c>
      <c r="H261" s="33">
        <f t="shared" si="10"/>
        <v>-6.3060495033486347E-2</v>
      </c>
      <c r="I261" s="43"/>
      <c r="K261"/>
      <c r="L261"/>
    </row>
    <row r="262" spans="2:12" ht="15">
      <c r="B262" s="32">
        <v>1</v>
      </c>
      <c r="C262" s="66" t="s">
        <v>62</v>
      </c>
      <c r="D262" s="64">
        <v>41698</v>
      </c>
      <c r="E262">
        <v>-7.0754359993596694E-3</v>
      </c>
      <c r="F262">
        <v>5.9806106898481766E-2</v>
      </c>
      <c r="G262" s="40">
        <f t="shared" ref="G262:G325" si="12">--(E262&lt;-F262)</f>
        <v>0</v>
      </c>
      <c r="H262" s="33">
        <f t="shared" ref="H262:H325" si="13">-F262</f>
        <v>-5.9806106898481766E-2</v>
      </c>
      <c r="I262" s="43"/>
      <c r="K262"/>
      <c r="L262"/>
    </row>
    <row r="263" spans="2:12" ht="15">
      <c r="B263" s="32">
        <v>1</v>
      </c>
      <c r="C263" s="66" t="s">
        <v>62</v>
      </c>
      <c r="D263" s="64">
        <v>41701</v>
      </c>
      <c r="E263">
        <v>-2.4953360884900633E-3</v>
      </c>
      <c r="F263">
        <v>5.9715634736415273E-2</v>
      </c>
      <c r="G263" s="40">
        <f t="shared" si="12"/>
        <v>0</v>
      </c>
      <c r="H263" s="33">
        <f t="shared" si="13"/>
        <v>-5.9715634736415273E-2</v>
      </c>
      <c r="I263" s="43"/>
      <c r="K263"/>
      <c r="L263"/>
    </row>
    <row r="264" spans="2:12" ht="15">
      <c r="B264" s="32">
        <v>1</v>
      </c>
      <c r="C264" s="66" t="s">
        <v>62</v>
      </c>
      <c r="D264" s="64">
        <v>41702</v>
      </c>
      <c r="E264">
        <v>-8.079941320737305E-3</v>
      </c>
      <c r="F264">
        <v>6.2089554484654232E-2</v>
      </c>
      <c r="G264" s="40">
        <f t="shared" si="12"/>
        <v>0</v>
      </c>
      <c r="H264" s="33">
        <f t="shared" si="13"/>
        <v>-6.2089554484654232E-2</v>
      </c>
      <c r="I264" s="43"/>
      <c r="K264"/>
      <c r="L264"/>
    </row>
    <row r="265" spans="2:12" ht="15">
      <c r="B265" s="32">
        <v>1</v>
      </c>
      <c r="C265" s="66" t="s">
        <v>62</v>
      </c>
      <c r="D265" s="64">
        <v>41703</v>
      </c>
      <c r="E265">
        <v>-8.3290660887325174E-4</v>
      </c>
      <c r="F265">
        <v>4.5238471321986967E-2</v>
      </c>
      <c r="G265" s="40">
        <f t="shared" si="12"/>
        <v>0</v>
      </c>
      <c r="H265" s="33">
        <f t="shared" si="13"/>
        <v>-4.5238471321986967E-2</v>
      </c>
      <c r="I265" s="43"/>
      <c r="K265"/>
      <c r="L265"/>
    </row>
    <row r="266" spans="2:12" ht="15">
      <c r="B266" s="32">
        <v>1</v>
      </c>
      <c r="C266" s="66" t="s">
        <v>62</v>
      </c>
      <c r="D266" s="64">
        <v>41704</v>
      </c>
      <c r="E266">
        <v>-8.7003645755876491E-3</v>
      </c>
      <c r="F266">
        <v>4.4767564835232559E-2</v>
      </c>
      <c r="G266" s="40">
        <f t="shared" si="12"/>
        <v>0</v>
      </c>
      <c r="H266" s="33">
        <f t="shared" si="13"/>
        <v>-4.4767564835232559E-2</v>
      </c>
      <c r="I266" s="43"/>
      <c r="K266"/>
      <c r="L266"/>
    </row>
    <row r="267" spans="2:12" ht="15">
      <c r="B267" s="32">
        <v>1</v>
      </c>
      <c r="C267" s="66" t="s">
        <v>62</v>
      </c>
      <c r="D267" s="64">
        <v>41705</v>
      </c>
      <c r="E267">
        <v>-3.2159753167757543E-3</v>
      </c>
      <c r="F267">
        <v>4.4141796315301275E-2</v>
      </c>
      <c r="G267" s="40">
        <f t="shared" si="12"/>
        <v>0</v>
      </c>
      <c r="H267" s="33">
        <f t="shared" si="13"/>
        <v>-4.4141796315301275E-2</v>
      </c>
      <c r="I267" s="43"/>
      <c r="K267"/>
      <c r="L267"/>
    </row>
    <row r="268" spans="2:12" ht="15">
      <c r="B268" s="32">
        <v>1</v>
      </c>
      <c r="C268" s="66" t="s">
        <v>62</v>
      </c>
      <c r="D268" s="64">
        <v>41708</v>
      </c>
      <c r="E268">
        <v>-5.6896017286414136E-3</v>
      </c>
      <c r="F268">
        <v>4.1768446880555352E-2</v>
      </c>
      <c r="G268" s="40">
        <f t="shared" si="12"/>
        <v>0</v>
      </c>
      <c r="H268" s="33">
        <f t="shared" si="13"/>
        <v>-4.1768446880555352E-2</v>
      </c>
      <c r="I268" s="43"/>
      <c r="K268"/>
      <c r="L268"/>
    </row>
    <row r="269" spans="2:12" ht="15">
      <c r="B269" s="32">
        <v>1</v>
      </c>
      <c r="C269" s="66" t="s">
        <v>62</v>
      </c>
      <c r="D269" s="64">
        <v>41709</v>
      </c>
      <c r="E269">
        <v>-5.4710862162528073E-3</v>
      </c>
      <c r="F269">
        <v>3.9590391994578721E-2</v>
      </c>
      <c r="G269" s="40">
        <f t="shared" si="12"/>
        <v>0</v>
      </c>
      <c r="H269" s="33">
        <f t="shared" si="13"/>
        <v>-3.9590391994578721E-2</v>
      </c>
      <c r="I269" s="43"/>
      <c r="K269"/>
      <c r="L269"/>
    </row>
    <row r="270" spans="2:12" ht="15">
      <c r="B270" s="32">
        <v>1</v>
      </c>
      <c r="C270" s="66" t="s">
        <v>62</v>
      </c>
      <c r="D270" s="64">
        <v>41710</v>
      </c>
      <c r="E270">
        <v>-1.3819393799936464E-3</v>
      </c>
      <c r="F270">
        <v>3.9665297792382322E-2</v>
      </c>
      <c r="G270" s="40">
        <f t="shared" si="12"/>
        <v>0</v>
      </c>
      <c r="H270" s="33">
        <f t="shared" si="13"/>
        <v>-3.9665297792382322E-2</v>
      </c>
      <c r="I270" s="43"/>
      <c r="K270"/>
      <c r="L270"/>
    </row>
    <row r="271" spans="2:12" ht="15">
      <c r="B271" s="32">
        <v>1</v>
      </c>
      <c r="C271" s="66" t="s">
        <v>62</v>
      </c>
      <c r="D271" s="64">
        <v>41711</v>
      </c>
      <c r="E271">
        <v>3.3632154537990289E-3</v>
      </c>
      <c r="F271">
        <v>4.2102818035816135E-2</v>
      </c>
      <c r="G271" s="40">
        <f t="shared" si="12"/>
        <v>0</v>
      </c>
      <c r="H271" s="33">
        <f t="shared" si="13"/>
        <v>-4.2102818035816135E-2</v>
      </c>
      <c r="I271" s="43"/>
      <c r="K271"/>
      <c r="L271"/>
    </row>
    <row r="272" spans="2:12" ht="15">
      <c r="B272" s="32">
        <v>1</v>
      </c>
      <c r="C272" s="66" t="s">
        <v>62</v>
      </c>
      <c r="D272" s="64">
        <v>41712</v>
      </c>
      <c r="E272">
        <v>4.2870903078453537E-3</v>
      </c>
      <c r="F272">
        <v>4.2459072134065225E-2</v>
      </c>
      <c r="G272" s="40">
        <f t="shared" si="12"/>
        <v>0</v>
      </c>
      <c r="H272" s="33">
        <f t="shared" si="13"/>
        <v>-4.2459072134065225E-2</v>
      </c>
      <c r="I272" s="43"/>
      <c r="K272"/>
      <c r="L272"/>
    </row>
    <row r="273" spans="2:12" ht="15">
      <c r="B273" s="32">
        <v>1</v>
      </c>
      <c r="C273" s="66" t="s">
        <v>62</v>
      </c>
      <c r="D273" s="64">
        <v>41715</v>
      </c>
      <c r="E273">
        <v>-6.5113807999761519E-4</v>
      </c>
      <c r="F273">
        <v>4.4115800614600027E-2</v>
      </c>
      <c r="G273" s="40">
        <f t="shared" si="12"/>
        <v>0</v>
      </c>
      <c r="H273" s="33">
        <f t="shared" si="13"/>
        <v>-4.4115800614600027E-2</v>
      </c>
      <c r="I273" s="43"/>
      <c r="K273"/>
      <c r="L273"/>
    </row>
    <row r="274" spans="2:12" ht="15">
      <c r="B274" s="32">
        <v>1</v>
      </c>
      <c r="C274" s="66" t="s">
        <v>62</v>
      </c>
      <c r="D274" s="64">
        <v>41716</v>
      </c>
      <c r="E274">
        <v>4.8051188960229752E-5</v>
      </c>
      <c r="F274">
        <v>4.4872041944338664E-2</v>
      </c>
      <c r="G274" s="40">
        <f t="shared" si="12"/>
        <v>0</v>
      </c>
      <c r="H274" s="33">
        <f t="shared" si="13"/>
        <v>-4.4872041944338664E-2</v>
      </c>
      <c r="I274" s="43"/>
      <c r="K274"/>
      <c r="L274"/>
    </row>
    <row r="275" spans="2:12" ht="15">
      <c r="B275" s="32">
        <v>1</v>
      </c>
      <c r="C275" s="66" t="s">
        <v>62</v>
      </c>
      <c r="D275" s="64">
        <v>41717</v>
      </c>
      <c r="E275">
        <v>1.3213264230632404E-2</v>
      </c>
      <c r="F275">
        <v>4.6254530671064227E-2</v>
      </c>
      <c r="G275" s="40">
        <f t="shared" si="12"/>
        <v>0</v>
      </c>
      <c r="H275" s="33">
        <f t="shared" si="13"/>
        <v>-4.6254530671064227E-2</v>
      </c>
      <c r="I275" s="43"/>
      <c r="K275"/>
      <c r="L275"/>
    </row>
    <row r="276" spans="2:12" ht="15">
      <c r="B276" s="32">
        <v>1</v>
      </c>
      <c r="C276" s="66" t="s">
        <v>62</v>
      </c>
      <c r="D276" s="64">
        <v>41718</v>
      </c>
      <c r="E276">
        <v>1.0040193634079486E-2</v>
      </c>
      <c r="F276">
        <v>4.5456619263694209E-2</v>
      </c>
      <c r="G276" s="40">
        <f t="shared" si="12"/>
        <v>0</v>
      </c>
      <c r="H276" s="33">
        <f t="shared" si="13"/>
        <v>-4.5456619263694209E-2</v>
      </c>
      <c r="I276" s="43"/>
      <c r="K276"/>
      <c r="L276"/>
    </row>
    <row r="277" spans="2:12" ht="15">
      <c r="B277" s="32">
        <v>1</v>
      </c>
      <c r="C277" s="66" t="s">
        <v>62</v>
      </c>
      <c r="D277" s="64">
        <v>41719</v>
      </c>
      <c r="E277">
        <v>1.1850088878895271E-2</v>
      </c>
      <c r="F277">
        <v>4.511544290063943E-2</v>
      </c>
      <c r="G277" s="40">
        <f t="shared" si="12"/>
        <v>0</v>
      </c>
      <c r="H277" s="33">
        <f t="shared" si="13"/>
        <v>-4.511544290063943E-2</v>
      </c>
      <c r="I277" s="43"/>
      <c r="K277"/>
      <c r="L277"/>
    </row>
    <row r="278" spans="2:12" ht="15">
      <c r="B278" s="32">
        <v>1</v>
      </c>
      <c r="C278" s="66" t="s">
        <v>62</v>
      </c>
      <c r="D278" s="64">
        <v>41722</v>
      </c>
      <c r="E278">
        <v>4.1101272309598258E-3</v>
      </c>
      <c r="F278">
        <v>4.5821816610097627E-2</v>
      </c>
      <c r="G278" s="40">
        <f t="shared" si="12"/>
        <v>0</v>
      </c>
      <c r="H278" s="33">
        <f t="shared" si="13"/>
        <v>-4.5821816610097627E-2</v>
      </c>
      <c r="I278" s="43"/>
      <c r="K278"/>
      <c r="L278"/>
    </row>
    <row r="279" spans="2:12" ht="15">
      <c r="B279" s="32">
        <v>1</v>
      </c>
      <c r="C279" s="66" t="s">
        <v>62</v>
      </c>
      <c r="D279" s="64">
        <v>41723</v>
      </c>
      <c r="E279">
        <v>-1.1092456236129422E-2</v>
      </c>
      <c r="F279">
        <v>4.5318871970905519E-2</v>
      </c>
      <c r="G279" s="40">
        <f t="shared" si="12"/>
        <v>0</v>
      </c>
      <c r="H279" s="33">
        <f t="shared" si="13"/>
        <v>-4.5318871970905519E-2</v>
      </c>
      <c r="I279" s="43"/>
      <c r="K279"/>
      <c r="L279"/>
    </row>
    <row r="280" spans="2:12" ht="15">
      <c r="B280" s="32">
        <v>1</v>
      </c>
      <c r="C280" s="66" t="s">
        <v>62</v>
      </c>
      <c r="D280" s="64">
        <v>41724</v>
      </c>
      <c r="E280">
        <v>-3.2398151555934618E-4</v>
      </c>
      <c r="F280">
        <v>4.6823660879135955E-2</v>
      </c>
      <c r="G280" s="40">
        <f t="shared" si="12"/>
        <v>0</v>
      </c>
      <c r="H280" s="33">
        <f t="shared" si="13"/>
        <v>-4.6823660879135955E-2</v>
      </c>
      <c r="I280" s="43"/>
      <c r="K280"/>
      <c r="L280"/>
    </row>
    <row r="281" spans="2:12" ht="15">
      <c r="B281" s="32">
        <v>1</v>
      </c>
      <c r="C281" s="66" t="s">
        <v>62</v>
      </c>
      <c r="D281" s="64">
        <v>41725</v>
      </c>
      <c r="E281">
        <v>1.2436949544126996E-2</v>
      </c>
      <c r="F281">
        <v>4.6944222046160743E-2</v>
      </c>
      <c r="G281" s="40">
        <f t="shared" si="12"/>
        <v>0</v>
      </c>
      <c r="H281" s="33">
        <f t="shared" si="13"/>
        <v>-4.6944222046160743E-2</v>
      </c>
      <c r="I281" s="43"/>
      <c r="K281"/>
      <c r="L281"/>
    </row>
    <row r="282" spans="2:12" ht="15">
      <c r="B282" s="32">
        <v>1</v>
      </c>
      <c r="C282" s="66" t="s">
        <v>62</v>
      </c>
      <c r="D282" s="64">
        <v>41726</v>
      </c>
      <c r="E282">
        <v>-1.3298507591619213E-2</v>
      </c>
      <c r="F282">
        <v>4.6861319662491657E-2</v>
      </c>
      <c r="G282" s="40">
        <f t="shared" si="12"/>
        <v>0</v>
      </c>
      <c r="H282" s="33">
        <f t="shared" si="13"/>
        <v>-4.6861319662491657E-2</v>
      </c>
      <c r="I282" s="43"/>
      <c r="K282"/>
      <c r="L282"/>
    </row>
    <row r="283" spans="2:12" ht="15">
      <c r="B283" s="32">
        <v>1</v>
      </c>
      <c r="C283" s="66" t="s">
        <v>62</v>
      </c>
      <c r="D283" s="64">
        <v>41729</v>
      </c>
      <c r="E283">
        <v>-3.072343906927788E-2</v>
      </c>
      <c r="F283">
        <v>4.8352116970726465E-2</v>
      </c>
      <c r="G283" s="40">
        <f t="shared" si="12"/>
        <v>0</v>
      </c>
      <c r="H283" s="33">
        <f t="shared" si="13"/>
        <v>-4.8352116970726465E-2</v>
      </c>
      <c r="I283" s="43"/>
      <c r="K283"/>
      <c r="L283"/>
    </row>
    <row r="284" spans="2:12" ht="15">
      <c r="B284" s="32">
        <v>1</v>
      </c>
      <c r="C284" s="66" t="s">
        <v>62</v>
      </c>
      <c r="D284" s="64">
        <v>41730</v>
      </c>
      <c r="E284">
        <v>-2.9554419083688721E-2</v>
      </c>
      <c r="F284">
        <v>4.7646554187242986E-2</v>
      </c>
      <c r="G284" s="40">
        <f t="shared" si="12"/>
        <v>0</v>
      </c>
      <c r="H284" s="33">
        <f t="shared" si="13"/>
        <v>-4.7646554187242986E-2</v>
      </c>
      <c r="I284" s="43"/>
      <c r="K284"/>
      <c r="L284"/>
    </row>
    <row r="285" spans="2:12" ht="15">
      <c r="B285" s="32">
        <v>1</v>
      </c>
      <c r="C285" s="66" t="s">
        <v>62</v>
      </c>
      <c r="D285" s="64">
        <v>41731</v>
      </c>
      <c r="E285">
        <v>-2.5669102992538662E-2</v>
      </c>
      <c r="F285">
        <v>4.1461027944374784E-2</v>
      </c>
      <c r="G285" s="40">
        <f t="shared" si="12"/>
        <v>0</v>
      </c>
      <c r="H285" s="33">
        <f t="shared" si="13"/>
        <v>-4.1461027944374784E-2</v>
      </c>
      <c r="I285" s="43"/>
      <c r="K285"/>
      <c r="L285"/>
    </row>
    <row r="286" spans="2:12" ht="15">
      <c r="B286" s="32">
        <v>1</v>
      </c>
      <c r="C286" s="66" t="s">
        <v>62</v>
      </c>
      <c r="D286" s="64">
        <v>41732</v>
      </c>
      <c r="E286">
        <v>-1.4108149825429628E-2</v>
      </c>
      <c r="F286">
        <v>4.1530657572939E-2</v>
      </c>
      <c r="G286" s="40">
        <f t="shared" si="12"/>
        <v>0</v>
      </c>
      <c r="H286" s="33">
        <f t="shared" si="13"/>
        <v>-4.1530657572939E-2</v>
      </c>
      <c r="I286" s="43"/>
      <c r="K286"/>
      <c r="L286"/>
    </row>
    <row r="287" spans="2:12" ht="15">
      <c r="B287" s="32">
        <v>1</v>
      </c>
      <c r="C287" s="66" t="s">
        <v>62</v>
      </c>
      <c r="D287" s="64">
        <v>41733</v>
      </c>
      <c r="E287">
        <v>-1.2868303729440811E-4</v>
      </c>
      <c r="F287">
        <v>4.6372884906057843E-2</v>
      </c>
      <c r="G287" s="40">
        <f t="shared" si="12"/>
        <v>0</v>
      </c>
      <c r="H287" s="33">
        <f t="shared" si="13"/>
        <v>-4.6372884906057843E-2</v>
      </c>
      <c r="I287" s="43"/>
      <c r="K287"/>
      <c r="L287"/>
    </row>
    <row r="288" spans="2:12" ht="15">
      <c r="B288" s="32">
        <v>1</v>
      </c>
      <c r="C288" s="66" t="s">
        <v>62</v>
      </c>
      <c r="D288" s="64">
        <v>41736</v>
      </c>
      <c r="E288">
        <v>1.4447645046421265E-2</v>
      </c>
      <c r="F288">
        <v>4.9300314977430343E-2</v>
      </c>
      <c r="G288" s="40">
        <f t="shared" si="12"/>
        <v>0</v>
      </c>
      <c r="H288" s="33">
        <f t="shared" si="13"/>
        <v>-4.9300314977430343E-2</v>
      </c>
      <c r="I288" s="43"/>
      <c r="K288"/>
      <c r="L288"/>
    </row>
    <row r="289" spans="2:12" ht="15">
      <c r="B289" s="32">
        <v>1</v>
      </c>
      <c r="C289" s="66" t="s">
        <v>62</v>
      </c>
      <c r="D289" s="64">
        <v>41737</v>
      </c>
      <c r="E289">
        <v>1.4787895898382253E-2</v>
      </c>
      <c r="F289">
        <v>4.984777415511437E-2</v>
      </c>
      <c r="G289" s="40">
        <f t="shared" si="12"/>
        <v>0</v>
      </c>
      <c r="H289" s="33">
        <f t="shared" si="13"/>
        <v>-4.984777415511437E-2</v>
      </c>
      <c r="I289" s="43"/>
      <c r="K289"/>
      <c r="L289"/>
    </row>
    <row r="290" spans="2:12" ht="15">
      <c r="B290" s="32">
        <v>1</v>
      </c>
      <c r="C290" s="66" t="s">
        <v>62</v>
      </c>
      <c r="D290" s="64">
        <v>41738</v>
      </c>
      <c r="E290">
        <v>1.7130896692600928E-3</v>
      </c>
      <c r="F290">
        <v>5.2501708368213211E-2</v>
      </c>
      <c r="G290" s="40">
        <f t="shared" si="12"/>
        <v>0</v>
      </c>
      <c r="H290" s="33">
        <f t="shared" si="13"/>
        <v>-5.2501708368213211E-2</v>
      </c>
      <c r="I290" s="43"/>
      <c r="K290"/>
      <c r="L290"/>
    </row>
    <row r="291" spans="2:12" ht="15">
      <c r="B291" s="32">
        <v>1</v>
      </c>
      <c r="C291" s="66" t="s">
        <v>62</v>
      </c>
      <c r="D291" s="64">
        <v>41739</v>
      </c>
      <c r="E291">
        <v>2.453454549161016E-2</v>
      </c>
      <c r="F291">
        <v>6.2577383500028921E-2</v>
      </c>
      <c r="G291" s="40">
        <f t="shared" si="12"/>
        <v>0</v>
      </c>
      <c r="H291" s="33">
        <f t="shared" si="13"/>
        <v>-6.2577383500028921E-2</v>
      </c>
      <c r="I291" s="43"/>
      <c r="K291"/>
      <c r="L291"/>
    </row>
    <row r="292" spans="2:12" ht="15">
      <c r="B292" s="32">
        <v>1</v>
      </c>
      <c r="C292" s="66" t="s">
        <v>62</v>
      </c>
      <c r="D292" s="64">
        <v>41740</v>
      </c>
      <c r="E292">
        <v>2.5937260646847982E-2</v>
      </c>
      <c r="F292">
        <v>6.1621615095709008E-2</v>
      </c>
      <c r="G292" s="40">
        <f t="shared" si="12"/>
        <v>0</v>
      </c>
      <c r="H292" s="33">
        <f t="shared" si="13"/>
        <v>-6.1621615095709008E-2</v>
      </c>
      <c r="I292" s="43"/>
      <c r="K292"/>
      <c r="L292"/>
    </row>
    <row r="293" spans="2:12" ht="15">
      <c r="B293" s="32">
        <v>1</v>
      </c>
      <c r="C293" s="66" t="s">
        <v>62</v>
      </c>
      <c r="D293" s="64">
        <v>41743</v>
      </c>
      <c r="E293">
        <v>2.0984364003745704E-2</v>
      </c>
      <c r="F293">
        <v>6.3156303530295499E-2</v>
      </c>
      <c r="G293" s="40">
        <f t="shared" si="12"/>
        <v>0</v>
      </c>
      <c r="H293" s="33">
        <f t="shared" si="13"/>
        <v>-6.3156303530295499E-2</v>
      </c>
      <c r="I293" s="43"/>
      <c r="K293"/>
      <c r="L293"/>
    </row>
    <row r="294" spans="2:12" ht="15">
      <c r="B294" s="32">
        <v>1</v>
      </c>
      <c r="C294" s="66" t="s">
        <v>62</v>
      </c>
      <c r="D294" s="64">
        <v>41744</v>
      </c>
      <c r="E294">
        <v>1.8999244869231546E-2</v>
      </c>
      <c r="F294">
        <v>6.2117001801259827E-2</v>
      </c>
      <c r="G294" s="40">
        <f t="shared" si="12"/>
        <v>0</v>
      </c>
      <c r="H294" s="33">
        <f t="shared" si="13"/>
        <v>-6.2117001801259827E-2</v>
      </c>
      <c r="I294" s="43"/>
      <c r="K294"/>
      <c r="L294"/>
    </row>
    <row r="295" spans="2:12" ht="15">
      <c r="B295" s="32">
        <v>1</v>
      </c>
      <c r="C295" s="66" t="s">
        <v>62</v>
      </c>
      <c r="D295" s="64">
        <v>41745</v>
      </c>
      <c r="E295">
        <v>1.1552926188564072E-2</v>
      </c>
      <c r="F295">
        <v>6.3394590674583889E-2</v>
      </c>
      <c r="G295" s="40">
        <f t="shared" si="12"/>
        <v>0</v>
      </c>
      <c r="H295" s="33">
        <f t="shared" si="13"/>
        <v>-6.3394590674583889E-2</v>
      </c>
      <c r="I295" s="43"/>
      <c r="K295"/>
      <c r="L295"/>
    </row>
    <row r="296" spans="2:12" ht="15">
      <c r="B296" s="32">
        <v>1</v>
      </c>
      <c r="C296" s="66" t="s">
        <v>62</v>
      </c>
      <c r="D296" s="64">
        <v>41746</v>
      </c>
      <c r="E296">
        <v>1.0046730977933294E-2</v>
      </c>
      <c r="F296">
        <v>6.2646393643962434E-2</v>
      </c>
      <c r="G296" s="40">
        <f t="shared" si="12"/>
        <v>0</v>
      </c>
      <c r="H296" s="33">
        <f t="shared" si="13"/>
        <v>-6.2646393643962434E-2</v>
      </c>
      <c r="I296" s="43"/>
      <c r="K296"/>
      <c r="L296"/>
    </row>
    <row r="297" spans="2:12" ht="15">
      <c r="B297" s="32">
        <v>1</v>
      </c>
      <c r="C297" s="66" t="s">
        <v>62</v>
      </c>
      <c r="D297" s="64">
        <v>41750</v>
      </c>
      <c r="E297">
        <v>4.9293603601459068E-3</v>
      </c>
      <c r="F297">
        <v>6.2172875486698816E-2</v>
      </c>
      <c r="G297" s="40">
        <f t="shared" si="12"/>
        <v>0</v>
      </c>
      <c r="H297" s="33">
        <f t="shared" si="13"/>
        <v>-6.2172875486698816E-2</v>
      </c>
      <c r="I297" s="43"/>
      <c r="K297"/>
      <c r="L297"/>
    </row>
    <row r="298" spans="2:12" ht="15">
      <c r="B298" s="32">
        <v>1</v>
      </c>
      <c r="C298" s="66" t="s">
        <v>62</v>
      </c>
      <c r="D298" s="64">
        <v>41751</v>
      </c>
      <c r="E298">
        <v>2.7150387604937265E-3</v>
      </c>
      <c r="F298">
        <v>6.229781624089429E-2</v>
      </c>
      <c r="G298" s="40">
        <f t="shared" si="12"/>
        <v>0</v>
      </c>
      <c r="H298" s="33">
        <f t="shared" si="13"/>
        <v>-6.229781624089429E-2</v>
      </c>
      <c r="I298" s="43"/>
      <c r="K298"/>
      <c r="L298"/>
    </row>
    <row r="299" spans="2:12" ht="15">
      <c r="B299" s="32">
        <v>1</v>
      </c>
      <c r="C299" s="66" t="s">
        <v>62</v>
      </c>
      <c r="D299" s="64">
        <v>41752</v>
      </c>
      <c r="E299">
        <v>-4.0982256806980644E-3</v>
      </c>
      <c r="F299">
        <v>6.1840684395855272E-2</v>
      </c>
      <c r="G299" s="40">
        <f t="shared" si="12"/>
        <v>0</v>
      </c>
      <c r="H299" s="33">
        <f t="shared" si="13"/>
        <v>-6.1840684395855272E-2</v>
      </c>
      <c r="I299" s="43"/>
      <c r="K299"/>
      <c r="L299"/>
    </row>
    <row r="300" spans="2:12" ht="15">
      <c r="B300" s="32">
        <v>1</v>
      </c>
      <c r="C300" s="66" t="s">
        <v>62</v>
      </c>
      <c r="D300" s="64">
        <v>41753</v>
      </c>
      <c r="E300">
        <v>-2.1295883606953225E-4</v>
      </c>
      <c r="F300">
        <v>6.1528022279566025E-2</v>
      </c>
      <c r="G300" s="40">
        <f t="shared" si="12"/>
        <v>0</v>
      </c>
      <c r="H300" s="33">
        <f t="shared" si="13"/>
        <v>-6.1528022279566025E-2</v>
      </c>
      <c r="I300" s="43"/>
      <c r="K300"/>
      <c r="L300"/>
    </row>
    <row r="301" spans="2:12" ht="15">
      <c r="B301" s="32">
        <v>1</v>
      </c>
      <c r="C301" s="66" t="s">
        <v>62</v>
      </c>
      <c r="D301" s="64">
        <v>41754</v>
      </c>
      <c r="E301">
        <v>6.541816738915962E-3</v>
      </c>
      <c r="F301">
        <v>6.1909638518986607E-2</v>
      </c>
      <c r="G301" s="40">
        <f t="shared" si="12"/>
        <v>0</v>
      </c>
      <c r="H301" s="33">
        <f t="shared" si="13"/>
        <v>-6.1909638518986607E-2</v>
      </c>
      <c r="I301" s="43"/>
      <c r="K301"/>
      <c r="L301"/>
    </row>
    <row r="302" spans="2:12" ht="15">
      <c r="B302" s="32">
        <v>1</v>
      </c>
      <c r="C302" s="66" t="s">
        <v>62</v>
      </c>
      <c r="D302" s="64">
        <v>41757</v>
      </c>
      <c r="E302">
        <v>4.8293280824438511E-3</v>
      </c>
      <c r="F302">
        <v>6.1968932279045139E-2</v>
      </c>
      <c r="G302" s="40">
        <f t="shared" si="12"/>
        <v>0</v>
      </c>
      <c r="H302" s="33">
        <f t="shared" si="13"/>
        <v>-6.1968932279045139E-2</v>
      </c>
      <c r="I302" s="43"/>
      <c r="K302"/>
      <c r="L302"/>
    </row>
    <row r="303" spans="2:12" ht="15">
      <c r="B303" s="32">
        <v>1</v>
      </c>
      <c r="C303" s="66" t="s">
        <v>62</v>
      </c>
      <c r="D303" s="64">
        <v>41758</v>
      </c>
      <c r="E303">
        <v>9.7061239650901854E-3</v>
      </c>
      <c r="F303">
        <v>6.1990744302314355E-2</v>
      </c>
      <c r="G303" s="40">
        <f t="shared" si="12"/>
        <v>0</v>
      </c>
      <c r="H303" s="33">
        <f t="shared" si="13"/>
        <v>-6.1990744302314355E-2</v>
      </c>
      <c r="I303" s="43"/>
      <c r="K303"/>
      <c r="L303"/>
    </row>
    <row r="304" spans="2:12" ht="15">
      <c r="B304" s="32">
        <v>1</v>
      </c>
      <c r="C304" s="66" t="s">
        <v>62</v>
      </c>
      <c r="D304" s="64">
        <v>41759</v>
      </c>
      <c r="E304">
        <v>7.1402431405198641E-3</v>
      </c>
      <c r="F304">
        <v>6.0904397869807107E-2</v>
      </c>
      <c r="G304" s="40">
        <f t="shared" si="12"/>
        <v>0</v>
      </c>
      <c r="H304" s="33">
        <f t="shared" si="13"/>
        <v>-6.0904397869807107E-2</v>
      </c>
      <c r="I304" s="43"/>
      <c r="K304"/>
      <c r="L304"/>
    </row>
    <row r="305" spans="2:12" ht="15">
      <c r="B305" s="32">
        <v>1</v>
      </c>
      <c r="C305" s="66" t="s">
        <v>62</v>
      </c>
      <c r="D305" s="64">
        <v>41760</v>
      </c>
      <c r="E305">
        <v>2.5714250085302481E-3</v>
      </c>
      <c r="F305">
        <v>5.9841907150451644E-2</v>
      </c>
      <c r="G305" s="40">
        <f t="shared" si="12"/>
        <v>0</v>
      </c>
      <c r="H305" s="33">
        <f t="shared" si="13"/>
        <v>-5.9841907150451644E-2</v>
      </c>
      <c r="I305" s="43"/>
      <c r="K305"/>
      <c r="L305"/>
    </row>
    <row r="306" spans="2:12" ht="15">
      <c r="B306" s="32">
        <v>1</v>
      </c>
      <c r="C306" s="66" t="s">
        <v>62</v>
      </c>
      <c r="D306" s="64">
        <v>41761</v>
      </c>
      <c r="E306">
        <v>-5.4851238004438585E-3</v>
      </c>
      <c r="F306">
        <v>5.9671476735190472E-2</v>
      </c>
      <c r="G306" s="40">
        <f t="shared" si="12"/>
        <v>0</v>
      </c>
      <c r="H306" s="33">
        <f t="shared" si="13"/>
        <v>-5.9671476735190472E-2</v>
      </c>
      <c r="I306" s="43"/>
      <c r="K306"/>
      <c r="L306"/>
    </row>
    <row r="307" spans="2:12" ht="15">
      <c r="B307" s="32">
        <v>1</v>
      </c>
      <c r="C307" s="66" t="s">
        <v>62</v>
      </c>
      <c r="D307" s="64">
        <v>41764</v>
      </c>
      <c r="E307">
        <v>-3.6146286900899938E-3</v>
      </c>
      <c r="F307">
        <v>5.9745661043088621E-2</v>
      </c>
      <c r="G307" s="40">
        <f t="shared" si="12"/>
        <v>0</v>
      </c>
      <c r="H307" s="33">
        <f t="shared" si="13"/>
        <v>-5.9745661043088621E-2</v>
      </c>
      <c r="I307" s="43"/>
      <c r="K307"/>
      <c r="L307"/>
    </row>
    <row r="308" spans="2:12" ht="15">
      <c r="B308" s="32">
        <v>1</v>
      </c>
      <c r="C308" s="66" t="s">
        <v>62</v>
      </c>
      <c r="D308" s="64">
        <v>41765</v>
      </c>
      <c r="E308">
        <v>9.2518168655155719E-3</v>
      </c>
      <c r="F308">
        <v>5.7963545899945935E-2</v>
      </c>
      <c r="G308" s="40">
        <f t="shared" si="12"/>
        <v>0</v>
      </c>
      <c r="H308" s="33">
        <f t="shared" si="13"/>
        <v>-5.7963545899945935E-2</v>
      </c>
      <c r="I308" s="43"/>
      <c r="K308"/>
      <c r="L308"/>
    </row>
    <row r="309" spans="2:12" ht="15">
      <c r="B309" s="32">
        <v>1</v>
      </c>
      <c r="C309" s="66" t="s">
        <v>62</v>
      </c>
      <c r="D309" s="64">
        <v>41766</v>
      </c>
      <c r="E309">
        <v>-2.8685424885761535E-3</v>
      </c>
      <c r="F309">
        <v>5.5568807421958855E-2</v>
      </c>
      <c r="G309" s="40">
        <f t="shared" si="12"/>
        <v>0</v>
      </c>
      <c r="H309" s="33">
        <f t="shared" si="13"/>
        <v>-5.5568807421958855E-2</v>
      </c>
      <c r="I309" s="43"/>
      <c r="K309"/>
      <c r="L309"/>
    </row>
    <row r="310" spans="2:12" ht="15">
      <c r="B310" s="32">
        <v>1</v>
      </c>
      <c r="C310" s="66" t="s">
        <v>62</v>
      </c>
      <c r="D310" s="64">
        <v>41767</v>
      </c>
      <c r="E310">
        <v>6.5893671347145855E-3</v>
      </c>
      <c r="F310">
        <v>5.5454578628351361E-2</v>
      </c>
      <c r="G310" s="40">
        <f t="shared" si="12"/>
        <v>0</v>
      </c>
      <c r="H310" s="33">
        <f t="shared" si="13"/>
        <v>-5.5454578628351361E-2</v>
      </c>
      <c r="I310" s="43"/>
      <c r="K310"/>
      <c r="L310"/>
    </row>
    <row r="311" spans="2:12" ht="15">
      <c r="B311" s="32">
        <v>1</v>
      </c>
      <c r="C311" s="66" t="s">
        <v>62</v>
      </c>
      <c r="D311" s="64">
        <v>41768</v>
      </c>
      <c r="E311">
        <v>7.4304884799607507E-3</v>
      </c>
      <c r="F311">
        <v>5.274178156361467E-2</v>
      </c>
      <c r="G311" s="40">
        <f t="shared" si="12"/>
        <v>0</v>
      </c>
      <c r="H311" s="33">
        <f t="shared" si="13"/>
        <v>-5.274178156361467E-2</v>
      </c>
      <c r="I311" s="43"/>
      <c r="K311"/>
      <c r="L311"/>
    </row>
    <row r="312" spans="2:12" ht="15">
      <c r="B312" s="32">
        <v>1</v>
      </c>
      <c r="C312" s="66" t="s">
        <v>62</v>
      </c>
      <c r="D312" s="64">
        <v>41771</v>
      </c>
      <c r="E312">
        <v>2.0436251619448953E-3</v>
      </c>
      <c r="F312">
        <v>4.097242763072028E-2</v>
      </c>
      <c r="G312" s="40">
        <f t="shared" si="12"/>
        <v>0</v>
      </c>
      <c r="H312" s="33">
        <f t="shared" si="13"/>
        <v>-4.097242763072028E-2</v>
      </c>
      <c r="I312" s="43"/>
      <c r="K312"/>
      <c r="L312"/>
    </row>
    <row r="313" spans="2:12" ht="15">
      <c r="B313" s="32">
        <v>1</v>
      </c>
      <c r="C313" s="66" t="s">
        <v>62</v>
      </c>
      <c r="D313" s="64">
        <v>41772</v>
      </c>
      <c r="E313">
        <v>7.5919065196830005E-3</v>
      </c>
      <c r="F313">
        <v>3.6512203058200174E-2</v>
      </c>
      <c r="G313" s="40">
        <f t="shared" si="12"/>
        <v>0</v>
      </c>
      <c r="H313" s="33">
        <f t="shared" si="13"/>
        <v>-3.6512203058200174E-2</v>
      </c>
      <c r="I313" s="43"/>
      <c r="K313"/>
      <c r="L313"/>
    </row>
    <row r="314" spans="2:12" ht="15">
      <c r="B314" s="32">
        <v>1</v>
      </c>
      <c r="C314" s="66" t="s">
        <v>62</v>
      </c>
      <c r="D314" s="64">
        <v>41773</v>
      </c>
      <c r="E314">
        <v>1.1189303339791401E-2</v>
      </c>
      <c r="F314">
        <v>3.6564294899376397E-2</v>
      </c>
      <c r="G314" s="40">
        <f t="shared" si="12"/>
        <v>0</v>
      </c>
      <c r="H314" s="33">
        <f t="shared" si="13"/>
        <v>-3.6564294899376397E-2</v>
      </c>
      <c r="I314" s="43"/>
      <c r="K314"/>
      <c r="L314"/>
    </row>
    <row r="315" spans="2:12" ht="15">
      <c r="B315" s="32">
        <v>1</v>
      </c>
      <c r="C315" s="66" t="s">
        <v>62</v>
      </c>
      <c r="D315" s="64">
        <v>41774</v>
      </c>
      <c r="E315">
        <v>2.5947965803395867E-2</v>
      </c>
      <c r="F315">
        <v>3.9365188071588439E-2</v>
      </c>
      <c r="G315" s="40">
        <f t="shared" si="12"/>
        <v>0</v>
      </c>
      <c r="H315" s="33">
        <f t="shared" si="13"/>
        <v>-3.9365188071588439E-2</v>
      </c>
      <c r="I315" s="43"/>
      <c r="K315"/>
      <c r="L315"/>
    </row>
    <row r="316" spans="2:12" ht="15">
      <c r="B316" s="32">
        <v>1</v>
      </c>
      <c r="C316" s="66" t="s">
        <v>62</v>
      </c>
      <c r="D316" s="64">
        <v>41775</v>
      </c>
      <c r="E316">
        <v>2.4049983840380484E-2</v>
      </c>
      <c r="F316">
        <v>3.6235347964309397E-2</v>
      </c>
      <c r="G316" s="40">
        <f t="shared" si="12"/>
        <v>0</v>
      </c>
      <c r="H316" s="33">
        <f t="shared" si="13"/>
        <v>-3.6235347964309397E-2</v>
      </c>
      <c r="I316" s="43"/>
      <c r="K316"/>
      <c r="L316"/>
    </row>
    <row r="317" spans="2:12" ht="15">
      <c r="B317" s="32">
        <v>1</v>
      </c>
      <c r="C317" s="66" t="s">
        <v>62</v>
      </c>
      <c r="D317" s="64">
        <v>41778</v>
      </c>
      <c r="E317">
        <v>2.0940131161028219E-2</v>
      </c>
      <c r="F317">
        <v>3.6629626427870501E-2</v>
      </c>
      <c r="G317" s="40">
        <f t="shared" si="12"/>
        <v>0</v>
      </c>
      <c r="H317" s="33">
        <f t="shared" si="13"/>
        <v>-3.6629626427870501E-2</v>
      </c>
      <c r="I317" s="43"/>
      <c r="K317"/>
      <c r="L317"/>
    </row>
    <row r="318" spans="2:12" ht="15">
      <c r="B318" s="32">
        <v>1</v>
      </c>
      <c r="C318" s="66" t="s">
        <v>62</v>
      </c>
      <c r="D318" s="64">
        <v>41779</v>
      </c>
      <c r="E318">
        <v>2.7080447024201426E-2</v>
      </c>
      <c r="F318">
        <v>3.7858894307217124E-2</v>
      </c>
      <c r="G318" s="40">
        <f t="shared" si="12"/>
        <v>0</v>
      </c>
      <c r="H318" s="33">
        <f t="shared" si="13"/>
        <v>-3.7858894307217124E-2</v>
      </c>
      <c r="I318" s="43"/>
      <c r="K318"/>
      <c r="L318"/>
    </row>
    <row r="319" spans="2:12" ht="15">
      <c r="B319" s="32">
        <v>1</v>
      </c>
      <c r="C319" s="66" t="s">
        <v>62</v>
      </c>
      <c r="D319" s="64">
        <v>41780</v>
      </c>
      <c r="E319">
        <v>2.0886983393444858E-2</v>
      </c>
      <c r="F319">
        <v>3.952716671431545E-2</v>
      </c>
      <c r="G319" s="40">
        <f t="shared" si="12"/>
        <v>0</v>
      </c>
      <c r="H319" s="33">
        <f t="shared" si="13"/>
        <v>-3.952716671431545E-2</v>
      </c>
      <c r="I319" s="43"/>
      <c r="K319"/>
      <c r="L319"/>
    </row>
    <row r="320" spans="2:12" ht="15">
      <c r="B320" s="32">
        <v>1</v>
      </c>
      <c r="C320" s="66" t="s">
        <v>62</v>
      </c>
      <c r="D320" s="64">
        <v>41781</v>
      </c>
      <c r="E320">
        <v>2.5031621256420777E-2</v>
      </c>
      <c r="F320">
        <v>3.9448330068735271E-2</v>
      </c>
      <c r="G320" s="40">
        <f t="shared" si="12"/>
        <v>0</v>
      </c>
      <c r="H320" s="33">
        <f t="shared" si="13"/>
        <v>-3.9448330068735271E-2</v>
      </c>
      <c r="I320" s="43"/>
      <c r="K320"/>
      <c r="L320"/>
    </row>
    <row r="321" spans="2:12" ht="15">
      <c r="B321" s="32">
        <v>1</v>
      </c>
      <c r="C321" s="66" t="s">
        <v>62</v>
      </c>
      <c r="D321" s="64">
        <v>41782</v>
      </c>
      <c r="E321">
        <v>2.540931167831495E-2</v>
      </c>
      <c r="F321">
        <v>3.987624943467756E-2</v>
      </c>
      <c r="G321" s="40">
        <f t="shared" si="12"/>
        <v>0</v>
      </c>
      <c r="H321" s="33">
        <f t="shared" si="13"/>
        <v>-3.987624943467756E-2</v>
      </c>
      <c r="I321" s="43"/>
      <c r="K321"/>
      <c r="L321"/>
    </row>
    <row r="322" spans="2:12" ht="15">
      <c r="B322" s="32">
        <v>1</v>
      </c>
      <c r="C322" s="66" t="s">
        <v>62</v>
      </c>
      <c r="D322" s="64">
        <v>41786</v>
      </c>
      <c r="E322">
        <v>2.0377692709669937E-2</v>
      </c>
      <c r="F322">
        <v>3.794685571158856E-2</v>
      </c>
      <c r="G322" s="40">
        <f t="shared" si="12"/>
        <v>0</v>
      </c>
      <c r="H322" s="33">
        <f t="shared" si="13"/>
        <v>-3.794685571158856E-2</v>
      </c>
      <c r="I322" s="43"/>
      <c r="K322"/>
      <c r="L322"/>
    </row>
    <row r="323" spans="2:12" ht="15">
      <c r="B323" s="32">
        <v>1</v>
      </c>
      <c r="C323" s="66" t="s">
        <v>62</v>
      </c>
      <c r="D323" s="64">
        <v>41787</v>
      </c>
      <c r="E323">
        <v>2.1246371367050543E-2</v>
      </c>
      <c r="F323">
        <v>3.7966151059410078E-2</v>
      </c>
      <c r="G323" s="40">
        <f t="shared" si="12"/>
        <v>0</v>
      </c>
      <c r="H323" s="33">
        <f t="shared" si="13"/>
        <v>-3.7966151059410078E-2</v>
      </c>
      <c r="I323" s="43"/>
      <c r="K323"/>
      <c r="L323"/>
    </row>
    <row r="324" spans="2:12" ht="15">
      <c r="B324" s="32">
        <v>1</v>
      </c>
      <c r="C324" s="66" t="s">
        <v>62</v>
      </c>
      <c r="D324" s="64">
        <v>41788</v>
      </c>
      <c r="E324">
        <v>1.2350301770085892E-2</v>
      </c>
      <c r="F324">
        <v>3.8138608203609335E-2</v>
      </c>
      <c r="G324" s="40">
        <f t="shared" si="12"/>
        <v>0</v>
      </c>
      <c r="H324" s="33">
        <f t="shared" si="13"/>
        <v>-3.8138608203609335E-2</v>
      </c>
      <c r="I324" s="43"/>
      <c r="K324"/>
      <c r="L324"/>
    </row>
    <row r="325" spans="2:12" ht="15">
      <c r="B325" s="32">
        <v>1</v>
      </c>
      <c r="C325" s="66" t="s">
        <v>62</v>
      </c>
      <c r="D325" s="64">
        <v>41789</v>
      </c>
      <c r="E325">
        <v>3.394181870726598E-3</v>
      </c>
      <c r="F325">
        <v>3.802493881501752E-2</v>
      </c>
      <c r="G325" s="40">
        <f t="shared" si="12"/>
        <v>0</v>
      </c>
      <c r="H325" s="33">
        <f t="shared" si="13"/>
        <v>-3.802493881501752E-2</v>
      </c>
      <c r="I325" s="43"/>
      <c r="K325"/>
      <c r="L325"/>
    </row>
    <row r="326" spans="2:12" ht="15">
      <c r="B326" s="32">
        <v>1</v>
      </c>
      <c r="C326" s="66" t="s">
        <v>62</v>
      </c>
      <c r="D326" s="64">
        <v>41792</v>
      </c>
      <c r="E326">
        <v>5.7962794905828119E-3</v>
      </c>
      <c r="F326">
        <v>3.7980315732300332E-2</v>
      </c>
      <c r="G326" s="40">
        <f t="shared" ref="G326:G389" si="14">--(E326&lt;-F326)</f>
        <v>0</v>
      </c>
      <c r="H326" s="33">
        <f t="shared" ref="H326:H389" si="15">-F326</f>
        <v>-3.7980315732300332E-2</v>
      </c>
      <c r="I326" s="43"/>
      <c r="K326"/>
      <c r="L326"/>
    </row>
    <row r="327" spans="2:12" ht="15">
      <c r="B327" s="32">
        <v>1</v>
      </c>
      <c r="C327" s="66" t="s">
        <v>62</v>
      </c>
      <c r="D327" s="64">
        <v>41793</v>
      </c>
      <c r="E327">
        <v>7.0119235065311258E-3</v>
      </c>
      <c r="F327">
        <v>3.7847389304206371E-2</v>
      </c>
      <c r="G327" s="40">
        <f t="shared" si="14"/>
        <v>0</v>
      </c>
      <c r="H327" s="33">
        <f t="shared" si="15"/>
        <v>-3.7847389304206371E-2</v>
      </c>
      <c r="I327" s="43"/>
      <c r="K327"/>
      <c r="L327"/>
    </row>
    <row r="328" spans="2:12" ht="15">
      <c r="B328" s="32">
        <v>1</v>
      </c>
      <c r="C328" s="66" t="s">
        <v>62</v>
      </c>
      <c r="D328" s="64">
        <v>41794</v>
      </c>
      <c r="E328">
        <v>7.292259194985995E-3</v>
      </c>
      <c r="F328">
        <v>3.7848557329916419E-2</v>
      </c>
      <c r="G328" s="40">
        <f t="shared" si="14"/>
        <v>0</v>
      </c>
      <c r="H328" s="33">
        <f t="shared" si="15"/>
        <v>-3.7848557329916419E-2</v>
      </c>
      <c r="I328" s="43"/>
      <c r="K328"/>
      <c r="L328"/>
    </row>
    <row r="329" spans="2:12" ht="15">
      <c r="B329" s="32">
        <v>1</v>
      </c>
      <c r="C329" s="66" t="s">
        <v>62</v>
      </c>
      <c r="D329" s="64">
        <v>41795</v>
      </c>
      <c r="E329">
        <v>8.4774201457902265E-3</v>
      </c>
      <c r="F329">
        <v>3.4706379569593812E-2</v>
      </c>
      <c r="G329" s="40">
        <f t="shared" si="14"/>
        <v>0</v>
      </c>
      <c r="H329" s="33">
        <f t="shared" si="15"/>
        <v>-3.4706379569593812E-2</v>
      </c>
      <c r="I329" s="43"/>
      <c r="K329"/>
      <c r="L329"/>
    </row>
    <row r="330" spans="2:12" ht="15">
      <c r="B330" s="32">
        <v>1</v>
      </c>
      <c r="C330" s="66" t="s">
        <v>62</v>
      </c>
      <c r="D330" s="64">
        <v>41796</v>
      </c>
      <c r="E330">
        <v>5.13700013384355E-3</v>
      </c>
      <c r="F330">
        <v>3.4451357936656934E-2</v>
      </c>
      <c r="G330" s="40">
        <f t="shared" si="14"/>
        <v>0</v>
      </c>
      <c r="H330" s="33">
        <f t="shared" si="15"/>
        <v>-3.4451357936656934E-2</v>
      </c>
      <c r="I330" s="43"/>
      <c r="K330"/>
      <c r="L330"/>
    </row>
    <row r="331" spans="2:12" ht="15">
      <c r="B331" s="32">
        <v>1</v>
      </c>
      <c r="C331" s="66" t="s">
        <v>62</v>
      </c>
      <c r="D331" s="64">
        <v>41799</v>
      </c>
      <c r="E331">
        <v>5.9272325039314566E-3</v>
      </c>
      <c r="F331">
        <v>3.4077698952729038E-2</v>
      </c>
      <c r="G331" s="40">
        <f t="shared" si="14"/>
        <v>0</v>
      </c>
      <c r="H331" s="33">
        <f t="shared" si="15"/>
        <v>-3.4077698952729038E-2</v>
      </c>
      <c r="I331" s="43"/>
      <c r="K331"/>
      <c r="L331"/>
    </row>
    <row r="332" spans="2:12" ht="15">
      <c r="B332" s="32">
        <v>1</v>
      </c>
      <c r="C332" s="66" t="s">
        <v>62</v>
      </c>
      <c r="D332" s="64">
        <v>41800</v>
      </c>
      <c r="E332">
        <v>6.0407736857497341E-3</v>
      </c>
      <c r="F332">
        <v>3.4246030311027548E-2</v>
      </c>
      <c r="G332" s="40">
        <f t="shared" si="14"/>
        <v>0</v>
      </c>
      <c r="H332" s="33">
        <f t="shared" si="15"/>
        <v>-3.4246030311027548E-2</v>
      </c>
      <c r="I332" s="43"/>
      <c r="K332"/>
      <c r="L332"/>
    </row>
    <row r="333" spans="2:12" ht="15">
      <c r="B333" s="32">
        <v>1</v>
      </c>
      <c r="C333" s="66" t="s">
        <v>62</v>
      </c>
      <c r="D333" s="64">
        <v>41801</v>
      </c>
      <c r="E333">
        <v>3.1279780646480404E-3</v>
      </c>
      <c r="F333">
        <v>3.2586240296683229E-2</v>
      </c>
      <c r="G333" s="40">
        <f t="shared" si="14"/>
        <v>0</v>
      </c>
      <c r="H333" s="33">
        <f t="shared" si="15"/>
        <v>-3.2586240296683229E-2</v>
      </c>
      <c r="I333" s="43"/>
      <c r="K333"/>
      <c r="L333"/>
    </row>
    <row r="334" spans="2:12" ht="15">
      <c r="B334" s="32">
        <v>1</v>
      </c>
      <c r="C334" s="66" t="s">
        <v>62</v>
      </c>
      <c r="D334" s="64">
        <v>41802</v>
      </c>
      <c r="E334">
        <v>1.5127675028161036E-2</v>
      </c>
      <c r="F334">
        <v>3.5196495028933954E-2</v>
      </c>
      <c r="G334" s="40">
        <f t="shared" si="14"/>
        <v>0</v>
      </c>
      <c r="H334" s="33">
        <f t="shared" si="15"/>
        <v>-3.5196495028933954E-2</v>
      </c>
      <c r="I334" s="43"/>
      <c r="K334"/>
      <c r="L334"/>
    </row>
    <row r="335" spans="2:12" ht="15">
      <c r="B335" s="32">
        <v>1</v>
      </c>
      <c r="C335" s="66" t="s">
        <v>62</v>
      </c>
      <c r="D335" s="64">
        <v>41803</v>
      </c>
      <c r="E335">
        <v>1.0818436615295468E-2</v>
      </c>
      <c r="F335">
        <v>3.4099892098347392E-2</v>
      </c>
      <c r="G335" s="40">
        <f t="shared" si="14"/>
        <v>0</v>
      </c>
      <c r="H335" s="33">
        <f t="shared" si="15"/>
        <v>-3.4099892098347392E-2</v>
      </c>
      <c r="I335" s="43"/>
      <c r="K335"/>
      <c r="L335"/>
    </row>
    <row r="336" spans="2:12" ht="15">
      <c r="B336" s="32">
        <v>1</v>
      </c>
      <c r="C336" s="66" t="s">
        <v>62</v>
      </c>
      <c r="D336" s="64">
        <v>41806</v>
      </c>
      <c r="E336">
        <v>1.189112646318069E-2</v>
      </c>
      <c r="F336">
        <v>2.9086683658889462E-2</v>
      </c>
      <c r="G336" s="40">
        <f t="shared" si="14"/>
        <v>0</v>
      </c>
      <c r="H336" s="33">
        <f t="shared" si="15"/>
        <v>-2.9086683658889462E-2</v>
      </c>
      <c r="I336" s="43"/>
      <c r="K336"/>
      <c r="L336"/>
    </row>
    <row r="337" spans="2:12" ht="15">
      <c r="B337" s="32">
        <v>1</v>
      </c>
      <c r="C337" s="66" t="s">
        <v>62</v>
      </c>
      <c r="D337" s="64">
        <v>41807</v>
      </c>
      <c r="E337">
        <v>9.3485877177723609E-3</v>
      </c>
      <c r="F337">
        <v>2.8893474077478894E-2</v>
      </c>
      <c r="G337" s="40">
        <f t="shared" si="14"/>
        <v>0</v>
      </c>
      <c r="H337" s="33">
        <f t="shared" si="15"/>
        <v>-2.8893474077478894E-2</v>
      </c>
      <c r="I337" s="43"/>
      <c r="K337"/>
      <c r="L337"/>
    </row>
    <row r="338" spans="2:12" ht="15">
      <c r="B338" s="32">
        <v>1</v>
      </c>
      <c r="C338" s="66" t="s">
        <v>62</v>
      </c>
      <c r="D338" s="64">
        <v>41808</v>
      </c>
      <c r="E338">
        <v>8.3149176653494195E-3</v>
      </c>
      <c r="F338">
        <v>3.0327017744772995E-2</v>
      </c>
      <c r="G338" s="40">
        <f t="shared" si="14"/>
        <v>0</v>
      </c>
      <c r="H338" s="33">
        <f t="shared" si="15"/>
        <v>-3.0327017744772995E-2</v>
      </c>
      <c r="I338" s="43"/>
      <c r="K338"/>
      <c r="L338"/>
    </row>
    <row r="339" spans="2:12" ht="15">
      <c r="B339" s="32">
        <v>1</v>
      </c>
      <c r="C339" s="66" t="s">
        <v>62</v>
      </c>
      <c r="D339" s="64">
        <v>41809</v>
      </c>
      <c r="E339">
        <v>7.6968505321399761E-3</v>
      </c>
      <c r="F339">
        <v>2.6945902663078079E-2</v>
      </c>
      <c r="G339" s="40">
        <f t="shared" si="14"/>
        <v>0</v>
      </c>
      <c r="H339" s="33">
        <f t="shared" si="15"/>
        <v>-2.6945902663078079E-2</v>
      </c>
      <c r="I339" s="43"/>
      <c r="K339"/>
      <c r="L339"/>
    </row>
    <row r="340" spans="2:12" ht="15">
      <c r="B340" s="32">
        <v>1</v>
      </c>
      <c r="C340" s="66" t="s">
        <v>62</v>
      </c>
      <c r="D340" s="64">
        <v>41810</v>
      </c>
      <c r="E340">
        <v>1.1432836939349933E-2</v>
      </c>
      <c r="F340">
        <v>2.5024501072934732E-2</v>
      </c>
      <c r="G340" s="40">
        <f t="shared" si="14"/>
        <v>0</v>
      </c>
      <c r="H340" s="33">
        <f t="shared" si="15"/>
        <v>-2.5024501072934732E-2</v>
      </c>
      <c r="I340" s="43"/>
      <c r="K340"/>
      <c r="L340"/>
    </row>
    <row r="341" spans="2:12" ht="15">
      <c r="B341" s="32">
        <v>1</v>
      </c>
      <c r="C341" s="66" t="s">
        <v>62</v>
      </c>
      <c r="D341" s="64">
        <v>41813</v>
      </c>
      <c r="E341">
        <v>7.6340708525961531E-3</v>
      </c>
      <c r="F341">
        <v>2.5206613559953048E-2</v>
      </c>
      <c r="G341" s="40">
        <f t="shared" si="14"/>
        <v>0</v>
      </c>
      <c r="H341" s="33">
        <f t="shared" si="15"/>
        <v>-2.5206613559953048E-2</v>
      </c>
      <c r="I341" s="43"/>
      <c r="K341"/>
      <c r="L341"/>
    </row>
    <row r="342" spans="2:12" ht="15">
      <c r="B342" s="32">
        <v>1</v>
      </c>
      <c r="C342" s="66" t="s">
        <v>62</v>
      </c>
      <c r="D342" s="64">
        <v>41814</v>
      </c>
      <c r="E342">
        <v>7.0164154719885019E-3</v>
      </c>
      <c r="F342">
        <v>2.8019070966602552E-2</v>
      </c>
      <c r="G342" s="40">
        <f t="shared" si="14"/>
        <v>0</v>
      </c>
      <c r="H342" s="33">
        <f t="shared" si="15"/>
        <v>-2.8019070966602552E-2</v>
      </c>
      <c r="I342" s="43"/>
      <c r="K342"/>
      <c r="L342"/>
    </row>
    <row r="343" spans="2:12" ht="15">
      <c r="B343" s="32">
        <v>1</v>
      </c>
      <c r="C343" s="66" t="s">
        <v>62</v>
      </c>
      <c r="D343" s="64">
        <v>41815</v>
      </c>
      <c r="E343">
        <v>6.7643744540992756E-3</v>
      </c>
      <c r="F343">
        <v>2.7572479731587288E-2</v>
      </c>
      <c r="G343" s="40">
        <f t="shared" si="14"/>
        <v>0</v>
      </c>
      <c r="H343" s="33">
        <f t="shared" si="15"/>
        <v>-2.7572479731587288E-2</v>
      </c>
      <c r="I343" s="43"/>
      <c r="K343"/>
      <c r="L343"/>
    </row>
    <row r="344" spans="2:12" ht="15">
      <c r="B344" s="32">
        <v>1</v>
      </c>
      <c r="C344" s="66" t="s">
        <v>62</v>
      </c>
      <c r="D344" s="64">
        <v>41816</v>
      </c>
      <c r="E344">
        <v>3.8043254289288342E-3</v>
      </c>
      <c r="F344">
        <v>2.7587230924172035E-2</v>
      </c>
      <c r="G344" s="40">
        <f t="shared" si="14"/>
        <v>0</v>
      </c>
      <c r="H344" s="33">
        <f t="shared" si="15"/>
        <v>-2.7587230924172035E-2</v>
      </c>
      <c r="I344" s="43"/>
      <c r="K344"/>
      <c r="L344"/>
    </row>
    <row r="345" spans="2:12" ht="15">
      <c r="B345" s="32">
        <v>1</v>
      </c>
      <c r="C345" s="66" t="s">
        <v>62</v>
      </c>
      <c r="D345" s="64">
        <v>41817</v>
      </c>
      <c r="E345">
        <v>3.3651220146593275E-3</v>
      </c>
      <c r="F345">
        <v>2.6713930205080498E-2</v>
      </c>
      <c r="G345" s="40">
        <f t="shared" si="14"/>
        <v>0</v>
      </c>
      <c r="H345" s="33">
        <f t="shared" si="15"/>
        <v>-2.6713930205080498E-2</v>
      </c>
      <c r="I345" s="43"/>
      <c r="K345"/>
      <c r="L345"/>
    </row>
    <row r="346" spans="2:12" ht="15">
      <c r="B346" s="32">
        <v>1</v>
      </c>
      <c r="C346" s="66" t="s">
        <v>62</v>
      </c>
      <c r="D346" s="64">
        <v>41820</v>
      </c>
      <c r="E346">
        <v>8.569309366002642E-3</v>
      </c>
      <c r="F346">
        <v>2.6762534273290128E-2</v>
      </c>
      <c r="G346" s="40">
        <f t="shared" si="14"/>
        <v>0</v>
      </c>
      <c r="H346" s="33">
        <f t="shared" si="15"/>
        <v>-2.6762534273290128E-2</v>
      </c>
      <c r="I346" s="43"/>
      <c r="K346"/>
      <c r="L346"/>
    </row>
    <row r="347" spans="2:12" ht="15">
      <c r="B347" s="32">
        <v>1</v>
      </c>
      <c r="C347" s="66" t="s">
        <v>62</v>
      </c>
      <c r="D347" s="64">
        <v>41821</v>
      </c>
      <c r="E347">
        <v>-2.0228551286471941E-5</v>
      </c>
      <c r="F347">
        <v>2.8307165721320516E-2</v>
      </c>
      <c r="G347" s="40">
        <f t="shared" si="14"/>
        <v>0</v>
      </c>
      <c r="H347" s="33">
        <f t="shared" si="15"/>
        <v>-2.8307165721320516E-2</v>
      </c>
      <c r="I347" s="43"/>
      <c r="K347"/>
      <c r="L347"/>
    </row>
    <row r="348" spans="2:12" ht="15">
      <c r="B348" s="32">
        <v>1</v>
      </c>
      <c r="C348" s="66" t="s">
        <v>62</v>
      </c>
      <c r="D348" s="64">
        <v>41822</v>
      </c>
      <c r="E348">
        <v>3.513460300472282E-3</v>
      </c>
      <c r="F348">
        <v>2.820117123170876E-2</v>
      </c>
      <c r="G348" s="40">
        <f t="shared" si="14"/>
        <v>0</v>
      </c>
      <c r="H348" s="33">
        <f t="shared" si="15"/>
        <v>-2.820117123170876E-2</v>
      </c>
      <c r="I348" s="43"/>
      <c r="K348"/>
      <c r="L348"/>
    </row>
    <row r="349" spans="2:12" ht="15">
      <c r="B349" s="32">
        <v>1</v>
      </c>
      <c r="C349" s="66" t="s">
        <v>62</v>
      </c>
      <c r="D349" s="64">
        <v>41823</v>
      </c>
      <c r="E349">
        <v>-1.3855695623382402E-2</v>
      </c>
      <c r="F349">
        <v>2.8999810132973966E-2</v>
      </c>
      <c r="G349" s="40">
        <f t="shared" si="14"/>
        <v>0</v>
      </c>
      <c r="H349" s="33">
        <f t="shared" si="15"/>
        <v>-2.8999810132973966E-2</v>
      </c>
      <c r="I349" s="43"/>
      <c r="K349"/>
      <c r="L349"/>
    </row>
    <row r="350" spans="2:12" ht="15">
      <c r="B350" s="32">
        <v>1</v>
      </c>
      <c r="C350" s="66" t="s">
        <v>62</v>
      </c>
      <c r="D350" s="64">
        <v>41827</v>
      </c>
      <c r="E350">
        <v>2.8815254528780088E-4</v>
      </c>
      <c r="F350">
        <v>2.8869087113688373E-2</v>
      </c>
      <c r="G350" s="40">
        <f t="shared" si="14"/>
        <v>0</v>
      </c>
      <c r="H350" s="33">
        <f t="shared" si="15"/>
        <v>-2.8869087113688373E-2</v>
      </c>
      <c r="I350" s="43"/>
      <c r="K350"/>
      <c r="L350"/>
    </row>
    <row r="351" spans="2:12" ht="15">
      <c r="B351" s="32">
        <v>1</v>
      </c>
      <c r="C351" s="66" t="s">
        <v>62</v>
      </c>
      <c r="D351" s="64">
        <v>41828</v>
      </c>
      <c r="E351">
        <v>5.0389679711706492E-3</v>
      </c>
      <c r="F351">
        <v>3.0833843584453274E-2</v>
      </c>
      <c r="G351" s="40">
        <f t="shared" si="14"/>
        <v>0</v>
      </c>
      <c r="H351" s="33">
        <f t="shared" si="15"/>
        <v>-3.0833843584453274E-2</v>
      </c>
      <c r="I351" s="43"/>
      <c r="K351"/>
      <c r="L351"/>
    </row>
    <row r="352" spans="2:12" ht="15">
      <c r="B352" s="32">
        <v>1</v>
      </c>
      <c r="C352" s="66" t="s">
        <v>62</v>
      </c>
      <c r="D352" s="64">
        <v>41829</v>
      </c>
      <c r="E352">
        <v>5.409062435711931E-3</v>
      </c>
      <c r="F352">
        <v>3.1586925577140768E-2</v>
      </c>
      <c r="G352" s="40">
        <f t="shared" si="14"/>
        <v>0</v>
      </c>
      <c r="H352" s="33">
        <f t="shared" si="15"/>
        <v>-3.1586925577140768E-2</v>
      </c>
      <c r="I352" s="43"/>
      <c r="K352"/>
      <c r="L352"/>
    </row>
    <row r="353" spans="2:12" ht="15">
      <c r="B353" s="32">
        <v>1</v>
      </c>
      <c r="C353" s="66" t="s">
        <v>62</v>
      </c>
      <c r="D353" s="64">
        <v>41830</v>
      </c>
      <c r="E353">
        <v>1.1301591629973018E-2</v>
      </c>
      <c r="F353">
        <v>3.2450166741672871E-2</v>
      </c>
      <c r="G353" s="40">
        <f t="shared" si="14"/>
        <v>0</v>
      </c>
      <c r="H353" s="33">
        <f t="shared" si="15"/>
        <v>-3.2450166741672871E-2</v>
      </c>
      <c r="I353" s="43"/>
      <c r="K353"/>
      <c r="L353"/>
    </row>
    <row r="354" spans="2:12" ht="15">
      <c r="B354" s="32">
        <v>1</v>
      </c>
      <c r="C354" s="66" t="s">
        <v>62</v>
      </c>
      <c r="D354" s="64">
        <v>41831</v>
      </c>
      <c r="E354">
        <v>1.0319786384773266E-2</v>
      </c>
      <c r="F354">
        <v>3.1819513689031631E-2</v>
      </c>
      <c r="G354" s="40">
        <f t="shared" si="14"/>
        <v>0</v>
      </c>
      <c r="H354" s="33">
        <f t="shared" si="15"/>
        <v>-3.1819513689031631E-2</v>
      </c>
      <c r="I354" s="43"/>
      <c r="K354"/>
      <c r="L354"/>
    </row>
    <row r="355" spans="2:12" ht="15">
      <c r="B355" s="32">
        <v>1</v>
      </c>
      <c r="C355" s="66" t="s">
        <v>62</v>
      </c>
      <c r="D355" s="64">
        <v>41834</v>
      </c>
      <c r="E355">
        <v>6.2697958194402048E-4</v>
      </c>
      <c r="F355">
        <v>2.9716018967127566E-2</v>
      </c>
      <c r="G355" s="40">
        <f t="shared" si="14"/>
        <v>0</v>
      </c>
      <c r="H355" s="33">
        <f t="shared" si="15"/>
        <v>-2.9716018967127566E-2</v>
      </c>
      <c r="I355" s="43"/>
      <c r="K355"/>
      <c r="L355"/>
    </row>
    <row r="356" spans="2:12" ht="15">
      <c r="B356" s="32">
        <v>1</v>
      </c>
      <c r="C356" s="66" t="s">
        <v>62</v>
      </c>
      <c r="D356" s="64">
        <v>41835</v>
      </c>
      <c r="E356">
        <v>2.8490577216899737E-3</v>
      </c>
      <c r="F356">
        <v>2.9912269821846124E-2</v>
      </c>
      <c r="G356" s="40">
        <f t="shared" si="14"/>
        <v>0</v>
      </c>
      <c r="H356" s="33">
        <f t="shared" si="15"/>
        <v>-2.9912269821846124E-2</v>
      </c>
      <c r="I356" s="43"/>
      <c r="K356"/>
      <c r="L356"/>
    </row>
    <row r="357" spans="2:12" ht="15">
      <c r="B357" s="32">
        <v>1</v>
      </c>
      <c r="C357" s="66" t="s">
        <v>62</v>
      </c>
      <c r="D357" s="64">
        <v>41836</v>
      </c>
      <c r="E357">
        <v>-5.8812957024905188E-3</v>
      </c>
      <c r="F357">
        <v>3.0373238274481941E-2</v>
      </c>
      <c r="G357" s="40">
        <f t="shared" si="14"/>
        <v>0</v>
      </c>
      <c r="H357" s="33">
        <f t="shared" si="15"/>
        <v>-3.0373238274481941E-2</v>
      </c>
      <c r="I357" s="43"/>
      <c r="K357"/>
      <c r="L357"/>
    </row>
    <row r="358" spans="2:12" ht="15">
      <c r="B358" s="32">
        <v>1</v>
      </c>
      <c r="C358" s="66" t="s">
        <v>62</v>
      </c>
      <c r="D358" s="64">
        <v>41837</v>
      </c>
      <c r="E358">
        <v>6.0842209988898333E-3</v>
      </c>
      <c r="F358">
        <v>3.6726066850895071E-2</v>
      </c>
      <c r="G358" s="40">
        <f t="shared" si="14"/>
        <v>0</v>
      </c>
      <c r="H358" s="33">
        <f t="shared" si="15"/>
        <v>-3.6726066850895071E-2</v>
      </c>
      <c r="I358" s="43"/>
      <c r="K358"/>
      <c r="L358"/>
    </row>
    <row r="359" spans="2:12" ht="15">
      <c r="B359" s="32">
        <v>1</v>
      </c>
      <c r="C359" s="66" t="s">
        <v>62</v>
      </c>
      <c r="D359" s="64">
        <v>41838</v>
      </c>
      <c r="E359">
        <v>-2.4330320090876434E-2</v>
      </c>
      <c r="F359">
        <v>3.8273229399304651E-2</v>
      </c>
      <c r="G359" s="40">
        <f t="shared" si="14"/>
        <v>0</v>
      </c>
      <c r="H359" s="33">
        <f t="shared" si="15"/>
        <v>-3.8273229399304651E-2</v>
      </c>
      <c r="I359" s="43"/>
      <c r="K359"/>
      <c r="L359"/>
    </row>
    <row r="360" spans="2:12" ht="15">
      <c r="B360" s="32">
        <v>1</v>
      </c>
      <c r="C360" s="66" t="s">
        <v>62</v>
      </c>
      <c r="D360" s="64">
        <v>41841</v>
      </c>
      <c r="E360">
        <v>-2.4870590050982244E-2</v>
      </c>
      <c r="F360">
        <v>3.8514616114754249E-2</v>
      </c>
      <c r="G360" s="40">
        <f t="shared" si="14"/>
        <v>0</v>
      </c>
      <c r="H360" s="33">
        <f t="shared" si="15"/>
        <v>-3.8514616114754249E-2</v>
      </c>
      <c r="I360" s="43"/>
      <c r="K360"/>
      <c r="L360"/>
    </row>
    <row r="361" spans="2:12" ht="15">
      <c r="B361" s="32">
        <v>1</v>
      </c>
      <c r="C361" s="66" t="s">
        <v>62</v>
      </c>
      <c r="D361" s="64">
        <v>41842</v>
      </c>
      <c r="E361">
        <v>-2.2710886465382885E-2</v>
      </c>
      <c r="F361">
        <v>3.9186500799016345E-2</v>
      </c>
      <c r="G361" s="40">
        <f t="shared" si="14"/>
        <v>0</v>
      </c>
      <c r="H361" s="33">
        <f t="shared" si="15"/>
        <v>-3.9186500799016345E-2</v>
      </c>
      <c r="I361" s="43"/>
      <c r="K361"/>
      <c r="L361"/>
    </row>
    <row r="362" spans="2:12" ht="15">
      <c r="B362" s="32">
        <v>1</v>
      </c>
      <c r="C362" s="66" t="s">
        <v>62</v>
      </c>
      <c r="D362" s="64">
        <v>41843</v>
      </c>
      <c r="E362">
        <v>-3.4196466553932936E-2</v>
      </c>
      <c r="F362">
        <v>3.9221211612430494E-2</v>
      </c>
      <c r="G362" s="40">
        <f t="shared" si="14"/>
        <v>0</v>
      </c>
      <c r="H362" s="33">
        <f t="shared" si="15"/>
        <v>-3.9221211612430494E-2</v>
      </c>
      <c r="I362" s="43"/>
      <c r="K362"/>
      <c r="L362"/>
    </row>
    <row r="363" spans="2:12" ht="15">
      <c r="B363" s="32">
        <v>1</v>
      </c>
      <c r="C363" s="66" t="s">
        <v>62</v>
      </c>
      <c r="D363" s="64">
        <v>41844</v>
      </c>
      <c r="E363">
        <v>-3.4668864740980965E-2</v>
      </c>
      <c r="F363">
        <v>3.7387637642684955E-2</v>
      </c>
      <c r="G363" s="40">
        <f t="shared" si="14"/>
        <v>0</v>
      </c>
      <c r="H363" s="33">
        <f t="shared" si="15"/>
        <v>-3.7387637642684955E-2</v>
      </c>
      <c r="I363" s="43"/>
      <c r="K363"/>
      <c r="L363"/>
    </row>
    <row r="364" spans="2:12" ht="15">
      <c r="B364" s="32">
        <v>1</v>
      </c>
      <c r="C364" s="66" t="s">
        <v>62</v>
      </c>
      <c r="D364" s="64">
        <v>41845</v>
      </c>
      <c r="E364">
        <v>-3.5380034497545232E-2</v>
      </c>
      <c r="F364">
        <v>3.7860570079918415E-2</v>
      </c>
      <c r="G364" s="40">
        <f t="shared" si="14"/>
        <v>0</v>
      </c>
      <c r="H364" s="33">
        <f t="shared" si="15"/>
        <v>-3.7860570079918415E-2</v>
      </c>
      <c r="I364" s="43"/>
      <c r="K364"/>
      <c r="L364"/>
    </row>
    <row r="365" spans="2:12" ht="15">
      <c r="B365" s="32">
        <v>1</v>
      </c>
      <c r="C365" s="66" t="s">
        <v>62</v>
      </c>
      <c r="D365" s="64">
        <v>41848</v>
      </c>
      <c r="E365">
        <v>-2.4202724907095963E-2</v>
      </c>
      <c r="F365">
        <v>3.7762299644260068E-2</v>
      </c>
      <c r="G365" s="40">
        <f t="shared" si="14"/>
        <v>0</v>
      </c>
      <c r="H365" s="33">
        <f t="shared" si="15"/>
        <v>-3.7762299644260068E-2</v>
      </c>
      <c r="I365" s="43"/>
      <c r="K365"/>
      <c r="L365"/>
    </row>
    <row r="366" spans="2:12" ht="15">
      <c r="B366" s="32">
        <v>1</v>
      </c>
      <c r="C366" s="66" t="s">
        <v>62</v>
      </c>
      <c r="D366" s="64">
        <v>41849</v>
      </c>
      <c r="E366">
        <v>-1.6909031535885077E-2</v>
      </c>
      <c r="F366">
        <v>3.8533252295581549E-2</v>
      </c>
      <c r="G366" s="40">
        <f t="shared" si="14"/>
        <v>0</v>
      </c>
      <c r="H366" s="33">
        <f t="shared" si="15"/>
        <v>-3.8533252295581549E-2</v>
      </c>
      <c r="I366" s="43"/>
      <c r="K366"/>
      <c r="L366"/>
    </row>
    <row r="367" spans="2:12" ht="15">
      <c r="B367" s="32">
        <v>1</v>
      </c>
      <c r="C367" s="66" t="s">
        <v>62</v>
      </c>
      <c r="D367" s="64">
        <v>41850</v>
      </c>
      <c r="E367">
        <v>-1.8607924798206277E-2</v>
      </c>
      <c r="F367">
        <v>3.8521572985841745E-2</v>
      </c>
      <c r="G367" s="40">
        <f t="shared" si="14"/>
        <v>0</v>
      </c>
      <c r="H367" s="33">
        <f t="shared" si="15"/>
        <v>-3.8521572985841745E-2</v>
      </c>
      <c r="I367" s="43"/>
      <c r="K367"/>
      <c r="L367"/>
    </row>
    <row r="368" spans="2:12" ht="15">
      <c r="B368" s="32">
        <v>1</v>
      </c>
      <c r="C368" s="66" t="s">
        <v>62</v>
      </c>
      <c r="D368" s="64">
        <v>41851</v>
      </c>
      <c r="E368">
        <v>8.2787744369818839E-3</v>
      </c>
      <c r="F368">
        <v>4.9092812532374054E-2</v>
      </c>
      <c r="G368" s="40">
        <f t="shared" si="14"/>
        <v>0</v>
      </c>
      <c r="H368" s="33">
        <f t="shared" si="15"/>
        <v>-4.9092812532374054E-2</v>
      </c>
      <c r="I368" s="43"/>
      <c r="K368"/>
      <c r="L368"/>
    </row>
    <row r="369" spans="2:12" ht="15">
      <c r="B369" s="32">
        <v>1</v>
      </c>
      <c r="C369" s="66" t="s">
        <v>62</v>
      </c>
      <c r="D369" s="64">
        <v>41852</v>
      </c>
      <c r="E369">
        <v>1.5478389180729302E-2</v>
      </c>
      <c r="F369">
        <v>4.9088535692075663E-2</v>
      </c>
      <c r="G369" s="40">
        <f t="shared" si="14"/>
        <v>0</v>
      </c>
      <c r="H369" s="33">
        <f t="shared" si="15"/>
        <v>-4.9088535692075663E-2</v>
      </c>
      <c r="I369" s="43"/>
      <c r="K369"/>
      <c r="L369"/>
    </row>
    <row r="370" spans="2:12" ht="15">
      <c r="B370" s="32">
        <v>1</v>
      </c>
      <c r="C370" s="66" t="s">
        <v>62</v>
      </c>
      <c r="D370" s="64">
        <v>41855</v>
      </c>
      <c r="E370">
        <v>8.2536998892548397E-3</v>
      </c>
      <c r="F370">
        <v>4.9784208446544582E-2</v>
      </c>
      <c r="G370" s="40">
        <f t="shared" si="14"/>
        <v>0</v>
      </c>
      <c r="H370" s="33">
        <f t="shared" si="15"/>
        <v>-4.9784208446544582E-2</v>
      </c>
      <c r="I370" s="43"/>
      <c r="K370"/>
      <c r="L370"/>
    </row>
    <row r="371" spans="2:12" ht="15">
      <c r="B371" s="32">
        <v>1</v>
      </c>
      <c r="C371" s="66" t="s">
        <v>62</v>
      </c>
      <c r="D371" s="64">
        <v>41856</v>
      </c>
      <c r="E371">
        <v>2.6481861826167297E-2</v>
      </c>
      <c r="F371">
        <v>5.1509596241826702E-2</v>
      </c>
      <c r="G371" s="40">
        <f t="shared" si="14"/>
        <v>0</v>
      </c>
      <c r="H371" s="33">
        <f t="shared" si="15"/>
        <v>-5.1509596241826702E-2</v>
      </c>
      <c r="I371" s="43"/>
      <c r="K371"/>
      <c r="L371"/>
    </row>
    <row r="372" spans="2:12" ht="15">
      <c r="B372" s="32">
        <v>1</v>
      </c>
      <c r="C372" s="66" t="s">
        <v>62</v>
      </c>
      <c r="D372" s="64">
        <v>41857</v>
      </c>
      <c r="E372">
        <v>3.1454414061428793E-2</v>
      </c>
      <c r="F372">
        <v>5.0647931762539185E-2</v>
      </c>
      <c r="G372" s="40">
        <f t="shared" si="14"/>
        <v>0</v>
      </c>
      <c r="H372" s="33">
        <f t="shared" si="15"/>
        <v>-5.0647931762539185E-2</v>
      </c>
      <c r="I372" s="43"/>
      <c r="K372"/>
      <c r="L372"/>
    </row>
    <row r="373" spans="2:12" ht="15">
      <c r="B373" s="32">
        <v>1</v>
      </c>
      <c r="C373" s="66" t="s">
        <v>62</v>
      </c>
      <c r="D373" s="64">
        <v>41858</v>
      </c>
      <c r="E373">
        <v>3.9501277729055317E-2</v>
      </c>
      <c r="F373">
        <v>5.018801666603618E-2</v>
      </c>
      <c r="G373" s="40">
        <f t="shared" si="14"/>
        <v>0</v>
      </c>
      <c r="H373" s="33">
        <f t="shared" si="15"/>
        <v>-5.018801666603618E-2</v>
      </c>
      <c r="I373" s="43"/>
      <c r="K373"/>
      <c r="L373"/>
    </row>
    <row r="374" spans="2:12" ht="15">
      <c r="B374" s="32">
        <v>1</v>
      </c>
      <c r="C374" s="66" t="s">
        <v>62</v>
      </c>
      <c r="D374" s="64">
        <v>41859</v>
      </c>
      <c r="E374">
        <v>3.0981402030151983E-2</v>
      </c>
      <c r="F374">
        <v>5.410977439962264E-2</v>
      </c>
      <c r="G374" s="40">
        <f t="shared" si="14"/>
        <v>0</v>
      </c>
      <c r="H374" s="33">
        <f t="shared" si="15"/>
        <v>-5.410977439962264E-2</v>
      </c>
      <c r="I374" s="43"/>
      <c r="K374"/>
      <c r="L374"/>
    </row>
    <row r="375" spans="2:12" ht="15">
      <c r="B375" s="32">
        <v>1</v>
      </c>
      <c r="C375" s="66" t="s">
        <v>62</v>
      </c>
      <c r="D375" s="64">
        <v>41862</v>
      </c>
      <c r="E375">
        <v>2.6231202000857934E-2</v>
      </c>
      <c r="F375">
        <v>5.4295345932775983E-2</v>
      </c>
      <c r="G375" s="40">
        <f t="shared" si="14"/>
        <v>0</v>
      </c>
      <c r="H375" s="33">
        <f t="shared" si="15"/>
        <v>-5.4295345932775983E-2</v>
      </c>
      <c r="I375" s="43"/>
      <c r="K375"/>
      <c r="L375"/>
    </row>
    <row r="376" spans="2:12" ht="15">
      <c r="B376" s="32">
        <v>1</v>
      </c>
      <c r="C376" s="66" t="s">
        <v>62</v>
      </c>
      <c r="D376" s="64">
        <v>41863</v>
      </c>
      <c r="E376">
        <v>3.2645538502462657E-2</v>
      </c>
      <c r="F376">
        <v>5.3483623769228592E-2</v>
      </c>
      <c r="G376" s="40">
        <f t="shared" si="14"/>
        <v>0</v>
      </c>
      <c r="H376" s="33">
        <f t="shared" si="15"/>
        <v>-5.3483623769228592E-2</v>
      </c>
      <c r="I376" s="43"/>
      <c r="K376"/>
      <c r="L376"/>
    </row>
    <row r="377" spans="2:12" ht="15">
      <c r="B377" s="32">
        <v>1</v>
      </c>
      <c r="C377" s="66" t="s">
        <v>62</v>
      </c>
      <c r="D377" s="64">
        <v>41864</v>
      </c>
      <c r="E377">
        <v>2.7011300349695233E-2</v>
      </c>
      <c r="F377">
        <v>5.4872271238387373E-2</v>
      </c>
      <c r="G377" s="40">
        <f t="shared" si="14"/>
        <v>0</v>
      </c>
      <c r="H377" s="33">
        <f t="shared" si="15"/>
        <v>-5.4872271238387373E-2</v>
      </c>
      <c r="I377" s="43"/>
      <c r="K377"/>
      <c r="L377"/>
    </row>
    <row r="378" spans="2:12" ht="15">
      <c r="B378" s="32">
        <v>1</v>
      </c>
      <c r="C378" s="66" t="s">
        <v>62</v>
      </c>
      <c r="D378" s="64">
        <v>41865</v>
      </c>
      <c r="E378">
        <v>2.2724887830975149E-2</v>
      </c>
      <c r="F378">
        <v>5.4907127305526479E-2</v>
      </c>
      <c r="G378" s="40">
        <f t="shared" si="14"/>
        <v>0</v>
      </c>
      <c r="H378" s="33">
        <f t="shared" si="15"/>
        <v>-5.4907127305526479E-2</v>
      </c>
      <c r="I378" s="43"/>
      <c r="K378"/>
      <c r="L378"/>
    </row>
    <row r="379" spans="2:12" ht="15">
      <c r="B379" s="32">
        <v>1</v>
      </c>
      <c r="C379" s="66" t="s">
        <v>62</v>
      </c>
      <c r="D379" s="64">
        <v>41866</v>
      </c>
      <c r="E379">
        <v>2.1094931974862341E-2</v>
      </c>
      <c r="F379">
        <v>5.151857543508271E-2</v>
      </c>
      <c r="G379" s="40">
        <f t="shared" si="14"/>
        <v>0</v>
      </c>
      <c r="H379" s="33">
        <f t="shared" si="15"/>
        <v>-5.151857543508271E-2</v>
      </c>
      <c r="I379" s="43"/>
      <c r="K379"/>
      <c r="L379"/>
    </row>
    <row r="380" spans="2:12" ht="15">
      <c r="B380" s="32">
        <v>1</v>
      </c>
      <c r="C380" s="66" t="s">
        <v>62</v>
      </c>
      <c r="D380" s="64">
        <v>41869</v>
      </c>
      <c r="E380">
        <v>1.5914363469766712E-2</v>
      </c>
      <c r="F380">
        <v>5.0657332676887372E-2</v>
      </c>
      <c r="G380" s="40">
        <f t="shared" si="14"/>
        <v>0</v>
      </c>
      <c r="H380" s="33">
        <f t="shared" si="15"/>
        <v>-5.0657332676887372E-2</v>
      </c>
      <c r="I380" s="43"/>
      <c r="K380"/>
      <c r="L380"/>
    </row>
    <row r="381" spans="2:12" ht="15">
      <c r="B381" s="32">
        <v>1</v>
      </c>
      <c r="C381" s="66" t="s">
        <v>62</v>
      </c>
      <c r="D381" s="64">
        <v>41870</v>
      </c>
      <c r="E381">
        <v>1.038195865527225E-2</v>
      </c>
      <c r="F381">
        <v>5.1168229161906484E-2</v>
      </c>
      <c r="G381" s="40">
        <f t="shared" si="14"/>
        <v>0</v>
      </c>
      <c r="H381" s="33">
        <f t="shared" si="15"/>
        <v>-5.1168229161906484E-2</v>
      </c>
      <c r="I381" s="43"/>
      <c r="K381"/>
      <c r="L381"/>
    </row>
    <row r="382" spans="2:12" ht="15">
      <c r="B382" s="32">
        <v>1</v>
      </c>
      <c r="C382" s="66" t="s">
        <v>62</v>
      </c>
      <c r="D382" s="64">
        <v>41871</v>
      </c>
      <c r="E382">
        <v>7.1277660075503846E-3</v>
      </c>
      <c r="F382">
        <v>5.0683487554627857E-2</v>
      </c>
      <c r="G382" s="40">
        <f t="shared" si="14"/>
        <v>0</v>
      </c>
      <c r="H382" s="33">
        <f t="shared" si="15"/>
        <v>-5.0683487554627857E-2</v>
      </c>
      <c r="I382" s="43"/>
      <c r="K382"/>
      <c r="L382"/>
    </row>
    <row r="383" spans="2:12" ht="15">
      <c r="B383" s="32">
        <v>1</v>
      </c>
      <c r="C383" s="66" t="s">
        <v>62</v>
      </c>
      <c r="D383" s="64">
        <v>41872</v>
      </c>
      <c r="E383">
        <v>2.6466193437100216E-3</v>
      </c>
      <c r="F383">
        <v>5.0826511003847746E-2</v>
      </c>
      <c r="G383" s="40">
        <f t="shared" si="14"/>
        <v>0</v>
      </c>
      <c r="H383" s="33">
        <f t="shared" si="15"/>
        <v>-5.0826511003847746E-2</v>
      </c>
      <c r="I383" s="43"/>
      <c r="K383"/>
      <c r="L383"/>
    </row>
    <row r="384" spans="2:12" ht="15">
      <c r="B384" s="32">
        <v>1</v>
      </c>
      <c r="C384" s="66" t="s">
        <v>62</v>
      </c>
      <c r="D384" s="64">
        <v>41873</v>
      </c>
      <c r="E384">
        <v>9.6644423553167158E-3</v>
      </c>
      <c r="F384">
        <v>5.0935098072443938E-2</v>
      </c>
      <c r="G384" s="40">
        <f t="shared" si="14"/>
        <v>0</v>
      </c>
      <c r="H384" s="33">
        <f t="shared" si="15"/>
        <v>-5.0935098072443938E-2</v>
      </c>
      <c r="I384" s="43"/>
      <c r="K384"/>
      <c r="L384"/>
    </row>
    <row r="385" spans="2:12" ht="15">
      <c r="B385" s="32">
        <v>1</v>
      </c>
      <c r="C385" s="66" t="s">
        <v>62</v>
      </c>
      <c r="D385" s="64">
        <v>41876</v>
      </c>
      <c r="E385">
        <v>1.8102423394301681E-3</v>
      </c>
      <c r="F385">
        <v>5.0790607573987533E-2</v>
      </c>
      <c r="G385" s="40">
        <f t="shared" si="14"/>
        <v>0</v>
      </c>
      <c r="H385" s="33">
        <f t="shared" si="15"/>
        <v>-5.0790607573987533E-2</v>
      </c>
      <c r="I385" s="43"/>
      <c r="K385"/>
      <c r="L385"/>
    </row>
    <row r="386" spans="2:12" ht="15">
      <c r="B386" s="32">
        <v>1</v>
      </c>
      <c r="C386" s="66" t="s">
        <v>62</v>
      </c>
      <c r="D386" s="64">
        <v>41877</v>
      </c>
      <c r="E386">
        <v>-5.8068084685789501E-3</v>
      </c>
      <c r="F386">
        <v>5.0798007342607553E-2</v>
      </c>
      <c r="G386" s="40">
        <f t="shared" si="14"/>
        <v>0</v>
      </c>
      <c r="H386" s="33">
        <f t="shared" si="15"/>
        <v>-5.0798007342607553E-2</v>
      </c>
      <c r="I386" s="43"/>
      <c r="K386"/>
      <c r="L386"/>
    </row>
    <row r="387" spans="2:12" ht="15">
      <c r="B387" s="32">
        <v>1</v>
      </c>
      <c r="C387" s="66" t="s">
        <v>62</v>
      </c>
      <c r="D387" s="64">
        <v>41878</v>
      </c>
      <c r="E387">
        <v>-2.2173506177907143E-3</v>
      </c>
      <c r="F387">
        <v>5.0094502471415635E-2</v>
      </c>
      <c r="G387" s="40">
        <f t="shared" si="14"/>
        <v>0</v>
      </c>
      <c r="H387" s="33">
        <f t="shared" si="15"/>
        <v>-5.0094502471415635E-2</v>
      </c>
      <c r="I387" s="43"/>
      <c r="K387"/>
      <c r="L387"/>
    </row>
    <row r="388" spans="2:12" ht="15">
      <c r="B388" s="32">
        <v>1</v>
      </c>
      <c r="C388" s="66" t="s">
        <v>62</v>
      </c>
      <c r="D388" s="64">
        <v>41879</v>
      </c>
      <c r="E388">
        <v>3.5549686818292514E-4</v>
      </c>
      <c r="F388">
        <v>5.0236018480799095E-2</v>
      </c>
      <c r="G388" s="40">
        <f t="shared" si="14"/>
        <v>0</v>
      </c>
      <c r="H388" s="33">
        <f t="shared" si="15"/>
        <v>-5.0236018480799095E-2</v>
      </c>
      <c r="I388" s="43"/>
      <c r="K388"/>
      <c r="L388"/>
    </row>
    <row r="389" spans="2:12" ht="15">
      <c r="B389" s="32">
        <v>1</v>
      </c>
      <c r="C389" s="66" t="s">
        <v>62</v>
      </c>
      <c r="D389" s="64">
        <v>41880</v>
      </c>
      <c r="E389">
        <v>-8.9398229571573395E-3</v>
      </c>
      <c r="F389">
        <v>3.6004026060400533E-2</v>
      </c>
      <c r="G389" s="40">
        <f t="shared" si="14"/>
        <v>0</v>
      </c>
      <c r="H389" s="33">
        <f t="shared" si="15"/>
        <v>-3.6004026060400533E-2</v>
      </c>
      <c r="I389" s="43"/>
      <c r="K389"/>
      <c r="L389"/>
    </row>
    <row r="390" spans="2:12" ht="15">
      <c r="B390" s="32">
        <v>1</v>
      </c>
      <c r="C390" s="66" t="s">
        <v>62</v>
      </c>
      <c r="D390" s="64">
        <v>41884</v>
      </c>
      <c r="E390">
        <v>-9.1060123072503885E-3</v>
      </c>
      <c r="F390">
        <v>3.5385370714841415E-2</v>
      </c>
      <c r="G390" s="40">
        <f t="shared" ref="G390:G453" si="16">--(E390&lt;-F390)</f>
        <v>0</v>
      </c>
      <c r="H390" s="33">
        <f t="shared" ref="H390:H453" si="17">-F390</f>
        <v>-3.5385370714841415E-2</v>
      </c>
      <c r="I390" s="43"/>
      <c r="K390"/>
      <c r="L390"/>
    </row>
    <row r="391" spans="2:12" ht="15">
      <c r="B391" s="32">
        <v>1</v>
      </c>
      <c r="C391" s="66" t="s">
        <v>62</v>
      </c>
      <c r="D391" s="64">
        <v>41885</v>
      </c>
      <c r="E391">
        <v>-8.7006082010265828E-4</v>
      </c>
      <c r="F391">
        <v>3.4455730577318482E-2</v>
      </c>
      <c r="G391" s="40">
        <f t="shared" si="16"/>
        <v>0</v>
      </c>
      <c r="H391" s="33">
        <f t="shared" si="17"/>
        <v>-3.4455730577318482E-2</v>
      </c>
      <c r="I391" s="43"/>
      <c r="K391"/>
      <c r="L391"/>
    </row>
    <row r="392" spans="2:12" ht="15">
      <c r="B392" s="32">
        <v>1</v>
      </c>
      <c r="C392" s="66" t="s">
        <v>62</v>
      </c>
      <c r="D392" s="64">
        <v>41886</v>
      </c>
      <c r="E392">
        <v>1.9603439094337816E-3</v>
      </c>
      <c r="F392">
        <v>2.9366559787047757E-2</v>
      </c>
      <c r="G392" s="40">
        <f t="shared" si="16"/>
        <v>0</v>
      </c>
      <c r="H392" s="33">
        <f t="shared" si="17"/>
        <v>-2.9366559787047757E-2</v>
      </c>
      <c r="I392" s="43"/>
      <c r="K392"/>
      <c r="L392"/>
    </row>
    <row r="393" spans="2:12" ht="15">
      <c r="B393" s="32">
        <v>1</v>
      </c>
      <c r="C393" s="66" t="s">
        <v>62</v>
      </c>
      <c r="D393" s="64">
        <v>41887</v>
      </c>
      <c r="E393">
        <v>1.8163530630399549E-3</v>
      </c>
      <c r="F393">
        <v>2.9604382543856944E-2</v>
      </c>
      <c r="G393" s="40">
        <f t="shared" si="16"/>
        <v>0</v>
      </c>
      <c r="H393" s="33">
        <f t="shared" si="17"/>
        <v>-2.9604382543856944E-2</v>
      </c>
      <c r="I393" s="43"/>
      <c r="K393"/>
      <c r="L393"/>
    </row>
    <row r="394" spans="2:12" ht="15">
      <c r="B394" s="32">
        <v>1</v>
      </c>
      <c r="C394" s="66" t="s">
        <v>62</v>
      </c>
      <c r="D394" s="64">
        <v>41890</v>
      </c>
      <c r="E394">
        <v>4.4168154381365454E-3</v>
      </c>
      <c r="F394">
        <v>2.808207616439368E-2</v>
      </c>
      <c r="G394" s="40">
        <f t="shared" si="16"/>
        <v>0</v>
      </c>
      <c r="H394" s="33">
        <f t="shared" si="17"/>
        <v>-2.808207616439368E-2</v>
      </c>
      <c r="I394" s="43"/>
      <c r="K394"/>
      <c r="L394"/>
    </row>
    <row r="395" spans="2:12" ht="15">
      <c r="B395" s="32">
        <v>1</v>
      </c>
      <c r="C395" s="66" t="s">
        <v>62</v>
      </c>
      <c r="D395" s="64">
        <v>41891</v>
      </c>
      <c r="E395">
        <v>2.9377347883041693E-3</v>
      </c>
      <c r="F395">
        <v>2.6949225944751107E-2</v>
      </c>
      <c r="G395" s="40">
        <f t="shared" si="16"/>
        <v>0</v>
      </c>
      <c r="H395" s="33">
        <f t="shared" si="17"/>
        <v>-2.6949225944751107E-2</v>
      </c>
      <c r="I395" s="43"/>
      <c r="K395"/>
      <c r="L395"/>
    </row>
    <row r="396" spans="2:12" ht="15">
      <c r="B396" s="32">
        <v>1</v>
      </c>
      <c r="C396" s="66" t="s">
        <v>62</v>
      </c>
      <c r="D396" s="64">
        <v>41892</v>
      </c>
      <c r="E396">
        <v>-6.4949586246809687E-3</v>
      </c>
      <c r="F396">
        <v>2.710807088815408E-2</v>
      </c>
      <c r="G396" s="40">
        <f t="shared" si="16"/>
        <v>0</v>
      </c>
      <c r="H396" s="33">
        <f t="shared" si="17"/>
        <v>-2.710807088815408E-2</v>
      </c>
      <c r="I396" s="43"/>
      <c r="K396"/>
      <c r="L396"/>
    </row>
    <row r="397" spans="2:12" ht="15">
      <c r="B397" s="32">
        <v>1</v>
      </c>
      <c r="C397" s="66" t="s">
        <v>62</v>
      </c>
      <c r="D397" s="64">
        <v>41893</v>
      </c>
      <c r="E397">
        <v>4.2550110133365848E-4</v>
      </c>
      <c r="F397">
        <v>2.6635770248109987E-2</v>
      </c>
      <c r="G397" s="40">
        <f t="shared" si="16"/>
        <v>0</v>
      </c>
      <c r="H397" s="33">
        <f t="shared" si="17"/>
        <v>-2.6635770248109987E-2</v>
      </c>
      <c r="I397" s="43"/>
      <c r="K397"/>
      <c r="L397"/>
    </row>
    <row r="398" spans="2:12" ht="15">
      <c r="B398" s="32">
        <v>1</v>
      </c>
      <c r="C398" s="66" t="s">
        <v>62</v>
      </c>
      <c r="D398" s="64">
        <v>41894</v>
      </c>
      <c r="E398">
        <v>-9.8950069316261491E-3</v>
      </c>
      <c r="F398">
        <v>2.775680994073167E-2</v>
      </c>
      <c r="G398" s="40">
        <f t="shared" si="16"/>
        <v>0</v>
      </c>
      <c r="H398" s="33">
        <f t="shared" si="17"/>
        <v>-2.775680994073167E-2</v>
      </c>
      <c r="I398" s="43"/>
      <c r="K398"/>
      <c r="L398"/>
    </row>
    <row r="399" spans="2:12" ht="15">
      <c r="B399" s="32">
        <v>1</v>
      </c>
      <c r="C399" s="66" t="s">
        <v>62</v>
      </c>
      <c r="D399" s="64">
        <v>41897</v>
      </c>
      <c r="E399">
        <v>-6.4534182201825274E-4</v>
      </c>
      <c r="F399">
        <v>2.7263916492316367E-2</v>
      </c>
      <c r="G399" s="40">
        <f t="shared" si="16"/>
        <v>0</v>
      </c>
      <c r="H399" s="33">
        <f t="shared" si="17"/>
        <v>-2.7263916492316367E-2</v>
      </c>
      <c r="I399" s="43"/>
      <c r="K399"/>
      <c r="L399"/>
    </row>
    <row r="400" spans="2:12" ht="15">
      <c r="B400" s="32">
        <v>1</v>
      </c>
      <c r="C400" s="66" t="s">
        <v>62</v>
      </c>
      <c r="D400" s="64">
        <v>41898</v>
      </c>
      <c r="E400">
        <v>-1.0651899831852774E-2</v>
      </c>
      <c r="F400">
        <v>2.9291650517014062E-2</v>
      </c>
      <c r="G400" s="40">
        <f t="shared" si="16"/>
        <v>0</v>
      </c>
      <c r="H400" s="33">
        <f t="shared" si="17"/>
        <v>-2.9291650517014062E-2</v>
      </c>
      <c r="I400" s="43"/>
      <c r="K400"/>
      <c r="L400"/>
    </row>
    <row r="401" spans="2:12" ht="15">
      <c r="B401" s="32">
        <v>1</v>
      </c>
      <c r="C401" s="66" t="s">
        <v>62</v>
      </c>
      <c r="D401" s="64">
        <v>41899</v>
      </c>
      <c r="E401">
        <v>-1.473652166392192E-2</v>
      </c>
      <c r="F401">
        <v>2.649123224788676E-2</v>
      </c>
      <c r="G401" s="40">
        <f t="shared" si="16"/>
        <v>0</v>
      </c>
      <c r="H401" s="33">
        <f t="shared" si="17"/>
        <v>-2.649123224788676E-2</v>
      </c>
      <c r="I401" s="43"/>
      <c r="K401"/>
      <c r="L401"/>
    </row>
    <row r="402" spans="2:12" ht="15">
      <c r="B402" s="32">
        <v>1</v>
      </c>
      <c r="C402" s="66" t="s">
        <v>62</v>
      </c>
      <c r="D402" s="64">
        <v>41900</v>
      </c>
      <c r="E402">
        <v>-3.295288493416848E-2</v>
      </c>
      <c r="F402">
        <v>2.6444220153459892E-2</v>
      </c>
      <c r="G402" s="40">
        <f t="shared" si="16"/>
        <v>1</v>
      </c>
      <c r="H402" s="33">
        <f t="shared" si="17"/>
        <v>-2.6444220153459892E-2</v>
      </c>
      <c r="I402" s="43">
        <f t="shared" ref="I366:I429" si="18">IF(G402=0,"",E402)</f>
        <v>-3.295288493416848E-2</v>
      </c>
      <c r="K402"/>
      <c r="L402"/>
    </row>
    <row r="403" spans="2:12" ht="15">
      <c r="B403" s="32">
        <v>1</v>
      </c>
      <c r="C403" s="66" t="s">
        <v>62</v>
      </c>
      <c r="D403" s="64">
        <v>41901</v>
      </c>
      <c r="E403">
        <v>-3.2470357943913619E-2</v>
      </c>
      <c r="F403">
        <v>2.6335507982423775E-2</v>
      </c>
      <c r="G403" s="40">
        <f t="shared" si="16"/>
        <v>1</v>
      </c>
      <c r="H403" s="33">
        <f t="shared" si="17"/>
        <v>-2.6335507982423775E-2</v>
      </c>
      <c r="I403" s="43">
        <f t="shared" si="18"/>
        <v>-3.2470357943913619E-2</v>
      </c>
      <c r="K403"/>
      <c r="L403"/>
    </row>
    <row r="404" spans="2:12" ht="15">
      <c r="B404" s="32">
        <v>1</v>
      </c>
      <c r="C404" s="66" t="s">
        <v>62</v>
      </c>
      <c r="D404" s="64">
        <v>41904</v>
      </c>
      <c r="E404">
        <v>-1.3321120302921763E-2</v>
      </c>
      <c r="F404">
        <v>2.9385997258485744E-2</v>
      </c>
      <c r="G404" s="40">
        <f t="shared" si="16"/>
        <v>0</v>
      </c>
      <c r="H404" s="33">
        <f t="shared" si="17"/>
        <v>-2.9385997258485744E-2</v>
      </c>
      <c r="I404" s="43"/>
      <c r="K404"/>
      <c r="L404"/>
    </row>
    <row r="405" spans="2:12" ht="15">
      <c r="B405" s="32">
        <v>1</v>
      </c>
      <c r="C405" s="66" t="s">
        <v>62</v>
      </c>
      <c r="D405" s="64">
        <v>41905</v>
      </c>
      <c r="E405">
        <v>-9.0942564291562888E-3</v>
      </c>
      <c r="F405">
        <v>3.0702957339281092E-2</v>
      </c>
      <c r="G405" s="40">
        <f t="shared" si="16"/>
        <v>0</v>
      </c>
      <c r="H405" s="33">
        <f t="shared" si="17"/>
        <v>-3.0702957339281092E-2</v>
      </c>
      <c r="I405" s="43"/>
      <c r="K405"/>
      <c r="L405"/>
    </row>
    <row r="406" spans="2:12" ht="15">
      <c r="B406" s="32">
        <v>1</v>
      </c>
      <c r="C406" s="66" t="s">
        <v>62</v>
      </c>
      <c r="D406" s="64">
        <v>41906</v>
      </c>
      <c r="E406">
        <v>-3.2137851295444442E-2</v>
      </c>
      <c r="F406">
        <v>3.2352494129358124E-2</v>
      </c>
      <c r="G406" s="40">
        <f t="shared" si="16"/>
        <v>0</v>
      </c>
      <c r="H406" s="33">
        <f t="shared" si="17"/>
        <v>-3.2352494129358124E-2</v>
      </c>
      <c r="I406" s="43"/>
      <c r="K406"/>
      <c r="L406"/>
    </row>
    <row r="407" spans="2:12" ht="15">
      <c r="B407" s="32">
        <v>1</v>
      </c>
      <c r="C407" s="66" t="s">
        <v>62</v>
      </c>
      <c r="D407" s="64">
        <v>41907</v>
      </c>
      <c r="E407">
        <v>1.4740096375955858E-3</v>
      </c>
      <c r="F407">
        <v>4.1530435729910331E-2</v>
      </c>
      <c r="G407" s="40">
        <f t="shared" si="16"/>
        <v>0</v>
      </c>
      <c r="H407" s="33">
        <f t="shared" si="17"/>
        <v>-4.1530435729910331E-2</v>
      </c>
      <c r="I407" s="43"/>
      <c r="K407"/>
      <c r="L407"/>
    </row>
    <row r="408" spans="2:12" ht="15">
      <c r="B408" s="32">
        <v>1</v>
      </c>
      <c r="C408" s="66" t="s">
        <v>62</v>
      </c>
      <c r="D408" s="64">
        <v>41908</v>
      </c>
      <c r="E408">
        <v>-2.7943100414903554E-2</v>
      </c>
      <c r="F408">
        <v>4.4162696842198278E-2</v>
      </c>
      <c r="G408" s="40">
        <f t="shared" si="16"/>
        <v>0</v>
      </c>
      <c r="H408" s="33">
        <f t="shared" si="17"/>
        <v>-4.4162696842198278E-2</v>
      </c>
      <c r="I408" s="43"/>
      <c r="K408"/>
      <c r="L408"/>
    </row>
    <row r="409" spans="2:12" ht="15">
      <c r="B409" s="32">
        <v>1</v>
      </c>
      <c r="C409" s="66" t="s">
        <v>62</v>
      </c>
      <c r="D409" s="64">
        <v>41911</v>
      </c>
      <c r="E409">
        <v>-3.6910129433213257E-2</v>
      </c>
      <c r="F409">
        <v>4.4251385942736664E-2</v>
      </c>
      <c r="G409" s="40">
        <f t="shared" si="16"/>
        <v>0</v>
      </c>
      <c r="H409" s="33">
        <f t="shared" si="17"/>
        <v>-4.4251385942736664E-2</v>
      </c>
      <c r="I409" s="43"/>
      <c r="K409"/>
      <c r="L409"/>
    </row>
    <row r="410" spans="2:12" ht="15">
      <c r="B410" s="32">
        <v>1</v>
      </c>
      <c r="C410" s="66" t="s">
        <v>62</v>
      </c>
      <c r="D410" s="64">
        <v>41912</v>
      </c>
      <c r="E410">
        <v>-5.0725346159328666E-2</v>
      </c>
      <c r="F410">
        <v>4.3928518808692071E-2</v>
      </c>
      <c r="G410" s="40">
        <f t="shared" si="16"/>
        <v>1</v>
      </c>
      <c r="H410" s="33">
        <f t="shared" si="17"/>
        <v>-4.3928518808692071E-2</v>
      </c>
      <c r="I410" s="43">
        <f t="shared" si="18"/>
        <v>-5.0725346159328666E-2</v>
      </c>
      <c r="K410"/>
      <c r="L410"/>
    </row>
    <row r="411" spans="2:12" ht="15">
      <c r="B411" s="32">
        <v>1</v>
      </c>
      <c r="C411" s="66" t="s">
        <v>62</v>
      </c>
      <c r="D411" s="64">
        <v>41913</v>
      </c>
      <c r="E411">
        <v>-3.581062027170212E-2</v>
      </c>
      <c r="F411">
        <v>4.8348807364194467E-2</v>
      </c>
      <c r="G411" s="40">
        <f t="shared" si="16"/>
        <v>0</v>
      </c>
      <c r="H411" s="33">
        <f t="shared" si="17"/>
        <v>-4.8348807364194467E-2</v>
      </c>
      <c r="I411" s="43"/>
      <c r="K411"/>
      <c r="L411"/>
    </row>
    <row r="412" spans="2:12" ht="15">
      <c r="B412" s="32">
        <v>1</v>
      </c>
      <c r="C412" s="66" t="s">
        <v>62</v>
      </c>
      <c r="D412" s="64">
        <v>41914</v>
      </c>
      <c r="E412">
        <v>-4.3949064480763411E-2</v>
      </c>
      <c r="F412">
        <v>4.8390412820174998E-2</v>
      </c>
      <c r="G412" s="40">
        <f t="shared" si="16"/>
        <v>0</v>
      </c>
      <c r="H412" s="33">
        <f t="shared" si="17"/>
        <v>-4.8390412820174998E-2</v>
      </c>
      <c r="I412" s="43"/>
      <c r="K412"/>
      <c r="L412"/>
    </row>
    <row r="413" spans="2:12" ht="15">
      <c r="B413" s="32">
        <v>1</v>
      </c>
      <c r="C413" s="66" t="s">
        <v>62</v>
      </c>
      <c r="D413" s="64">
        <v>41915</v>
      </c>
      <c r="E413">
        <v>-5.4907732314055657E-2</v>
      </c>
      <c r="F413">
        <v>5.2329029938201661E-2</v>
      </c>
      <c r="G413" s="40">
        <f t="shared" si="16"/>
        <v>1</v>
      </c>
      <c r="H413" s="33">
        <f t="shared" si="17"/>
        <v>-5.2329029938201661E-2</v>
      </c>
      <c r="I413" s="43">
        <f t="shared" si="18"/>
        <v>-5.4907732314055657E-2</v>
      </c>
      <c r="K413"/>
      <c r="L413"/>
    </row>
    <row r="414" spans="2:12" ht="15">
      <c r="B414" s="32">
        <v>1</v>
      </c>
      <c r="C414" s="66" t="s">
        <v>62</v>
      </c>
      <c r="D414" s="64">
        <v>41918</v>
      </c>
      <c r="E414">
        <v>-4.0539533000400141E-2</v>
      </c>
      <c r="F414">
        <v>5.1435506080941107E-2</v>
      </c>
      <c r="G414" s="40">
        <f t="shared" si="16"/>
        <v>0</v>
      </c>
      <c r="H414" s="33">
        <f t="shared" si="17"/>
        <v>-5.1435506080941107E-2</v>
      </c>
      <c r="I414" s="43"/>
      <c r="K414"/>
      <c r="L414"/>
    </row>
    <row r="415" spans="2:12" ht="15">
      <c r="B415" s="32">
        <v>1</v>
      </c>
      <c r="C415" s="66" t="s">
        <v>62</v>
      </c>
      <c r="D415" s="64">
        <v>41919</v>
      </c>
      <c r="E415">
        <v>-1.6196798622210018E-2</v>
      </c>
      <c r="F415">
        <v>5.6230163291929383E-2</v>
      </c>
      <c r="G415" s="40">
        <f t="shared" si="16"/>
        <v>0</v>
      </c>
      <c r="H415" s="33">
        <f t="shared" si="17"/>
        <v>-5.6230163291929383E-2</v>
      </c>
      <c r="I415" s="43"/>
      <c r="K415"/>
      <c r="L415"/>
    </row>
    <row r="416" spans="2:12" ht="15">
      <c r="B416" s="32">
        <v>1</v>
      </c>
      <c r="C416" s="66" t="s">
        <v>62</v>
      </c>
      <c r="D416" s="64">
        <v>41920</v>
      </c>
      <c r="E416">
        <v>-1.4122375533125009E-2</v>
      </c>
      <c r="F416">
        <v>6.3168855442150867E-2</v>
      </c>
      <c r="G416" s="40">
        <f t="shared" si="16"/>
        <v>0</v>
      </c>
      <c r="H416" s="33">
        <f t="shared" si="17"/>
        <v>-6.3168855442150867E-2</v>
      </c>
      <c r="I416" s="43"/>
      <c r="K416"/>
      <c r="L416"/>
    </row>
    <row r="417" spans="2:12" ht="15">
      <c r="B417" s="32">
        <v>1</v>
      </c>
      <c r="C417" s="66" t="s">
        <v>62</v>
      </c>
      <c r="D417" s="64">
        <v>41921</v>
      </c>
      <c r="E417">
        <v>-5.7062762377935172E-4</v>
      </c>
      <c r="F417">
        <v>7.0668670710198334E-2</v>
      </c>
      <c r="G417" s="40">
        <f t="shared" si="16"/>
        <v>0</v>
      </c>
      <c r="H417" s="33">
        <f t="shared" si="17"/>
        <v>-7.0668670710198334E-2</v>
      </c>
      <c r="I417" s="43"/>
      <c r="K417"/>
      <c r="L417"/>
    </row>
    <row r="418" spans="2:12" ht="15">
      <c r="B418" s="32">
        <v>1</v>
      </c>
      <c r="C418" s="66" t="s">
        <v>62</v>
      </c>
      <c r="D418" s="64">
        <v>41922</v>
      </c>
      <c r="E418">
        <v>2.3174758129220763E-2</v>
      </c>
      <c r="F418">
        <v>7.225764062828148E-2</v>
      </c>
      <c r="G418" s="40">
        <f t="shared" si="16"/>
        <v>0</v>
      </c>
      <c r="H418" s="33">
        <f t="shared" si="17"/>
        <v>-7.225764062828148E-2</v>
      </c>
      <c r="I418" s="43"/>
      <c r="K418"/>
      <c r="L418"/>
    </row>
    <row r="419" spans="2:12" ht="15">
      <c r="B419" s="32">
        <v>1</v>
      </c>
      <c r="C419" s="66" t="s">
        <v>62</v>
      </c>
      <c r="D419" s="64">
        <v>41925</v>
      </c>
      <c r="E419">
        <v>4.6808481814293756E-2</v>
      </c>
      <c r="F419">
        <v>7.5682322673536445E-2</v>
      </c>
      <c r="G419" s="40">
        <f t="shared" si="16"/>
        <v>0</v>
      </c>
      <c r="H419" s="33">
        <f t="shared" si="17"/>
        <v>-7.5682322673536445E-2</v>
      </c>
      <c r="I419" s="43"/>
      <c r="K419"/>
      <c r="L419"/>
    </row>
    <row r="420" spans="2:12" ht="15">
      <c r="B420" s="32">
        <v>1</v>
      </c>
      <c r="C420" s="66" t="s">
        <v>62</v>
      </c>
      <c r="D420" s="64">
        <v>41926</v>
      </c>
      <c r="E420">
        <v>4.3728165308682954E-2</v>
      </c>
      <c r="F420">
        <v>7.593659555394458E-2</v>
      </c>
      <c r="G420" s="40">
        <f t="shared" si="16"/>
        <v>0</v>
      </c>
      <c r="H420" s="33">
        <f t="shared" si="17"/>
        <v>-7.593659555394458E-2</v>
      </c>
      <c r="I420" s="43"/>
      <c r="K420"/>
      <c r="L420"/>
    </row>
    <row r="421" spans="2:12" ht="15">
      <c r="B421" s="32">
        <v>1</v>
      </c>
      <c r="C421" s="66" t="s">
        <v>62</v>
      </c>
      <c r="D421" s="64">
        <v>41927</v>
      </c>
      <c r="E421">
        <v>6.3729830662820675E-2</v>
      </c>
      <c r="F421">
        <v>7.4445254736232341E-2</v>
      </c>
      <c r="G421" s="40">
        <f t="shared" si="16"/>
        <v>0</v>
      </c>
      <c r="H421" s="33">
        <f t="shared" si="17"/>
        <v>-7.4445254736232341E-2</v>
      </c>
      <c r="I421" s="43"/>
      <c r="K421"/>
      <c r="L421"/>
    </row>
    <row r="422" spans="2:12" ht="15">
      <c r="B422" s="32">
        <v>1</v>
      </c>
      <c r="C422" s="66" t="s">
        <v>62</v>
      </c>
      <c r="D422" s="64">
        <v>41928</v>
      </c>
      <c r="E422">
        <v>6.2198547220195799E-2</v>
      </c>
      <c r="F422">
        <v>7.4273070811970557E-2</v>
      </c>
      <c r="G422" s="40">
        <f t="shared" si="16"/>
        <v>0</v>
      </c>
      <c r="H422" s="33">
        <f t="shared" si="17"/>
        <v>-7.4273070811970557E-2</v>
      </c>
      <c r="I422" s="43"/>
      <c r="K422"/>
      <c r="L422"/>
    </row>
    <row r="423" spans="2:12" ht="15">
      <c r="B423" s="32">
        <v>1</v>
      </c>
      <c r="C423" s="66" t="s">
        <v>62</v>
      </c>
      <c r="D423" s="64">
        <v>41929</v>
      </c>
      <c r="E423">
        <v>5.560753079823133E-2</v>
      </c>
      <c r="F423">
        <v>7.7680060350010516E-2</v>
      </c>
      <c r="G423" s="40">
        <f t="shared" si="16"/>
        <v>0</v>
      </c>
      <c r="H423" s="33">
        <f t="shared" si="17"/>
        <v>-7.7680060350010516E-2</v>
      </c>
      <c r="I423" s="43"/>
      <c r="K423"/>
      <c r="L423"/>
    </row>
    <row r="424" spans="2:12" ht="15">
      <c r="B424" s="32">
        <v>1</v>
      </c>
      <c r="C424" s="66" t="s">
        <v>62</v>
      </c>
      <c r="D424" s="64">
        <v>41932</v>
      </c>
      <c r="E424">
        <v>5.8169529203979664E-2</v>
      </c>
      <c r="F424">
        <v>8.0023409366966974E-2</v>
      </c>
      <c r="G424" s="40">
        <f t="shared" si="16"/>
        <v>0</v>
      </c>
      <c r="H424" s="33">
        <f t="shared" si="17"/>
        <v>-8.0023409366966974E-2</v>
      </c>
      <c r="I424" s="43"/>
      <c r="K424"/>
      <c r="L424"/>
    </row>
    <row r="425" spans="2:12" ht="15">
      <c r="B425" s="32">
        <v>1</v>
      </c>
      <c r="C425" s="66" t="s">
        <v>62</v>
      </c>
      <c r="D425" s="64">
        <v>41933</v>
      </c>
      <c r="E425">
        <v>3.8665229852015592E-2</v>
      </c>
      <c r="F425">
        <v>8.6792088706406756E-2</v>
      </c>
      <c r="G425" s="40">
        <f t="shared" si="16"/>
        <v>0</v>
      </c>
      <c r="H425" s="33">
        <f t="shared" si="17"/>
        <v>-8.6792088706406756E-2</v>
      </c>
      <c r="I425" s="43"/>
      <c r="K425"/>
      <c r="L425"/>
    </row>
    <row r="426" spans="2:12" ht="15">
      <c r="B426" s="32">
        <v>1</v>
      </c>
      <c r="C426" s="66" t="s">
        <v>62</v>
      </c>
      <c r="D426" s="64">
        <v>41934</v>
      </c>
      <c r="E426">
        <v>4.3157477294919033E-2</v>
      </c>
      <c r="F426">
        <v>8.704216333651979E-2</v>
      </c>
      <c r="G426" s="40">
        <f t="shared" si="16"/>
        <v>0</v>
      </c>
      <c r="H426" s="33">
        <f t="shared" si="17"/>
        <v>-8.704216333651979E-2</v>
      </c>
      <c r="I426" s="43"/>
      <c r="K426"/>
      <c r="L426"/>
    </row>
    <row r="427" spans="2:12" ht="15">
      <c r="B427" s="32">
        <v>1</v>
      </c>
      <c r="C427" s="66" t="s">
        <v>62</v>
      </c>
      <c r="D427" s="64">
        <v>41935</v>
      </c>
      <c r="E427">
        <v>3.6613482251235396E-2</v>
      </c>
      <c r="F427">
        <v>8.8578803194946806E-2</v>
      </c>
      <c r="G427" s="40">
        <f t="shared" si="16"/>
        <v>0</v>
      </c>
      <c r="H427" s="33">
        <f t="shared" si="17"/>
        <v>-8.8578803194946806E-2</v>
      </c>
      <c r="I427" s="43"/>
      <c r="K427"/>
      <c r="L427"/>
    </row>
    <row r="428" spans="2:12" ht="15">
      <c r="B428" s="32">
        <v>1</v>
      </c>
      <c r="C428" s="66" t="s">
        <v>62</v>
      </c>
      <c r="D428" s="64">
        <v>41936</v>
      </c>
      <c r="E428">
        <v>3.3353195773126565E-2</v>
      </c>
      <c r="F428">
        <v>8.564640434671876E-2</v>
      </c>
      <c r="G428" s="40">
        <f t="shared" si="16"/>
        <v>0</v>
      </c>
      <c r="H428" s="33">
        <f t="shared" si="17"/>
        <v>-8.564640434671876E-2</v>
      </c>
      <c r="I428" s="43"/>
      <c r="K428"/>
      <c r="L428"/>
    </row>
    <row r="429" spans="2:12" ht="15">
      <c r="B429" s="32">
        <v>1</v>
      </c>
      <c r="C429" s="66" t="s">
        <v>62</v>
      </c>
      <c r="D429" s="64">
        <v>41939</v>
      </c>
      <c r="E429">
        <v>3.5205417687313556E-2</v>
      </c>
      <c r="F429">
        <v>8.4434894308914515E-2</v>
      </c>
      <c r="G429" s="40">
        <f t="shared" si="16"/>
        <v>0</v>
      </c>
      <c r="H429" s="33">
        <f t="shared" si="17"/>
        <v>-8.4434894308914515E-2</v>
      </c>
      <c r="I429" s="43"/>
      <c r="K429"/>
      <c r="L429"/>
    </row>
    <row r="430" spans="2:12" ht="15">
      <c r="B430" s="32">
        <v>1</v>
      </c>
      <c r="C430" s="66" t="s">
        <v>62</v>
      </c>
      <c r="D430" s="64">
        <v>41940</v>
      </c>
      <c r="E430">
        <v>2.6452380201189563E-2</v>
      </c>
      <c r="F430">
        <v>8.6637183369650678E-2</v>
      </c>
      <c r="G430" s="40">
        <f t="shared" si="16"/>
        <v>0</v>
      </c>
      <c r="H430" s="33">
        <f t="shared" si="17"/>
        <v>-8.6637183369650678E-2</v>
      </c>
      <c r="I430" s="43"/>
      <c r="K430"/>
      <c r="L430"/>
    </row>
    <row r="431" spans="2:12" ht="15">
      <c r="B431" s="32">
        <v>1</v>
      </c>
      <c r="C431" s="66" t="s">
        <v>62</v>
      </c>
      <c r="D431" s="64">
        <v>41941</v>
      </c>
      <c r="E431">
        <v>2.8535147848732123E-2</v>
      </c>
      <c r="F431">
        <v>8.6536490416368128E-2</v>
      </c>
      <c r="G431" s="40">
        <f t="shared" si="16"/>
        <v>0</v>
      </c>
      <c r="H431" s="33">
        <f t="shared" si="17"/>
        <v>-8.6536490416368128E-2</v>
      </c>
      <c r="I431" s="43"/>
      <c r="K431"/>
      <c r="L431"/>
    </row>
    <row r="432" spans="2:12" ht="15">
      <c r="B432" s="32">
        <v>1</v>
      </c>
      <c r="C432" s="66" t="s">
        <v>62</v>
      </c>
      <c r="D432" s="64">
        <v>41942</v>
      </c>
      <c r="E432">
        <v>2.1622988174512692E-2</v>
      </c>
      <c r="F432">
        <v>8.3886069444804923E-2</v>
      </c>
      <c r="G432" s="40">
        <f t="shared" si="16"/>
        <v>0</v>
      </c>
      <c r="H432" s="33">
        <f t="shared" si="17"/>
        <v>-8.3886069444804923E-2</v>
      </c>
      <c r="I432" s="43"/>
      <c r="K432"/>
      <c r="L432"/>
    </row>
    <row r="433" spans="2:12" ht="15">
      <c r="B433" s="32">
        <v>1</v>
      </c>
      <c r="C433" s="66" t="s">
        <v>62</v>
      </c>
      <c r="D433" s="64">
        <v>41943</v>
      </c>
      <c r="E433">
        <v>1.048957805019235E-2</v>
      </c>
      <c r="F433">
        <v>8.5519043224806621E-2</v>
      </c>
      <c r="G433" s="40">
        <f t="shared" si="16"/>
        <v>0</v>
      </c>
      <c r="H433" s="33">
        <f t="shared" si="17"/>
        <v>-8.5519043224806621E-2</v>
      </c>
      <c r="I433" s="43"/>
      <c r="K433"/>
      <c r="L433"/>
    </row>
    <row r="434" spans="2:12" ht="15">
      <c r="B434" s="32">
        <v>1</v>
      </c>
      <c r="C434" s="66" t="s">
        <v>62</v>
      </c>
      <c r="D434" s="64">
        <v>41946</v>
      </c>
      <c r="E434">
        <v>1.0848748084081983E-2</v>
      </c>
      <c r="F434">
        <v>8.4074918939403179E-2</v>
      </c>
      <c r="G434" s="40">
        <f t="shared" si="16"/>
        <v>0</v>
      </c>
      <c r="H434" s="33">
        <f t="shared" si="17"/>
        <v>-8.4074918939403179E-2</v>
      </c>
      <c r="I434" s="43"/>
      <c r="K434"/>
      <c r="L434"/>
    </row>
    <row r="435" spans="2:12" ht="15">
      <c r="B435" s="32">
        <v>1</v>
      </c>
      <c r="C435" s="66" t="s">
        <v>62</v>
      </c>
      <c r="D435" s="64">
        <v>41947</v>
      </c>
      <c r="E435">
        <v>1.4417690110056114E-2</v>
      </c>
      <c r="F435">
        <v>8.4211978973520771E-2</v>
      </c>
      <c r="G435" s="40">
        <f t="shared" si="16"/>
        <v>0</v>
      </c>
      <c r="H435" s="33">
        <f t="shared" si="17"/>
        <v>-8.4211978973520771E-2</v>
      </c>
      <c r="I435" s="43"/>
      <c r="K435"/>
      <c r="L435"/>
    </row>
    <row r="436" spans="2:12" ht="15">
      <c r="B436" s="32">
        <v>1</v>
      </c>
      <c r="C436" s="66" t="s">
        <v>62</v>
      </c>
      <c r="D436" s="64">
        <v>41948</v>
      </c>
      <c r="E436">
        <v>1.3854228976946104E-2</v>
      </c>
      <c r="F436">
        <v>7.9786110217441239E-2</v>
      </c>
      <c r="G436" s="40">
        <f t="shared" si="16"/>
        <v>0</v>
      </c>
      <c r="H436" s="33">
        <f t="shared" si="17"/>
        <v>-7.9786110217441239E-2</v>
      </c>
      <c r="I436" s="43"/>
      <c r="K436"/>
      <c r="L436"/>
    </row>
    <row r="437" spans="2:12" ht="15">
      <c r="B437" s="32">
        <v>1</v>
      </c>
      <c r="C437" s="66" t="s">
        <v>62</v>
      </c>
      <c r="D437" s="64">
        <v>41949</v>
      </c>
      <c r="E437">
        <v>8.5835383445216351E-3</v>
      </c>
      <c r="F437">
        <v>7.5668682762396036E-2</v>
      </c>
      <c r="G437" s="40">
        <f t="shared" si="16"/>
        <v>0</v>
      </c>
      <c r="H437" s="33">
        <f t="shared" si="17"/>
        <v>-7.5668682762396036E-2</v>
      </c>
      <c r="I437" s="43"/>
      <c r="K437"/>
      <c r="L437"/>
    </row>
    <row r="438" spans="2:12" ht="15">
      <c r="B438" s="32">
        <v>1</v>
      </c>
      <c r="C438" s="66" t="s">
        <v>62</v>
      </c>
      <c r="D438" s="64">
        <v>41950</v>
      </c>
      <c r="E438">
        <v>1.0199177089892153E-2</v>
      </c>
      <c r="F438">
        <v>6.5712004693088383E-2</v>
      </c>
      <c r="G438" s="40">
        <f t="shared" si="16"/>
        <v>0</v>
      </c>
      <c r="H438" s="33">
        <f t="shared" si="17"/>
        <v>-6.5712004693088383E-2</v>
      </c>
      <c r="I438" s="43"/>
      <c r="K438"/>
      <c r="L438"/>
    </row>
    <row r="439" spans="2:12" ht="15">
      <c r="B439" s="32">
        <v>1</v>
      </c>
      <c r="C439" s="66" t="s">
        <v>62</v>
      </c>
      <c r="D439" s="64">
        <v>41953</v>
      </c>
      <c r="E439">
        <v>1.2307062585998452E-2</v>
      </c>
      <c r="F439">
        <v>6.1320967729221236E-2</v>
      </c>
      <c r="G439" s="40">
        <f t="shared" si="16"/>
        <v>0</v>
      </c>
      <c r="H439" s="33">
        <f t="shared" si="17"/>
        <v>-6.1320967729221236E-2</v>
      </c>
      <c r="I439" s="43"/>
      <c r="K439"/>
      <c r="L439"/>
    </row>
    <row r="440" spans="2:12" ht="15">
      <c r="B440" s="32">
        <v>1</v>
      </c>
      <c r="C440" s="66" t="s">
        <v>62</v>
      </c>
      <c r="D440" s="64">
        <v>41954</v>
      </c>
      <c r="E440">
        <v>1.4470540689864642E-2</v>
      </c>
      <c r="F440">
        <v>5.1750040631861678E-2</v>
      </c>
      <c r="G440" s="40">
        <f t="shared" si="16"/>
        <v>0</v>
      </c>
      <c r="H440" s="33">
        <f t="shared" si="17"/>
        <v>-5.1750040631861678E-2</v>
      </c>
      <c r="I440" s="43"/>
      <c r="K440"/>
      <c r="L440"/>
    </row>
    <row r="441" spans="2:12" ht="15">
      <c r="B441" s="32">
        <v>1</v>
      </c>
      <c r="C441" s="66" t="s">
        <v>62</v>
      </c>
      <c r="D441" s="64">
        <v>41955</v>
      </c>
      <c r="E441">
        <v>1.4021211851313886E-2</v>
      </c>
      <c r="F441">
        <v>5.2168169408534297E-2</v>
      </c>
      <c r="G441" s="40">
        <f t="shared" si="16"/>
        <v>0</v>
      </c>
      <c r="H441" s="33">
        <f t="shared" si="17"/>
        <v>-5.2168169408534297E-2</v>
      </c>
      <c r="I441" s="43"/>
      <c r="K441"/>
      <c r="L441"/>
    </row>
    <row r="442" spans="2:12" ht="15">
      <c r="B442" s="32">
        <v>1</v>
      </c>
      <c r="C442" s="66" t="s">
        <v>62</v>
      </c>
      <c r="D442" s="64">
        <v>41956</v>
      </c>
      <c r="E442">
        <v>1.6293560004654317E-2</v>
      </c>
      <c r="F442">
        <v>4.8481343826745016E-2</v>
      </c>
      <c r="G442" s="40">
        <f t="shared" si="16"/>
        <v>0</v>
      </c>
      <c r="H442" s="33">
        <f t="shared" si="17"/>
        <v>-4.8481343826745016E-2</v>
      </c>
      <c r="I442" s="43"/>
      <c r="K442"/>
      <c r="L442"/>
    </row>
    <row r="443" spans="2:12" ht="15">
      <c r="B443" s="32">
        <v>1</v>
      </c>
      <c r="C443" s="66" t="s">
        <v>62</v>
      </c>
      <c r="D443" s="64">
        <v>41957</v>
      </c>
      <c r="E443">
        <v>1.35076543907795E-2</v>
      </c>
      <c r="F443">
        <v>4.8459382119777662E-2</v>
      </c>
      <c r="G443" s="40">
        <f t="shared" si="16"/>
        <v>0</v>
      </c>
      <c r="H443" s="33">
        <f t="shared" si="17"/>
        <v>-4.8459382119777662E-2</v>
      </c>
      <c r="I443" s="43"/>
      <c r="K443"/>
      <c r="L443"/>
    </row>
    <row r="444" spans="2:12" ht="15">
      <c r="B444" s="32">
        <v>1</v>
      </c>
      <c r="C444" s="66" t="s">
        <v>62</v>
      </c>
      <c r="D444" s="64">
        <v>41960</v>
      </c>
      <c r="E444">
        <v>5.9197758738562811E-3</v>
      </c>
      <c r="F444">
        <v>4.6582317808958107E-2</v>
      </c>
      <c r="G444" s="40">
        <f t="shared" si="16"/>
        <v>0</v>
      </c>
      <c r="H444" s="33">
        <f t="shared" si="17"/>
        <v>-4.6582317808958107E-2</v>
      </c>
      <c r="I444" s="43"/>
      <c r="K444"/>
      <c r="L444"/>
    </row>
    <row r="445" spans="2:12" ht="15">
      <c r="B445" s="32">
        <v>1</v>
      </c>
      <c r="C445" s="66" t="s">
        <v>62</v>
      </c>
      <c r="D445" s="64">
        <v>41961</v>
      </c>
      <c r="E445">
        <v>7.1630933346513714E-3</v>
      </c>
      <c r="F445">
        <v>4.5776172094015882E-2</v>
      </c>
      <c r="G445" s="40">
        <f t="shared" si="16"/>
        <v>0</v>
      </c>
      <c r="H445" s="33">
        <f t="shared" si="17"/>
        <v>-4.5776172094015882E-2</v>
      </c>
      <c r="I445" s="43"/>
      <c r="K445"/>
      <c r="L445"/>
    </row>
    <row r="446" spans="2:12" ht="15">
      <c r="B446" s="32">
        <v>1</v>
      </c>
      <c r="C446" s="66" t="s">
        <v>62</v>
      </c>
      <c r="D446" s="64">
        <v>41962</v>
      </c>
      <c r="E446">
        <v>1.2423053839727416E-2</v>
      </c>
      <c r="F446">
        <v>3.7826906672868858E-2</v>
      </c>
      <c r="G446" s="40">
        <f t="shared" si="16"/>
        <v>0</v>
      </c>
      <c r="H446" s="33">
        <f t="shared" si="17"/>
        <v>-3.7826906672868858E-2</v>
      </c>
      <c r="I446" s="43"/>
      <c r="K446"/>
      <c r="L446"/>
    </row>
    <row r="447" spans="2:12" ht="15">
      <c r="B447" s="32">
        <v>1</v>
      </c>
      <c r="C447" s="66" t="s">
        <v>62</v>
      </c>
      <c r="D447" s="64">
        <v>41963</v>
      </c>
      <c r="E447">
        <v>9.2953183602366707E-3</v>
      </c>
      <c r="F447">
        <v>3.3999781982098375E-2</v>
      </c>
      <c r="G447" s="40">
        <f t="shared" si="16"/>
        <v>0</v>
      </c>
      <c r="H447" s="33">
        <f t="shared" si="17"/>
        <v>-3.3999781982098375E-2</v>
      </c>
      <c r="I447" s="43"/>
      <c r="K447"/>
      <c r="L447"/>
    </row>
    <row r="448" spans="2:12" ht="15">
      <c r="B448" s="32">
        <v>1</v>
      </c>
      <c r="C448" s="66" t="s">
        <v>62</v>
      </c>
      <c r="D448" s="64">
        <v>41964</v>
      </c>
      <c r="E448">
        <v>5.7359372047436352E-3</v>
      </c>
      <c r="F448">
        <v>3.0543095824068989E-2</v>
      </c>
      <c r="G448" s="40">
        <f t="shared" si="16"/>
        <v>0</v>
      </c>
      <c r="H448" s="33">
        <f t="shared" si="17"/>
        <v>-3.0543095824068989E-2</v>
      </c>
      <c r="I448" s="43"/>
      <c r="K448"/>
      <c r="L448"/>
    </row>
    <row r="449" spans="2:12" ht="15">
      <c r="B449" s="32">
        <v>1</v>
      </c>
      <c r="C449" s="66" t="s">
        <v>62</v>
      </c>
      <c r="D449" s="64">
        <v>41967</v>
      </c>
      <c r="E449">
        <v>-4.4070144183336879E-3</v>
      </c>
      <c r="F449">
        <v>2.9655032641066385E-2</v>
      </c>
      <c r="G449" s="40">
        <f t="shared" si="16"/>
        <v>0</v>
      </c>
      <c r="H449" s="33">
        <f t="shared" si="17"/>
        <v>-2.9655032641066385E-2</v>
      </c>
      <c r="I449" s="43"/>
      <c r="K449"/>
      <c r="L449"/>
    </row>
    <row r="450" spans="2:12" ht="15">
      <c r="B450" s="32">
        <v>1</v>
      </c>
      <c r="C450" s="66" t="s">
        <v>62</v>
      </c>
      <c r="D450" s="64">
        <v>41968</v>
      </c>
      <c r="E450">
        <v>-3.4941750566268581E-3</v>
      </c>
      <c r="F450">
        <v>2.9532385596740159E-2</v>
      </c>
      <c r="G450" s="40">
        <f t="shared" si="16"/>
        <v>0</v>
      </c>
      <c r="H450" s="33">
        <f t="shared" si="17"/>
        <v>-2.9532385596740159E-2</v>
      </c>
      <c r="I450" s="43"/>
      <c r="K450"/>
      <c r="L450"/>
    </row>
    <row r="451" spans="2:12" ht="15">
      <c r="B451" s="32">
        <v>1</v>
      </c>
      <c r="C451" s="66" t="s">
        <v>62</v>
      </c>
      <c r="D451" s="64">
        <v>41969</v>
      </c>
      <c r="E451">
        <v>-2.2782348446616751E-2</v>
      </c>
      <c r="F451">
        <v>2.4978900921171828E-2</v>
      </c>
      <c r="G451" s="40">
        <f t="shared" si="16"/>
        <v>0</v>
      </c>
      <c r="H451" s="33">
        <f t="shared" si="17"/>
        <v>-2.4978900921171828E-2</v>
      </c>
      <c r="I451" s="43"/>
      <c r="K451"/>
      <c r="L451"/>
    </row>
    <row r="452" spans="2:12" ht="15">
      <c r="B452" s="32">
        <v>1</v>
      </c>
      <c r="C452" s="66" t="s">
        <v>62</v>
      </c>
      <c r="D452" s="64">
        <v>41971</v>
      </c>
      <c r="E452">
        <v>-1.5711250295158408E-2</v>
      </c>
      <c r="F452">
        <v>2.547617828358021E-2</v>
      </c>
      <c r="G452" s="40">
        <f t="shared" si="16"/>
        <v>0</v>
      </c>
      <c r="H452" s="33">
        <f t="shared" si="17"/>
        <v>-2.547617828358021E-2</v>
      </c>
      <c r="I452" s="43"/>
      <c r="K452"/>
      <c r="L452"/>
    </row>
    <row r="453" spans="2:12" ht="15">
      <c r="B453" s="32">
        <v>1</v>
      </c>
      <c r="C453" s="66" t="s">
        <v>62</v>
      </c>
      <c r="D453" s="64">
        <v>41974</v>
      </c>
      <c r="E453">
        <v>-2.5204926348099121E-2</v>
      </c>
      <c r="F453">
        <v>2.8133826894986926E-2</v>
      </c>
      <c r="G453" s="40">
        <f t="shared" si="16"/>
        <v>0</v>
      </c>
      <c r="H453" s="33">
        <f t="shared" si="17"/>
        <v>-2.8133826894986926E-2</v>
      </c>
      <c r="I453" s="43"/>
      <c r="K453"/>
      <c r="L453"/>
    </row>
    <row r="454" spans="2:12" ht="15">
      <c r="B454" s="32">
        <v>1</v>
      </c>
      <c r="C454" s="66" t="s">
        <v>62</v>
      </c>
      <c r="D454" s="64">
        <v>41975</v>
      </c>
      <c r="E454">
        <v>-3.7931879573465999E-2</v>
      </c>
      <c r="F454">
        <v>2.3855275427768365E-2</v>
      </c>
      <c r="G454" s="40">
        <f t="shared" ref="G454:G517" si="19">--(E454&lt;-F454)</f>
        <v>1</v>
      </c>
      <c r="H454" s="33">
        <f t="shared" ref="H454:H517" si="20">-F454</f>
        <v>-2.3855275427768365E-2</v>
      </c>
      <c r="I454" s="43">
        <f t="shared" ref="I430:I493" si="21">IF(G454=0,"",E454)</f>
        <v>-3.7931879573465999E-2</v>
      </c>
      <c r="K454"/>
      <c r="L454"/>
    </row>
    <row r="455" spans="2:12" ht="15">
      <c r="B455" s="32">
        <v>1</v>
      </c>
      <c r="C455" s="66" t="s">
        <v>62</v>
      </c>
      <c r="D455" s="64">
        <v>41976</v>
      </c>
      <c r="E455">
        <v>-5.0214813307149164E-2</v>
      </c>
      <c r="F455">
        <v>2.4116006517087507E-2</v>
      </c>
      <c r="G455" s="40">
        <f t="shared" si="19"/>
        <v>1</v>
      </c>
      <c r="H455" s="33">
        <f t="shared" si="20"/>
        <v>-2.4116006517087507E-2</v>
      </c>
      <c r="I455" s="43">
        <f t="shared" si="21"/>
        <v>-5.0214813307149164E-2</v>
      </c>
      <c r="K455"/>
      <c r="L455"/>
    </row>
    <row r="456" spans="2:12" ht="15">
      <c r="B456" s="32">
        <v>1</v>
      </c>
      <c r="C456" s="66" t="s">
        <v>62</v>
      </c>
      <c r="D456" s="64">
        <v>41977</v>
      </c>
      <c r="E456">
        <v>-2.8904168159196608E-2</v>
      </c>
      <c r="F456">
        <v>2.3478713985962765E-2</v>
      </c>
      <c r="G456" s="40">
        <f t="shared" si="19"/>
        <v>1</v>
      </c>
      <c r="H456" s="33">
        <f t="shared" si="20"/>
        <v>-2.3478713985962765E-2</v>
      </c>
      <c r="I456" s="43">
        <f t="shared" si="21"/>
        <v>-2.8904168159196608E-2</v>
      </c>
      <c r="K456"/>
      <c r="L456"/>
    </row>
    <row r="457" spans="2:12" ht="15">
      <c r="B457" s="32">
        <v>1</v>
      </c>
      <c r="C457" s="66" t="s">
        <v>62</v>
      </c>
      <c r="D457" s="64">
        <v>41978</v>
      </c>
      <c r="E457">
        <v>-6.8366251238014542E-3</v>
      </c>
      <c r="F457">
        <v>2.2351286491638658E-2</v>
      </c>
      <c r="G457" s="40">
        <f t="shared" si="19"/>
        <v>0</v>
      </c>
      <c r="H457" s="33">
        <f t="shared" si="20"/>
        <v>-2.2351286491638658E-2</v>
      </c>
      <c r="I457" s="43"/>
      <c r="K457"/>
      <c r="L457"/>
    </row>
    <row r="458" spans="2:12" ht="15">
      <c r="B458" s="32">
        <v>1</v>
      </c>
      <c r="C458" s="66" t="s">
        <v>62</v>
      </c>
      <c r="D458" s="64">
        <v>41981</v>
      </c>
      <c r="E458">
        <v>5.006034767211176E-3</v>
      </c>
      <c r="F458">
        <v>2.57086326420791E-2</v>
      </c>
      <c r="G458" s="40">
        <f t="shared" si="19"/>
        <v>0</v>
      </c>
      <c r="H458" s="33">
        <f t="shared" si="20"/>
        <v>-2.57086326420791E-2</v>
      </c>
      <c r="I458" s="43"/>
      <c r="K458"/>
      <c r="L458"/>
    </row>
    <row r="459" spans="2:12" ht="15">
      <c r="B459" s="32">
        <v>1</v>
      </c>
      <c r="C459" s="66" t="s">
        <v>62</v>
      </c>
      <c r="D459" s="64">
        <v>41982</v>
      </c>
      <c r="E459">
        <v>9.0471095805613189E-3</v>
      </c>
      <c r="F459">
        <v>2.574616652589545E-2</v>
      </c>
      <c r="G459" s="40">
        <f t="shared" si="19"/>
        <v>0</v>
      </c>
      <c r="H459" s="33">
        <f t="shared" si="20"/>
        <v>-2.574616652589545E-2</v>
      </c>
      <c r="I459" s="43"/>
      <c r="K459"/>
      <c r="L459"/>
    </row>
    <row r="460" spans="2:12" ht="15">
      <c r="B460" s="32">
        <v>1</v>
      </c>
      <c r="C460" s="66" t="s">
        <v>62</v>
      </c>
      <c r="D460" s="64">
        <v>41983</v>
      </c>
      <c r="E460">
        <v>2.7278069135435068E-2</v>
      </c>
      <c r="F460">
        <v>3.7302005215423407E-2</v>
      </c>
      <c r="G460" s="40">
        <f t="shared" si="19"/>
        <v>0</v>
      </c>
      <c r="H460" s="33">
        <f t="shared" si="20"/>
        <v>-3.7302005215423407E-2</v>
      </c>
      <c r="I460" s="43"/>
      <c r="K460"/>
      <c r="L460"/>
    </row>
    <row r="461" spans="2:12" ht="15">
      <c r="B461" s="32">
        <v>1</v>
      </c>
      <c r="C461" s="66" t="s">
        <v>62</v>
      </c>
      <c r="D461" s="64">
        <v>41984</v>
      </c>
      <c r="E461">
        <v>2.2613329153151618E-2</v>
      </c>
      <c r="F461">
        <v>3.8072819386843794E-2</v>
      </c>
      <c r="G461" s="40">
        <f t="shared" si="19"/>
        <v>0</v>
      </c>
      <c r="H461" s="33">
        <f t="shared" si="20"/>
        <v>-3.8072819386843794E-2</v>
      </c>
      <c r="I461" s="43"/>
      <c r="K461"/>
      <c r="L461"/>
    </row>
    <row r="462" spans="2:12" ht="15">
      <c r="B462" s="32">
        <v>1</v>
      </c>
      <c r="C462" s="66" t="s">
        <v>62</v>
      </c>
      <c r="D462" s="64">
        <v>41985</v>
      </c>
      <c r="E462">
        <v>4.2263905061725282E-2</v>
      </c>
      <c r="F462">
        <v>4.6163931767215553E-2</v>
      </c>
      <c r="G462" s="40">
        <f t="shared" si="19"/>
        <v>0</v>
      </c>
      <c r="H462" s="33">
        <f t="shared" si="20"/>
        <v>-4.6163931767215553E-2</v>
      </c>
      <c r="I462" s="43"/>
      <c r="K462"/>
      <c r="L462"/>
    </row>
    <row r="463" spans="2:12" ht="15">
      <c r="B463" s="32">
        <v>1</v>
      </c>
      <c r="C463" s="66" t="s">
        <v>62</v>
      </c>
      <c r="D463" s="64">
        <v>41988</v>
      </c>
      <c r="E463">
        <v>4.9488094279008799E-2</v>
      </c>
      <c r="F463">
        <v>4.692756373976506E-2</v>
      </c>
      <c r="G463" s="40">
        <f t="shared" si="19"/>
        <v>0</v>
      </c>
      <c r="H463" s="33">
        <f t="shared" si="20"/>
        <v>-4.692756373976506E-2</v>
      </c>
      <c r="I463" s="43"/>
      <c r="K463"/>
      <c r="L463"/>
    </row>
    <row r="464" spans="2:12" ht="15">
      <c r="B464" s="32">
        <v>1</v>
      </c>
      <c r="C464" s="66" t="s">
        <v>62</v>
      </c>
      <c r="D464" s="64">
        <v>41989</v>
      </c>
      <c r="E464">
        <v>5.3112761624729998E-2</v>
      </c>
      <c r="F464">
        <v>4.8301903084946876E-2</v>
      </c>
      <c r="G464" s="40">
        <f t="shared" si="19"/>
        <v>0</v>
      </c>
      <c r="H464" s="33">
        <f t="shared" si="20"/>
        <v>-4.8301903084946876E-2</v>
      </c>
      <c r="I464" s="43"/>
      <c r="K464"/>
      <c r="L464"/>
    </row>
    <row r="465" spans="2:12" ht="15">
      <c r="B465" s="32">
        <v>1</v>
      </c>
      <c r="C465" s="66" t="s">
        <v>62</v>
      </c>
      <c r="D465" s="64">
        <v>41990</v>
      </c>
      <c r="E465">
        <v>2.2600304194527077E-2</v>
      </c>
      <c r="F465">
        <v>5.9571839748099036E-2</v>
      </c>
      <c r="G465" s="40">
        <f t="shared" si="19"/>
        <v>0</v>
      </c>
      <c r="H465" s="33">
        <f t="shared" si="20"/>
        <v>-5.9571839748099036E-2</v>
      </c>
      <c r="I465" s="43"/>
      <c r="K465"/>
      <c r="L465"/>
    </row>
    <row r="466" spans="2:12" ht="15">
      <c r="B466" s="32">
        <v>1</v>
      </c>
      <c r="C466" s="66" t="s">
        <v>62</v>
      </c>
      <c r="D466" s="64">
        <v>41991</v>
      </c>
      <c r="E466">
        <v>-1.4710916787983308E-3</v>
      </c>
      <c r="F466">
        <v>7.0883094013527298E-2</v>
      </c>
      <c r="G466" s="40">
        <f t="shared" si="19"/>
        <v>0</v>
      </c>
      <c r="H466" s="33">
        <f t="shared" si="20"/>
        <v>-7.0883094013527298E-2</v>
      </c>
      <c r="I466" s="43"/>
      <c r="K466"/>
      <c r="L466"/>
    </row>
    <row r="467" spans="2:12" ht="15">
      <c r="B467" s="32">
        <v>1</v>
      </c>
      <c r="C467" s="66" t="s">
        <v>62</v>
      </c>
      <c r="D467" s="64">
        <v>41992</v>
      </c>
      <c r="E467">
        <v>-2.4477943183764062E-2</v>
      </c>
      <c r="F467">
        <v>7.1152407669691192E-2</v>
      </c>
      <c r="G467" s="40">
        <f t="shared" si="19"/>
        <v>0</v>
      </c>
      <c r="H467" s="33">
        <f t="shared" si="20"/>
        <v>-7.1152407669691192E-2</v>
      </c>
      <c r="I467" s="43"/>
      <c r="K467"/>
      <c r="L467"/>
    </row>
    <row r="468" spans="2:12" ht="15">
      <c r="B468" s="32">
        <v>1</v>
      </c>
      <c r="C468" s="66" t="s">
        <v>62</v>
      </c>
      <c r="D468" s="64">
        <v>41995</v>
      </c>
      <c r="E468">
        <v>-3.72144206388203E-2</v>
      </c>
      <c r="F468">
        <v>7.1315331286939551E-2</v>
      </c>
      <c r="G468" s="40">
        <f t="shared" si="19"/>
        <v>0</v>
      </c>
      <c r="H468" s="33">
        <f t="shared" si="20"/>
        <v>-7.1315331286939551E-2</v>
      </c>
      <c r="I468" s="43"/>
      <c r="K468"/>
      <c r="L468"/>
    </row>
    <row r="469" spans="2:12" ht="15">
      <c r="B469" s="32">
        <v>1</v>
      </c>
      <c r="C469" s="66" t="s">
        <v>62</v>
      </c>
      <c r="D469" s="64">
        <v>41996</v>
      </c>
      <c r="E469">
        <v>-2.7396523542583928E-2</v>
      </c>
      <c r="F469">
        <v>7.0921957845953634E-2</v>
      </c>
      <c r="G469" s="40">
        <f t="shared" si="19"/>
        <v>0</v>
      </c>
      <c r="H469" s="33">
        <f t="shared" si="20"/>
        <v>-7.0921957845953634E-2</v>
      </c>
      <c r="I469" s="43"/>
      <c r="K469"/>
      <c r="L469"/>
    </row>
    <row r="470" spans="2:12" ht="15">
      <c r="B470" s="32">
        <v>1</v>
      </c>
      <c r="C470" s="66" t="s">
        <v>62</v>
      </c>
      <c r="D470" s="64">
        <v>41997</v>
      </c>
      <c r="E470">
        <v>-9.5270487954168814E-3</v>
      </c>
      <c r="F470">
        <v>7.080711005569984E-2</v>
      </c>
      <c r="G470" s="40">
        <f t="shared" si="19"/>
        <v>0</v>
      </c>
      <c r="H470" s="33">
        <f t="shared" si="20"/>
        <v>-7.080711005569984E-2</v>
      </c>
      <c r="I470" s="43"/>
      <c r="K470"/>
      <c r="L470"/>
    </row>
    <row r="471" spans="2:12" ht="15">
      <c r="B471" s="32">
        <v>1</v>
      </c>
      <c r="C471" s="66" t="s">
        <v>62</v>
      </c>
      <c r="D471" s="64">
        <v>41999</v>
      </c>
      <c r="E471">
        <v>-2.1270481064875391E-2</v>
      </c>
      <c r="F471">
        <v>7.0923555936228469E-2</v>
      </c>
      <c r="G471" s="40">
        <f t="shared" si="19"/>
        <v>0</v>
      </c>
      <c r="H471" s="33">
        <f t="shared" si="20"/>
        <v>-7.0923555936228469E-2</v>
      </c>
      <c r="I471" s="43"/>
      <c r="K471"/>
      <c r="L471"/>
    </row>
    <row r="472" spans="2:12" ht="15">
      <c r="B472" s="32">
        <v>1</v>
      </c>
      <c r="C472" s="66" t="s">
        <v>62</v>
      </c>
      <c r="D472" s="64">
        <v>42002</v>
      </c>
      <c r="E472">
        <v>-3.0258501023237905E-2</v>
      </c>
      <c r="F472">
        <v>7.0821325863474144E-2</v>
      </c>
      <c r="G472" s="40">
        <f t="shared" si="19"/>
        <v>0</v>
      </c>
      <c r="H472" s="33">
        <f t="shared" si="20"/>
        <v>-7.0821325863474144E-2</v>
      </c>
      <c r="I472" s="43"/>
      <c r="K472"/>
      <c r="L472"/>
    </row>
    <row r="473" spans="2:12" ht="15">
      <c r="B473" s="32">
        <v>1</v>
      </c>
      <c r="C473" s="66" t="s">
        <v>62</v>
      </c>
      <c r="D473" s="64">
        <v>42003</v>
      </c>
      <c r="E473">
        <v>-2.7939794023991382E-2</v>
      </c>
      <c r="F473">
        <v>7.1186847988108343E-2</v>
      </c>
      <c r="G473" s="40">
        <f t="shared" si="19"/>
        <v>0</v>
      </c>
      <c r="H473" s="33">
        <f t="shared" si="20"/>
        <v>-7.1186847988108343E-2</v>
      </c>
      <c r="I473" s="43"/>
      <c r="K473"/>
      <c r="L473"/>
    </row>
    <row r="474" spans="2:12" ht="15">
      <c r="B474" s="32">
        <v>1</v>
      </c>
      <c r="C474" s="66" t="s">
        <v>62</v>
      </c>
      <c r="D474" s="64">
        <v>42004</v>
      </c>
      <c r="E474">
        <v>-2.3405438718712368E-2</v>
      </c>
      <c r="F474">
        <v>7.2354406649403333E-2</v>
      </c>
      <c r="G474" s="40">
        <f t="shared" si="19"/>
        <v>0</v>
      </c>
      <c r="H474" s="33">
        <f t="shared" si="20"/>
        <v>-7.2354406649403333E-2</v>
      </c>
      <c r="I474" s="43"/>
      <c r="K474"/>
      <c r="L474"/>
    </row>
    <row r="475" spans="2:12" ht="15">
      <c r="B475" s="32">
        <v>1</v>
      </c>
      <c r="C475" s="66" t="s">
        <v>62</v>
      </c>
      <c r="D475" s="64">
        <v>42006</v>
      </c>
      <c r="E475">
        <v>-3.2356320539212113E-2</v>
      </c>
      <c r="F475">
        <v>7.1586809953615826E-2</v>
      </c>
      <c r="G475" s="40">
        <f t="shared" si="19"/>
        <v>0</v>
      </c>
      <c r="H475" s="33">
        <f t="shared" si="20"/>
        <v>-7.1586809953615826E-2</v>
      </c>
      <c r="I475" s="43"/>
      <c r="K475"/>
      <c r="L475"/>
    </row>
    <row r="476" spans="2:12" ht="15">
      <c r="B476" s="32">
        <v>1</v>
      </c>
      <c r="C476" s="66" t="s">
        <v>62</v>
      </c>
      <c r="D476" s="64">
        <v>42009</v>
      </c>
      <c r="E476">
        <v>-5.7421387716427574E-4</v>
      </c>
      <c r="F476">
        <v>7.6945400196841984E-2</v>
      </c>
      <c r="G476" s="40">
        <f t="shared" si="19"/>
        <v>0</v>
      </c>
      <c r="H476" s="33">
        <f t="shared" si="20"/>
        <v>-7.6945400196841984E-2</v>
      </c>
      <c r="I476" s="43"/>
      <c r="K476"/>
      <c r="L476"/>
    </row>
    <row r="477" spans="2:12" ht="15">
      <c r="B477" s="32">
        <v>1</v>
      </c>
      <c r="C477" s="66" t="s">
        <v>62</v>
      </c>
      <c r="D477" s="64">
        <v>42010</v>
      </c>
      <c r="E477">
        <v>9.9077934533227108E-3</v>
      </c>
      <c r="F477">
        <v>7.7926404084378509E-2</v>
      </c>
      <c r="G477" s="40">
        <f t="shared" si="19"/>
        <v>0</v>
      </c>
      <c r="H477" s="33">
        <f t="shared" si="20"/>
        <v>-7.7926404084378509E-2</v>
      </c>
      <c r="I477" s="43"/>
      <c r="K477"/>
      <c r="L477"/>
    </row>
    <row r="478" spans="2:12" ht="15">
      <c r="B478" s="32">
        <v>1</v>
      </c>
      <c r="C478" s="66" t="s">
        <v>62</v>
      </c>
      <c r="D478" s="64">
        <v>42011</v>
      </c>
      <c r="E478">
        <v>3.0655225168212397E-3</v>
      </c>
      <c r="F478">
        <v>8.0628663304243717E-2</v>
      </c>
      <c r="G478" s="40">
        <f t="shared" si="19"/>
        <v>0</v>
      </c>
      <c r="H478" s="33">
        <f t="shared" si="20"/>
        <v>-8.0628663304243717E-2</v>
      </c>
      <c r="I478" s="43"/>
      <c r="K478"/>
      <c r="L478"/>
    </row>
    <row r="479" spans="2:12" ht="15">
      <c r="B479" s="32">
        <v>1</v>
      </c>
      <c r="C479" s="66" t="s">
        <v>62</v>
      </c>
      <c r="D479" s="64">
        <v>42012</v>
      </c>
      <c r="E479">
        <v>4.8966694238306019E-4</v>
      </c>
      <c r="F479">
        <v>8.5340415808104891E-2</v>
      </c>
      <c r="G479" s="40">
        <f t="shared" si="19"/>
        <v>0</v>
      </c>
      <c r="H479" s="33">
        <f t="shared" si="20"/>
        <v>-8.5340415808104891E-2</v>
      </c>
      <c r="I479" s="43"/>
      <c r="K479"/>
      <c r="L479"/>
    </row>
    <row r="480" spans="2:12" ht="15">
      <c r="B480" s="32">
        <v>1</v>
      </c>
      <c r="C480" s="66" t="s">
        <v>62</v>
      </c>
      <c r="D480" s="64">
        <v>42013</v>
      </c>
      <c r="E480">
        <v>3.4223328075322357E-3</v>
      </c>
      <c r="F480">
        <v>8.6422022188673217E-2</v>
      </c>
      <c r="G480" s="40">
        <f t="shared" si="19"/>
        <v>0</v>
      </c>
      <c r="H480" s="33">
        <f t="shared" si="20"/>
        <v>-8.6422022188673217E-2</v>
      </c>
      <c r="I480" s="43"/>
      <c r="K480"/>
      <c r="L480"/>
    </row>
    <row r="481" spans="2:12" ht="15">
      <c r="B481" s="32">
        <v>1</v>
      </c>
      <c r="C481" s="66" t="s">
        <v>62</v>
      </c>
      <c r="D481" s="64">
        <v>42016</v>
      </c>
      <c r="E481">
        <v>1.411411796106421E-2</v>
      </c>
      <c r="F481">
        <v>8.3179132735541644E-2</v>
      </c>
      <c r="G481" s="40">
        <f t="shared" si="19"/>
        <v>0</v>
      </c>
      <c r="H481" s="33">
        <f t="shared" si="20"/>
        <v>-8.3179132735541644E-2</v>
      </c>
      <c r="I481" s="43"/>
      <c r="K481"/>
      <c r="L481"/>
    </row>
    <row r="482" spans="2:12" ht="15">
      <c r="B482" s="32">
        <v>1</v>
      </c>
      <c r="C482" s="66" t="s">
        <v>62</v>
      </c>
      <c r="D482" s="64">
        <v>42017</v>
      </c>
      <c r="E482">
        <v>3.2177158748423196E-3</v>
      </c>
      <c r="F482">
        <v>8.2926450836665277E-2</v>
      </c>
      <c r="G482" s="40">
        <f t="shared" si="19"/>
        <v>0</v>
      </c>
      <c r="H482" s="33">
        <f t="shared" si="20"/>
        <v>-8.2926450836665277E-2</v>
      </c>
      <c r="I482" s="43"/>
      <c r="K482"/>
      <c r="L482"/>
    </row>
    <row r="483" spans="2:12" ht="15">
      <c r="B483" s="32">
        <v>1</v>
      </c>
      <c r="C483" s="66" t="s">
        <v>62</v>
      </c>
      <c r="D483" s="64">
        <v>42018</v>
      </c>
      <c r="E483">
        <v>-4.5397585224469239E-3</v>
      </c>
      <c r="F483">
        <v>7.9043649928670953E-2</v>
      </c>
      <c r="G483" s="40">
        <f t="shared" si="19"/>
        <v>0</v>
      </c>
      <c r="H483" s="33">
        <f t="shared" si="20"/>
        <v>-7.9043649928670953E-2</v>
      </c>
      <c r="I483" s="43"/>
      <c r="K483"/>
      <c r="L483"/>
    </row>
    <row r="484" spans="2:12" ht="15">
      <c r="B484" s="32">
        <v>1</v>
      </c>
      <c r="C484" s="66" t="s">
        <v>62</v>
      </c>
      <c r="D484" s="64">
        <v>42019</v>
      </c>
      <c r="E484">
        <v>1.4240661835748014E-2</v>
      </c>
      <c r="F484">
        <v>7.9838492186915938E-2</v>
      </c>
      <c r="G484" s="40">
        <f t="shared" si="19"/>
        <v>0</v>
      </c>
      <c r="H484" s="33">
        <f t="shared" si="20"/>
        <v>-7.9838492186915938E-2</v>
      </c>
      <c r="I484" s="43"/>
      <c r="K484"/>
      <c r="L484"/>
    </row>
    <row r="485" spans="2:12" ht="15">
      <c r="B485" s="32">
        <v>1</v>
      </c>
      <c r="C485" s="66" t="s">
        <v>62</v>
      </c>
      <c r="D485" s="64">
        <v>42020</v>
      </c>
      <c r="E485">
        <v>-1.2171330473955244E-2</v>
      </c>
      <c r="F485">
        <v>8.116963597573737E-2</v>
      </c>
      <c r="G485" s="40">
        <f t="shared" si="19"/>
        <v>0</v>
      </c>
      <c r="H485" s="33">
        <f t="shared" si="20"/>
        <v>-8.116963597573737E-2</v>
      </c>
      <c r="I485" s="43"/>
      <c r="K485"/>
      <c r="L485"/>
    </row>
    <row r="486" spans="2:12" ht="15">
      <c r="B486" s="32">
        <v>1</v>
      </c>
      <c r="C486" s="66" t="s">
        <v>62</v>
      </c>
      <c r="D486" s="64">
        <v>42024</v>
      </c>
      <c r="E486">
        <v>-8.4091264266206167E-4</v>
      </c>
      <c r="F486">
        <v>7.4592615834601875E-2</v>
      </c>
      <c r="G486" s="40">
        <f t="shared" si="19"/>
        <v>0</v>
      </c>
      <c r="H486" s="33">
        <f t="shared" si="20"/>
        <v>-7.4592615834601875E-2</v>
      </c>
      <c r="I486" s="43"/>
      <c r="K486"/>
      <c r="L486"/>
    </row>
    <row r="487" spans="2:12" ht="15">
      <c r="B487" s="32">
        <v>1</v>
      </c>
      <c r="C487" s="66" t="s">
        <v>62</v>
      </c>
      <c r="D487" s="64">
        <v>42025</v>
      </c>
      <c r="E487">
        <v>8.7748607055377903E-3</v>
      </c>
      <c r="F487">
        <v>6.3853817374773358E-2</v>
      </c>
      <c r="G487" s="40">
        <f t="shared" si="19"/>
        <v>0</v>
      </c>
      <c r="H487" s="33">
        <f t="shared" si="20"/>
        <v>-6.3853817374773358E-2</v>
      </c>
      <c r="I487" s="43"/>
      <c r="K487"/>
      <c r="L487"/>
    </row>
    <row r="488" spans="2:12" ht="15">
      <c r="B488" s="32">
        <v>1</v>
      </c>
      <c r="C488" s="66" t="s">
        <v>62</v>
      </c>
      <c r="D488" s="64">
        <v>42026</v>
      </c>
      <c r="E488">
        <v>-1.0544158568978723E-2</v>
      </c>
      <c r="F488">
        <v>6.8314368558309344E-2</v>
      </c>
      <c r="G488" s="40">
        <f t="shared" si="19"/>
        <v>0</v>
      </c>
      <c r="H488" s="33">
        <f t="shared" si="20"/>
        <v>-6.8314368558309344E-2</v>
      </c>
      <c r="I488" s="43"/>
      <c r="K488"/>
      <c r="L488"/>
    </row>
    <row r="489" spans="2:12" ht="15">
      <c r="B489" s="32">
        <v>1</v>
      </c>
      <c r="C489" s="66" t="s">
        <v>62</v>
      </c>
      <c r="D489" s="64">
        <v>42027</v>
      </c>
      <c r="E489">
        <v>5.2013085422331073E-3</v>
      </c>
      <c r="F489">
        <v>6.8482783547701404E-2</v>
      </c>
      <c r="G489" s="40">
        <f t="shared" si="19"/>
        <v>0</v>
      </c>
      <c r="H489" s="33">
        <f t="shared" si="20"/>
        <v>-6.8482783547701404E-2</v>
      </c>
      <c r="I489" s="43"/>
      <c r="K489"/>
      <c r="L489"/>
    </row>
    <row r="490" spans="2:12" ht="15">
      <c r="B490" s="32">
        <v>1</v>
      </c>
      <c r="C490" s="66" t="s">
        <v>62</v>
      </c>
      <c r="D490" s="64">
        <v>42030</v>
      </c>
      <c r="E490">
        <v>-7.8788737942581122E-4</v>
      </c>
      <c r="F490">
        <v>6.8571914310753282E-2</v>
      </c>
      <c r="G490" s="40">
        <f t="shared" si="19"/>
        <v>0</v>
      </c>
      <c r="H490" s="33">
        <f t="shared" si="20"/>
        <v>-6.8571914310753282E-2</v>
      </c>
      <c r="I490" s="43"/>
      <c r="K490"/>
      <c r="L490"/>
    </row>
    <row r="491" spans="2:12" ht="15">
      <c r="B491" s="32">
        <v>1</v>
      </c>
      <c r="C491" s="66" t="s">
        <v>62</v>
      </c>
      <c r="D491" s="64">
        <v>42031</v>
      </c>
      <c r="E491">
        <v>8.4341608354892017E-3</v>
      </c>
      <c r="F491">
        <v>7.1617349005202682E-2</v>
      </c>
      <c r="G491" s="40">
        <f t="shared" si="19"/>
        <v>0</v>
      </c>
      <c r="H491" s="33">
        <f t="shared" si="20"/>
        <v>-7.1617349005202682E-2</v>
      </c>
      <c r="I491" s="43"/>
      <c r="K491"/>
      <c r="L491"/>
    </row>
    <row r="492" spans="2:12" ht="15">
      <c r="B492" s="32">
        <v>1</v>
      </c>
      <c r="C492" s="66" t="s">
        <v>62</v>
      </c>
      <c r="D492" s="64">
        <v>42032</v>
      </c>
      <c r="E492">
        <v>3.2640643542392489E-2</v>
      </c>
      <c r="F492">
        <v>7.3834221313890391E-2</v>
      </c>
      <c r="G492" s="40">
        <f t="shared" si="19"/>
        <v>0</v>
      </c>
      <c r="H492" s="33">
        <f t="shared" si="20"/>
        <v>-7.3834221313890391E-2</v>
      </c>
      <c r="I492" s="43"/>
      <c r="K492"/>
      <c r="L492"/>
    </row>
    <row r="493" spans="2:12" ht="15">
      <c r="B493" s="32">
        <v>1</v>
      </c>
      <c r="C493" s="66" t="s">
        <v>62</v>
      </c>
      <c r="D493" s="64">
        <v>42033</v>
      </c>
      <c r="E493">
        <v>2.3122092187830567E-2</v>
      </c>
      <c r="F493">
        <v>7.6011376486001869E-2</v>
      </c>
      <c r="G493" s="40">
        <f t="shared" si="19"/>
        <v>0</v>
      </c>
      <c r="H493" s="33">
        <f t="shared" si="20"/>
        <v>-7.6011376486001869E-2</v>
      </c>
      <c r="I493" s="43"/>
      <c r="K493"/>
      <c r="L493"/>
    </row>
    <row r="494" spans="2:12" ht="15">
      <c r="B494" s="32">
        <v>1</v>
      </c>
      <c r="C494" s="66" t="s">
        <v>62</v>
      </c>
      <c r="D494" s="64">
        <v>42034</v>
      </c>
      <c r="E494">
        <v>4.5797486296620171E-2</v>
      </c>
      <c r="F494">
        <v>7.8075731267691503E-2</v>
      </c>
      <c r="G494" s="40">
        <f t="shared" si="19"/>
        <v>0</v>
      </c>
      <c r="H494" s="33">
        <f t="shared" si="20"/>
        <v>-7.8075731267691503E-2</v>
      </c>
      <c r="I494" s="43"/>
      <c r="K494"/>
      <c r="L494"/>
    </row>
    <row r="495" spans="2:12" ht="15">
      <c r="B495" s="32">
        <v>1</v>
      </c>
      <c r="C495" s="66" t="s">
        <v>62</v>
      </c>
      <c r="D495" s="64">
        <v>42037</v>
      </c>
      <c r="E495">
        <v>3.6984775314485852E-2</v>
      </c>
      <c r="F495">
        <v>8.0220579357430419E-2</v>
      </c>
      <c r="G495" s="40">
        <f t="shared" si="19"/>
        <v>0</v>
      </c>
      <c r="H495" s="33">
        <f t="shared" si="20"/>
        <v>-8.0220579357430419E-2</v>
      </c>
      <c r="I495" s="43"/>
      <c r="K495"/>
      <c r="L495"/>
    </row>
    <row r="496" spans="2:12" ht="15">
      <c r="B496" s="32">
        <v>1</v>
      </c>
      <c r="C496" s="66" t="s">
        <v>62</v>
      </c>
      <c r="D496" s="64">
        <v>42038</v>
      </c>
      <c r="E496">
        <v>2.4244836948383863E-2</v>
      </c>
      <c r="F496">
        <v>8.3868785493994319E-2</v>
      </c>
      <c r="G496" s="40">
        <f t="shared" si="19"/>
        <v>0</v>
      </c>
      <c r="H496" s="33">
        <f t="shared" si="20"/>
        <v>-8.3868785493994319E-2</v>
      </c>
      <c r="I496" s="43"/>
      <c r="K496"/>
      <c r="L496"/>
    </row>
    <row r="497" spans="2:12" ht="15">
      <c r="B497" s="32">
        <v>1</v>
      </c>
      <c r="C497" s="66" t="s">
        <v>62</v>
      </c>
      <c r="D497" s="64">
        <v>42039</v>
      </c>
      <c r="E497">
        <v>2.8095184757070513E-2</v>
      </c>
      <c r="F497">
        <v>7.8411917202853745E-2</v>
      </c>
      <c r="G497" s="40">
        <f t="shared" si="19"/>
        <v>0</v>
      </c>
      <c r="H497" s="33">
        <f t="shared" si="20"/>
        <v>-7.8411917202853745E-2</v>
      </c>
      <c r="I497" s="43"/>
      <c r="K497"/>
      <c r="L497"/>
    </row>
    <row r="498" spans="2:12" ht="15">
      <c r="B498" s="32">
        <v>1</v>
      </c>
      <c r="C498" s="66" t="s">
        <v>62</v>
      </c>
      <c r="D498" s="64">
        <v>42040</v>
      </c>
      <c r="E498">
        <v>1.6793751964875092E-2</v>
      </c>
      <c r="F498">
        <v>7.8216880553290805E-2</v>
      </c>
      <c r="G498" s="40">
        <f t="shared" si="19"/>
        <v>0</v>
      </c>
      <c r="H498" s="33">
        <f t="shared" si="20"/>
        <v>-7.8216880553290805E-2</v>
      </c>
      <c r="I498" s="43"/>
      <c r="K498"/>
      <c r="L498"/>
    </row>
    <row r="499" spans="2:12" ht="15">
      <c r="B499" s="32">
        <v>1</v>
      </c>
      <c r="C499" s="66" t="s">
        <v>62</v>
      </c>
      <c r="D499" s="64">
        <v>42041</v>
      </c>
      <c r="E499">
        <v>2.6325622544038474E-2</v>
      </c>
      <c r="F499">
        <v>7.6633770583864627E-2</v>
      </c>
      <c r="G499" s="40">
        <f t="shared" si="19"/>
        <v>0</v>
      </c>
      <c r="H499" s="33">
        <f t="shared" si="20"/>
        <v>-7.6633770583864627E-2</v>
      </c>
      <c r="I499" s="43"/>
      <c r="K499"/>
      <c r="L499"/>
    </row>
    <row r="500" spans="2:12" ht="15">
      <c r="B500" s="32">
        <v>1</v>
      </c>
      <c r="C500" s="66" t="s">
        <v>62</v>
      </c>
      <c r="D500" s="64">
        <v>42044</v>
      </c>
      <c r="E500">
        <v>3.0278476768187623E-2</v>
      </c>
      <c r="F500">
        <v>7.1350766384913389E-2</v>
      </c>
      <c r="G500" s="40">
        <f t="shared" si="19"/>
        <v>0</v>
      </c>
      <c r="H500" s="33">
        <f t="shared" si="20"/>
        <v>-7.1350766384913389E-2</v>
      </c>
      <c r="I500" s="43"/>
      <c r="K500"/>
      <c r="L500"/>
    </row>
    <row r="501" spans="2:12" ht="15">
      <c r="B501" s="32">
        <v>1</v>
      </c>
      <c r="C501" s="66" t="s">
        <v>62</v>
      </c>
      <c r="D501" s="64">
        <v>42045</v>
      </c>
      <c r="E501">
        <v>2.2414469345834576E-2</v>
      </c>
      <c r="F501">
        <v>7.2064917824301064E-2</v>
      </c>
      <c r="G501" s="40">
        <f t="shared" si="19"/>
        <v>0</v>
      </c>
      <c r="H501" s="33">
        <f t="shared" si="20"/>
        <v>-7.2064917824301064E-2</v>
      </c>
      <c r="I501" s="43"/>
      <c r="K501"/>
      <c r="L501"/>
    </row>
    <row r="502" spans="2:12" ht="15">
      <c r="B502" s="32">
        <v>1</v>
      </c>
      <c r="C502" s="66" t="s">
        <v>62</v>
      </c>
      <c r="D502" s="64">
        <v>42046</v>
      </c>
      <c r="E502">
        <v>2.1677486610788499E-2</v>
      </c>
      <c r="F502">
        <v>7.0583787640359358E-2</v>
      </c>
      <c r="G502" s="40">
        <f t="shared" si="19"/>
        <v>0</v>
      </c>
      <c r="H502" s="33">
        <f t="shared" si="20"/>
        <v>-7.0583787640359358E-2</v>
      </c>
      <c r="I502" s="43"/>
      <c r="K502"/>
      <c r="L502"/>
    </row>
    <row r="503" spans="2:12" ht="15">
      <c r="B503" s="32">
        <v>1</v>
      </c>
      <c r="C503" s="66" t="s">
        <v>62</v>
      </c>
      <c r="D503" s="64">
        <v>42047</v>
      </c>
      <c r="E503">
        <v>1.0602073084081454E-2</v>
      </c>
      <c r="F503">
        <v>7.1641443770188259E-2</v>
      </c>
      <c r="G503" s="40">
        <f t="shared" si="19"/>
        <v>0</v>
      </c>
      <c r="H503" s="33">
        <f t="shared" si="20"/>
        <v>-7.1641443770188259E-2</v>
      </c>
      <c r="I503" s="43"/>
      <c r="K503"/>
      <c r="L503"/>
    </row>
    <row r="504" spans="2:12" ht="15">
      <c r="B504" s="32">
        <v>1</v>
      </c>
      <c r="C504" s="66" t="s">
        <v>62</v>
      </c>
      <c r="D504" s="64">
        <v>42048</v>
      </c>
      <c r="E504">
        <v>3.5749308060308849E-3</v>
      </c>
      <c r="F504">
        <v>7.0650148897826559E-2</v>
      </c>
      <c r="G504" s="40">
        <f t="shared" si="19"/>
        <v>0</v>
      </c>
      <c r="H504" s="33">
        <f t="shared" si="20"/>
        <v>-7.0650148897826559E-2</v>
      </c>
      <c r="I504" s="43"/>
      <c r="K504"/>
      <c r="L504"/>
    </row>
    <row r="505" spans="2:12" ht="15">
      <c r="B505" s="32">
        <v>1</v>
      </c>
      <c r="C505" s="66" t="s">
        <v>62</v>
      </c>
      <c r="D505" s="64">
        <v>42052</v>
      </c>
      <c r="E505">
        <v>8.0848693247661529E-3</v>
      </c>
      <c r="F505">
        <v>6.8061618741584728E-2</v>
      </c>
      <c r="G505" s="40">
        <f t="shared" si="19"/>
        <v>0</v>
      </c>
      <c r="H505" s="33">
        <f t="shared" si="20"/>
        <v>-6.8061618741584728E-2</v>
      </c>
      <c r="I505" s="43"/>
      <c r="K505"/>
      <c r="L505"/>
    </row>
    <row r="506" spans="2:12" ht="15">
      <c r="B506" s="32">
        <v>1</v>
      </c>
      <c r="C506" s="66" t="s">
        <v>62</v>
      </c>
      <c r="D506" s="64">
        <v>42053</v>
      </c>
      <c r="E506">
        <v>3.8503548850048475E-3</v>
      </c>
      <c r="F506">
        <v>6.5670251206612601E-2</v>
      </c>
      <c r="G506" s="40">
        <f t="shared" si="19"/>
        <v>0</v>
      </c>
      <c r="H506" s="33">
        <f t="shared" si="20"/>
        <v>-6.5670251206612601E-2</v>
      </c>
      <c r="I506" s="43"/>
      <c r="K506"/>
      <c r="L506"/>
    </row>
    <row r="507" spans="2:12" ht="15">
      <c r="B507" s="32">
        <v>1</v>
      </c>
      <c r="C507" s="66" t="s">
        <v>62</v>
      </c>
      <c r="D507" s="64">
        <v>42054</v>
      </c>
      <c r="E507">
        <v>5.1481562304989126E-4</v>
      </c>
      <c r="F507">
        <v>6.5836896945179024E-2</v>
      </c>
      <c r="G507" s="40">
        <f t="shared" si="19"/>
        <v>0</v>
      </c>
      <c r="H507" s="33">
        <f t="shared" si="20"/>
        <v>-6.5836896945179024E-2</v>
      </c>
      <c r="I507" s="43"/>
      <c r="K507"/>
      <c r="L507"/>
    </row>
    <row r="508" spans="2:12" ht="15">
      <c r="B508" s="32">
        <v>1</v>
      </c>
      <c r="C508" s="66" t="s">
        <v>62</v>
      </c>
      <c r="D508" s="64">
        <v>42055</v>
      </c>
      <c r="E508">
        <v>-4.3976618986398819E-3</v>
      </c>
      <c r="F508">
        <v>6.6044674318877908E-2</v>
      </c>
      <c r="G508" s="40">
        <f t="shared" si="19"/>
        <v>0</v>
      </c>
      <c r="H508" s="33">
        <f t="shared" si="20"/>
        <v>-6.6044674318877908E-2</v>
      </c>
      <c r="I508" s="43"/>
      <c r="K508"/>
      <c r="L508"/>
    </row>
    <row r="509" spans="2:12" ht="15">
      <c r="B509" s="32">
        <v>1</v>
      </c>
      <c r="C509" s="66" t="s">
        <v>62</v>
      </c>
      <c r="D509" s="64">
        <v>42058</v>
      </c>
      <c r="E509">
        <v>-1.8369632772927247E-2</v>
      </c>
      <c r="F509">
        <v>6.213141616217524E-2</v>
      </c>
      <c r="G509" s="40">
        <f t="shared" si="19"/>
        <v>0</v>
      </c>
      <c r="H509" s="33">
        <f t="shared" si="20"/>
        <v>-6.213141616217524E-2</v>
      </c>
      <c r="I509" s="43"/>
      <c r="K509"/>
      <c r="L509"/>
    </row>
    <row r="510" spans="2:12" ht="15">
      <c r="B510" s="32">
        <v>1</v>
      </c>
      <c r="C510" s="66" t="s">
        <v>62</v>
      </c>
      <c r="D510" s="64">
        <v>42059</v>
      </c>
      <c r="E510">
        <v>-1.7187942654378396E-2</v>
      </c>
      <c r="F510">
        <v>6.1176293753537642E-2</v>
      </c>
      <c r="G510" s="40">
        <f t="shared" si="19"/>
        <v>0</v>
      </c>
      <c r="H510" s="33">
        <f t="shared" si="20"/>
        <v>-6.1176293753537642E-2</v>
      </c>
      <c r="I510" s="43"/>
      <c r="K510"/>
      <c r="L510"/>
    </row>
    <row r="511" spans="2:12" ht="15">
      <c r="B511" s="32">
        <v>1</v>
      </c>
      <c r="C511" s="66" t="s">
        <v>62</v>
      </c>
      <c r="D511" s="64">
        <v>42060</v>
      </c>
      <c r="E511">
        <v>-3.3528746910648444E-2</v>
      </c>
      <c r="F511">
        <v>6.1246402419440883E-2</v>
      </c>
      <c r="G511" s="40">
        <f t="shared" si="19"/>
        <v>0</v>
      </c>
      <c r="H511" s="33">
        <f t="shared" si="20"/>
        <v>-6.1246402419440883E-2</v>
      </c>
      <c r="I511" s="43"/>
      <c r="K511"/>
      <c r="L511"/>
    </row>
    <row r="512" spans="2:12" ht="15">
      <c r="B512" s="32">
        <v>1</v>
      </c>
      <c r="C512" s="66" t="s">
        <v>62</v>
      </c>
      <c r="D512" s="64">
        <v>42061</v>
      </c>
      <c r="E512">
        <v>-3.3971149072389295E-2</v>
      </c>
      <c r="F512">
        <v>5.6237858700731058E-2</v>
      </c>
      <c r="G512" s="40">
        <f t="shared" si="19"/>
        <v>0</v>
      </c>
      <c r="H512" s="33">
        <f t="shared" si="20"/>
        <v>-5.6237858700731058E-2</v>
      </c>
      <c r="I512" s="43"/>
      <c r="K512"/>
      <c r="L512"/>
    </row>
    <row r="513" spans="2:12" ht="15">
      <c r="B513" s="32">
        <v>1</v>
      </c>
      <c r="C513" s="66" t="s">
        <v>62</v>
      </c>
      <c r="D513" s="64">
        <v>42062</v>
      </c>
      <c r="E513">
        <v>-1.8487763897077514E-2</v>
      </c>
      <c r="F513">
        <v>5.0644552715435366E-2</v>
      </c>
      <c r="G513" s="40">
        <f t="shared" si="19"/>
        <v>0</v>
      </c>
      <c r="H513" s="33">
        <f t="shared" si="20"/>
        <v>-5.0644552715435366E-2</v>
      </c>
      <c r="I513" s="43"/>
      <c r="K513"/>
      <c r="L513"/>
    </row>
    <row r="514" spans="2:12" ht="15">
      <c r="B514" s="32">
        <v>1</v>
      </c>
      <c r="C514" s="66" t="s">
        <v>62</v>
      </c>
      <c r="D514" s="64">
        <v>42065</v>
      </c>
      <c r="E514">
        <v>-3.0687239451861359E-2</v>
      </c>
      <c r="F514">
        <v>4.9639525575447756E-2</v>
      </c>
      <c r="G514" s="40">
        <f t="shared" si="19"/>
        <v>0</v>
      </c>
      <c r="H514" s="33">
        <f t="shared" si="20"/>
        <v>-4.9639525575447756E-2</v>
      </c>
      <c r="I514" s="43"/>
      <c r="K514"/>
      <c r="L514"/>
    </row>
    <row r="515" spans="2:12" ht="15">
      <c r="B515" s="32">
        <v>1</v>
      </c>
      <c r="C515" s="66" t="s">
        <v>62</v>
      </c>
      <c r="D515" s="64">
        <v>42066</v>
      </c>
      <c r="E515">
        <v>-1.269545751189316E-2</v>
      </c>
      <c r="F515">
        <v>4.4111562665019775E-2</v>
      </c>
      <c r="G515" s="40">
        <f t="shared" si="19"/>
        <v>0</v>
      </c>
      <c r="H515" s="33">
        <f t="shared" si="20"/>
        <v>-4.4111562665019775E-2</v>
      </c>
      <c r="I515" s="43"/>
      <c r="K515"/>
      <c r="L515"/>
    </row>
    <row r="516" spans="2:12" ht="15">
      <c r="B516" s="32">
        <v>1</v>
      </c>
      <c r="C516" s="66" t="s">
        <v>62</v>
      </c>
      <c r="D516" s="64">
        <v>42067</v>
      </c>
      <c r="E516">
        <v>-1.1622993936820869E-2</v>
      </c>
      <c r="F516">
        <v>4.1901528415962133E-2</v>
      </c>
      <c r="G516" s="40">
        <f t="shared" si="19"/>
        <v>0</v>
      </c>
      <c r="H516" s="33">
        <f t="shared" si="20"/>
        <v>-4.1901528415962133E-2</v>
      </c>
      <c r="I516" s="43"/>
      <c r="K516"/>
      <c r="L516"/>
    </row>
    <row r="517" spans="2:12" ht="15">
      <c r="B517" s="32">
        <v>1</v>
      </c>
      <c r="C517" s="66" t="s">
        <v>62</v>
      </c>
      <c r="D517" s="64">
        <v>42068</v>
      </c>
      <c r="E517">
        <v>-7.3325765482668004E-4</v>
      </c>
      <c r="F517">
        <v>3.6179310399965567E-2</v>
      </c>
      <c r="G517" s="40">
        <f t="shared" si="19"/>
        <v>0</v>
      </c>
      <c r="H517" s="33">
        <f t="shared" si="20"/>
        <v>-3.6179310399965567E-2</v>
      </c>
      <c r="I517" s="43"/>
      <c r="K517"/>
      <c r="L517"/>
    </row>
    <row r="518" spans="2:12" ht="15">
      <c r="B518" s="32">
        <v>1</v>
      </c>
      <c r="C518" s="66" t="s">
        <v>62</v>
      </c>
      <c r="D518" s="64">
        <v>42069</v>
      </c>
      <c r="E518">
        <v>8.6576096621469034E-3</v>
      </c>
      <c r="F518">
        <v>4.3177663070384481E-2</v>
      </c>
      <c r="G518" s="40">
        <f t="shared" ref="G518:G581" si="22">--(E518&lt;-F518)</f>
        <v>0</v>
      </c>
      <c r="H518" s="33">
        <f t="shared" ref="H518:H581" si="23">-F518</f>
        <v>-4.3177663070384481E-2</v>
      </c>
      <c r="I518" s="43"/>
      <c r="K518"/>
      <c r="L518"/>
    </row>
    <row r="519" spans="2:12" ht="15">
      <c r="B519" s="32">
        <v>1</v>
      </c>
      <c r="C519" s="66" t="s">
        <v>62</v>
      </c>
      <c r="D519" s="64">
        <v>42072</v>
      </c>
      <c r="E519">
        <v>1.3693329376463836E-2</v>
      </c>
      <c r="F519">
        <v>4.0508657520564699E-2</v>
      </c>
      <c r="G519" s="40">
        <f t="shared" si="22"/>
        <v>0</v>
      </c>
      <c r="H519" s="33">
        <f t="shared" si="23"/>
        <v>-4.0508657520564699E-2</v>
      </c>
      <c r="I519" s="43"/>
      <c r="K519"/>
      <c r="L519"/>
    </row>
    <row r="520" spans="2:12" ht="15">
      <c r="B520" s="32">
        <v>1</v>
      </c>
      <c r="C520" s="66" t="s">
        <v>62</v>
      </c>
      <c r="D520" s="64">
        <v>42073</v>
      </c>
      <c r="E520">
        <v>2.9052893863956264E-2</v>
      </c>
      <c r="F520">
        <v>4.9048673987082077E-2</v>
      </c>
      <c r="G520" s="40">
        <f t="shared" si="22"/>
        <v>0</v>
      </c>
      <c r="H520" s="33">
        <f t="shared" si="23"/>
        <v>-4.9048673987082077E-2</v>
      </c>
      <c r="I520" s="43"/>
      <c r="K520"/>
      <c r="L520"/>
    </row>
    <row r="521" spans="2:12" ht="15">
      <c r="B521" s="32">
        <v>1</v>
      </c>
      <c r="C521" s="66" t="s">
        <v>62</v>
      </c>
      <c r="D521" s="64">
        <v>42074</v>
      </c>
      <c r="E521">
        <v>2.4814068806423784E-2</v>
      </c>
      <c r="F521">
        <v>4.8675886361038104E-2</v>
      </c>
      <c r="G521" s="40">
        <f t="shared" si="22"/>
        <v>0</v>
      </c>
      <c r="H521" s="33">
        <f t="shared" si="23"/>
        <v>-4.8675886361038104E-2</v>
      </c>
      <c r="I521" s="43"/>
      <c r="K521"/>
      <c r="L521"/>
    </row>
    <row r="522" spans="2:12" ht="15">
      <c r="B522" s="32">
        <v>1</v>
      </c>
      <c r="C522" s="66" t="s">
        <v>62</v>
      </c>
      <c r="D522" s="64">
        <v>42075</v>
      </c>
      <c r="E522">
        <v>-2.3745598751423458E-3</v>
      </c>
      <c r="F522">
        <v>4.9896361496065231E-2</v>
      </c>
      <c r="G522" s="40">
        <f t="shared" si="22"/>
        <v>0</v>
      </c>
      <c r="H522" s="33">
        <f t="shared" si="23"/>
        <v>-4.9896361496065231E-2</v>
      </c>
      <c r="I522" s="43"/>
      <c r="K522"/>
      <c r="L522"/>
    </row>
    <row r="523" spans="2:12" ht="15">
      <c r="B523" s="32">
        <v>1</v>
      </c>
      <c r="C523" s="66" t="s">
        <v>62</v>
      </c>
      <c r="D523" s="64">
        <v>42076</v>
      </c>
      <c r="E523">
        <v>1.3383463112184302E-3</v>
      </c>
      <c r="F523">
        <v>5.0826915362037192E-2</v>
      </c>
      <c r="G523" s="40">
        <f t="shared" si="22"/>
        <v>0</v>
      </c>
      <c r="H523" s="33">
        <f t="shared" si="23"/>
        <v>-5.0826915362037192E-2</v>
      </c>
      <c r="I523" s="43"/>
      <c r="K523"/>
      <c r="L523"/>
    </row>
    <row r="524" spans="2:12" ht="15">
      <c r="B524" s="32">
        <v>1</v>
      </c>
      <c r="C524" s="66" t="s">
        <v>62</v>
      </c>
      <c r="D524" s="64">
        <v>42079</v>
      </c>
      <c r="E524">
        <v>-9.7388015607204892E-3</v>
      </c>
      <c r="F524">
        <v>5.3183169489189955E-2</v>
      </c>
      <c r="G524" s="40">
        <f t="shared" si="22"/>
        <v>0</v>
      </c>
      <c r="H524" s="33">
        <f t="shared" si="23"/>
        <v>-5.3183169489189955E-2</v>
      </c>
      <c r="I524" s="43"/>
      <c r="K524"/>
      <c r="L524"/>
    </row>
    <row r="525" spans="2:12" ht="15">
      <c r="B525" s="32">
        <v>1</v>
      </c>
      <c r="C525" s="66" t="s">
        <v>62</v>
      </c>
      <c r="D525" s="64">
        <v>42080</v>
      </c>
      <c r="E525">
        <v>5.749278402352509E-3</v>
      </c>
      <c r="F525">
        <v>5.2914362661893879E-2</v>
      </c>
      <c r="G525" s="40">
        <f t="shared" si="22"/>
        <v>0</v>
      </c>
      <c r="H525" s="33">
        <f t="shared" si="23"/>
        <v>-5.2914362661893879E-2</v>
      </c>
      <c r="I525" s="43"/>
      <c r="K525"/>
      <c r="L525"/>
    </row>
    <row r="526" spans="2:12" ht="15">
      <c r="B526" s="32">
        <v>1</v>
      </c>
      <c r="C526" s="66" t="s">
        <v>62</v>
      </c>
      <c r="D526" s="64">
        <v>42081</v>
      </c>
      <c r="E526">
        <v>-1.5170509143573874E-2</v>
      </c>
      <c r="F526">
        <v>5.65994222545897E-2</v>
      </c>
      <c r="G526" s="40">
        <f t="shared" si="22"/>
        <v>0</v>
      </c>
      <c r="H526" s="33">
        <f t="shared" si="23"/>
        <v>-5.65994222545897E-2</v>
      </c>
      <c r="I526" s="43"/>
      <c r="K526"/>
      <c r="L526"/>
    </row>
    <row r="527" spans="2:12" ht="15">
      <c r="B527" s="32">
        <v>1</v>
      </c>
      <c r="C527" s="66" t="s">
        <v>62</v>
      </c>
      <c r="D527" s="64">
        <v>42082</v>
      </c>
      <c r="E527">
        <v>-1.4259274844081737E-2</v>
      </c>
      <c r="F527">
        <v>5.7136887100524801E-2</v>
      </c>
      <c r="G527" s="40">
        <f t="shared" si="22"/>
        <v>0</v>
      </c>
      <c r="H527" s="33">
        <f t="shared" si="23"/>
        <v>-5.7136887100524801E-2</v>
      </c>
      <c r="I527" s="43"/>
      <c r="K527"/>
      <c r="L527"/>
    </row>
    <row r="528" spans="2:12" ht="15">
      <c r="B528" s="32">
        <v>1</v>
      </c>
      <c r="C528" s="66" t="s">
        <v>62</v>
      </c>
      <c r="D528" s="64">
        <v>42083</v>
      </c>
      <c r="E528">
        <v>-1.9708204444852662E-2</v>
      </c>
      <c r="F528">
        <v>5.8985461329711053E-2</v>
      </c>
      <c r="G528" s="40">
        <f t="shared" si="22"/>
        <v>0</v>
      </c>
      <c r="H528" s="33">
        <f t="shared" si="23"/>
        <v>-5.8985461329711053E-2</v>
      </c>
      <c r="I528" s="43"/>
      <c r="K528"/>
      <c r="L528"/>
    </row>
    <row r="529" spans="2:12" ht="15">
      <c r="B529" s="32">
        <v>1</v>
      </c>
      <c r="C529" s="66" t="s">
        <v>62</v>
      </c>
      <c r="D529" s="64">
        <v>42086</v>
      </c>
      <c r="E529">
        <v>-1.1373875207666195E-2</v>
      </c>
      <c r="F529">
        <v>5.8214263545827996E-2</v>
      </c>
      <c r="G529" s="40">
        <f t="shared" si="22"/>
        <v>0</v>
      </c>
      <c r="H529" s="33">
        <f t="shared" si="23"/>
        <v>-5.8214263545827996E-2</v>
      </c>
      <c r="I529" s="43"/>
      <c r="K529"/>
      <c r="L529"/>
    </row>
    <row r="530" spans="2:12" ht="15">
      <c r="B530" s="32">
        <v>1</v>
      </c>
      <c r="C530" s="66" t="s">
        <v>62</v>
      </c>
      <c r="D530" s="64">
        <v>42087</v>
      </c>
      <c r="E530">
        <v>-7.2795621253476384E-3</v>
      </c>
      <c r="F530">
        <v>5.9013961597952788E-2</v>
      </c>
      <c r="G530" s="40">
        <f t="shared" si="22"/>
        <v>0</v>
      </c>
      <c r="H530" s="33">
        <f t="shared" si="23"/>
        <v>-5.9013961597952788E-2</v>
      </c>
      <c r="I530" s="43"/>
      <c r="K530"/>
      <c r="L530"/>
    </row>
    <row r="531" spans="2:12" ht="15">
      <c r="B531" s="32">
        <v>1</v>
      </c>
      <c r="C531" s="66" t="s">
        <v>62</v>
      </c>
      <c r="D531" s="64">
        <v>42088</v>
      </c>
      <c r="E531">
        <v>1.0065305770935673E-2</v>
      </c>
      <c r="F531">
        <v>6.2977865782678111E-2</v>
      </c>
      <c r="G531" s="40">
        <f t="shared" si="22"/>
        <v>0</v>
      </c>
      <c r="H531" s="33">
        <f t="shared" si="23"/>
        <v>-6.2977865782678111E-2</v>
      </c>
      <c r="I531" s="43"/>
      <c r="K531"/>
      <c r="L531"/>
    </row>
    <row r="532" spans="2:12" ht="15">
      <c r="B532" s="32">
        <v>1</v>
      </c>
      <c r="C532" s="66" t="s">
        <v>62</v>
      </c>
      <c r="D532" s="64">
        <v>42089</v>
      </c>
      <c r="E532">
        <v>1.6893212969574911E-2</v>
      </c>
      <c r="F532">
        <v>6.2998219655382701E-2</v>
      </c>
      <c r="G532" s="40">
        <f t="shared" si="22"/>
        <v>0</v>
      </c>
      <c r="H532" s="33">
        <f t="shared" si="23"/>
        <v>-6.2998219655382701E-2</v>
      </c>
      <c r="I532" s="43"/>
      <c r="K532"/>
      <c r="L532"/>
    </row>
    <row r="533" spans="2:12" ht="15">
      <c r="B533" s="32">
        <v>1</v>
      </c>
      <c r="C533" s="66" t="s">
        <v>62</v>
      </c>
      <c r="D533" s="64">
        <v>42090</v>
      </c>
      <c r="E533">
        <v>1.9716828766319416E-2</v>
      </c>
      <c r="F533">
        <v>6.3273427875380622E-2</v>
      </c>
      <c r="G533" s="40">
        <f t="shared" si="22"/>
        <v>0</v>
      </c>
      <c r="H533" s="33">
        <f t="shared" si="23"/>
        <v>-6.3273427875380622E-2</v>
      </c>
      <c r="I533" s="43"/>
      <c r="K533"/>
      <c r="L533"/>
    </row>
    <row r="534" spans="2:12" ht="15">
      <c r="B534" s="32">
        <v>1</v>
      </c>
      <c r="C534" s="66" t="s">
        <v>62</v>
      </c>
      <c r="D534" s="64">
        <v>42093</v>
      </c>
      <c r="E534">
        <v>2.9626396164763591E-3</v>
      </c>
      <c r="F534">
        <v>6.6659688799467903E-2</v>
      </c>
      <c r="G534" s="40">
        <f t="shared" si="22"/>
        <v>0</v>
      </c>
      <c r="H534" s="33">
        <f t="shared" si="23"/>
        <v>-6.6659688799467903E-2</v>
      </c>
      <c r="I534" s="43"/>
      <c r="K534"/>
      <c r="L534"/>
    </row>
    <row r="535" spans="2:12" ht="15">
      <c r="B535" s="32">
        <v>1</v>
      </c>
      <c r="C535" s="66" t="s">
        <v>62</v>
      </c>
      <c r="D535" s="64">
        <v>42094</v>
      </c>
      <c r="E535">
        <v>1.3425757656601256E-2</v>
      </c>
      <c r="F535">
        <v>6.7018688591112083E-2</v>
      </c>
      <c r="G535" s="40">
        <f t="shared" si="22"/>
        <v>0</v>
      </c>
      <c r="H535" s="33">
        <f t="shared" si="23"/>
        <v>-6.7018688591112083E-2</v>
      </c>
      <c r="I535" s="43"/>
      <c r="K535"/>
      <c r="L535"/>
    </row>
    <row r="536" spans="2:12" ht="15">
      <c r="B536" s="32">
        <v>1</v>
      </c>
      <c r="C536" s="66" t="s">
        <v>62</v>
      </c>
      <c r="D536" s="64">
        <v>42095</v>
      </c>
      <c r="E536">
        <v>2.2534001341512955E-2</v>
      </c>
      <c r="F536">
        <v>6.6945477966169314E-2</v>
      </c>
      <c r="G536" s="40">
        <f t="shared" si="22"/>
        <v>0</v>
      </c>
      <c r="H536" s="33">
        <f t="shared" si="23"/>
        <v>-6.6945477966169314E-2</v>
      </c>
      <c r="I536" s="43"/>
      <c r="K536"/>
      <c r="L536"/>
    </row>
    <row r="537" spans="2:12" ht="15">
      <c r="B537" s="32">
        <v>1</v>
      </c>
      <c r="C537" s="66" t="s">
        <v>62</v>
      </c>
      <c r="D537" s="64">
        <v>42096</v>
      </c>
      <c r="E537">
        <v>1.8231801851991136E-2</v>
      </c>
      <c r="F537">
        <v>6.7096782163302407E-2</v>
      </c>
      <c r="G537" s="40">
        <f t="shared" si="22"/>
        <v>0</v>
      </c>
      <c r="H537" s="33">
        <f t="shared" si="23"/>
        <v>-6.7096782163302407E-2</v>
      </c>
      <c r="I537" s="43"/>
      <c r="K537"/>
      <c r="L537"/>
    </row>
    <row r="538" spans="2:12" ht="15">
      <c r="B538" s="32">
        <v>1</v>
      </c>
      <c r="C538" s="66" t="s">
        <v>62</v>
      </c>
      <c r="D538" s="64">
        <v>42100</v>
      </c>
      <c r="E538">
        <v>2.690254201480613E-4</v>
      </c>
      <c r="F538">
        <v>6.8064952525355049E-2</v>
      </c>
      <c r="G538" s="40">
        <f t="shared" si="22"/>
        <v>0</v>
      </c>
      <c r="H538" s="33">
        <f t="shared" si="23"/>
        <v>-6.8064952525355049E-2</v>
      </c>
      <c r="I538" s="43"/>
      <c r="K538"/>
      <c r="L538"/>
    </row>
    <row r="539" spans="2:12" ht="15">
      <c r="B539" s="32">
        <v>1</v>
      </c>
      <c r="C539" s="66" t="s">
        <v>62</v>
      </c>
      <c r="D539" s="64">
        <v>42101</v>
      </c>
      <c r="E539">
        <v>1.1525806349018453E-2</v>
      </c>
      <c r="F539">
        <v>6.4066002356010482E-2</v>
      </c>
      <c r="G539" s="40">
        <f t="shared" si="22"/>
        <v>0</v>
      </c>
      <c r="H539" s="33">
        <f t="shared" si="23"/>
        <v>-6.4066002356010482E-2</v>
      </c>
      <c r="I539" s="43"/>
      <c r="K539"/>
      <c r="L539"/>
    </row>
    <row r="540" spans="2:12" ht="15">
      <c r="B540" s="32">
        <v>1</v>
      </c>
      <c r="C540" s="66" t="s">
        <v>62</v>
      </c>
      <c r="D540" s="64">
        <v>42102</v>
      </c>
      <c r="E540">
        <v>7.3651625256729858E-3</v>
      </c>
      <c r="F540">
        <v>6.3894649230329822E-2</v>
      </c>
      <c r="G540" s="40">
        <f t="shared" si="22"/>
        <v>0</v>
      </c>
      <c r="H540" s="33">
        <f t="shared" si="23"/>
        <v>-6.3894649230329822E-2</v>
      </c>
      <c r="I540" s="43"/>
      <c r="K540"/>
      <c r="L540"/>
    </row>
    <row r="541" spans="2:12" ht="15">
      <c r="B541" s="32">
        <v>1</v>
      </c>
      <c r="C541" s="66" t="s">
        <v>62</v>
      </c>
      <c r="D541" s="64">
        <v>42103</v>
      </c>
      <c r="E541">
        <v>7.9921692279176781E-3</v>
      </c>
      <c r="F541">
        <v>5.7251340773986747E-2</v>
      </c>
      <c r="G541" s="40">
        <f t="shared" si="22"/>
        <v>0</v>
      </c>
      <c r="H541" s="33">
        <f t="shared" si="23"/>
        <v>-5.7251340773986747E-2</v>
      </c>
      <c r="I541" s="43"/>
      <c r="K541"/>
      <c r="L541"/>
    </row>
    <row r="542" spans="2:12" ht="15">
      <c r="B542" s="32">
        <v>1</v>
      </c>
      <c r="C542" s="66" t="s">
        <v>62</v>
      </c>
      <c r="D542" s="64">
        <v>42104</v>
      </c>
      <c r="E542">
        <v>5.1577332900381023E-3</v>
      </c>
      <c r="F542">
        <v>5.7379796276158211E-2</v>
      </c>
      <c r="G542" s="40">
        <f t="shared" si="22"/>
        <v>0</v>
      </c>
      <c r="H542" s="33">
        <f t="shared" si="23"/>
        <v>-5.7379796276158211E-2</v>
      </c>
      <c r="I542" s="43"/>
      <c r="K542"/>
      <c r="L542"/>
    </row>
    <row r="543" spans="2:12" ht="15">
      <c r="B543" s="32">
        <v>1</v>
      </c>
      <c r="C543" s="66" t="s">
        <v>62</v>
      </c>
      <c r="D543" s="64">
        <v>42107</v>
      </c>
      <c r="E543">
        <v>1.1999806595344609E-2</v>
      </c>
      <c r="F543">
        <v>5.4946050953756841E-2</v>
      </c>
      <c r="G543" s="40">
        <f t="shared" si="22"/>
        <v>0</v>
      </c>
      <c r="H543" s="33">
        <f t="shared" si="23"/>
        <v>-5.4946050953756841E-2</v>
      </c>
      <c r="I543" s="43"/>
      <c r="K543"/>
      <c r="L543"/>
    </row>
    <row r="544" spans="2:12" ht="15">
      <c r="B544" s="32">
        <v>1</v>
      </c>
      <c r="C544" s="66" t="s">
        <v>62</v>
      </c>
      <c r="D544" s="64">
        <v>42108</v>
      </c>
      <c r="E544">
        <v>6.2214614667688295E-3</v>
      </c>
      <c r="F544">
        <v>5.3784313477439359E-2</v>
      </c>
      <c r="G544" s="40">
        <f t="shared" si="22"/>
        <v>0</v>
      </c>
      <c r="H544" s="33">
        <f t="shared" si="23"/>
        <v>-5.3784313477439359E-2</v>
      </c>
      <c r="I544" s="43"/>
      <c r="K544"/>
      <c r="L544"/>
    </row>
    <row r="545" spans="2:12" ht="15">
      <c r="B545" s="32">
        <v>1</v>
      </c>
      <c r="C545" s="66" t="s">
        <v>62</v>
      </c>
      <c r="D545" s="64">
        <v>42109</v>
      </c>
      <c r="E545">
        <v>3.8518768738580178E-3</v>
      </c>
      <c r="F545">
        <v>5.0100029592106632E-2</v>
      </c>
      <c r="G545" s="40">
        <f t="shared" si="22"/>
        <v>0</v>
      </c>
      <c r="H545" s="33">
        <f t="shared" si="23"/>
        <v>-5.0100029592106632E-2</v>
      </c>
      <c r="I545" s="43"/>
      <c r="K545"/>
      <c r="L545"/>
    </row>
    <row r="546" spans="2:12" ht="15">
      <c r="B546" s="32">
        <v>1</v>
      </c>
      <c r="C546" s="66" t="s">
        <v>62</v>
      </c>
      <c r="D546" s="64">
        <v>42110</v>
      </c>
      <c r="E546">
        <v>8.8327575694702176E-4</v>
      </c>
      <c r="F546">
        <v>4.9728411564247225E-2</v>
      </c>
      <c r="G546" s="40">
        <f t="shared" si="22"/>
        <v>0</v>
      </c>
      <c r="H546" s="33">
        <f t="shared" si="23"/>
        <v>-4.9728411564247225E-2</v>
      </c>
      <c r="I546" s="43"/>
      <c r="K546"/>
      <c r="L546"/>
    </row>
    <row r="547" spans="2:12" ht="15">
      <c r="B547" s="32">
        <v>1</v>
      </c>
      <c r="C547" s="66" t="s">
        <v>62</v>
      </c>
      <c r="D547" s="64">
        <v>42111</v>
      </c>
      <c r="E547">
        <v>2.0784265779552058E-3</v>
      </c>
      <c r="F547">
        <v>4.9455166588497065E-2</v>
      </c>
      <c r="G547" s="40">
        <f t="shared" si="22"/>
        <v>0</v>
      </c>
      <c r="H547" s="33">
        <f t="shared" si="23"/>
        <v>-4.9455166588497065E-2</v>
      </c>
      <c r="I547" s="43"/>
      <c r="K547"/>
      <c r="L547"/>
    </row>
    <row r="548" spans="2:12" ht="15">
      <c r="B548" s="32">
        <v>1</v>
      </c>
      <c r="C548" s="66" t="s">
        <v>62</v>
      </c>
      <c r="D548" s="64">
        <v>42114</v>
      </c>
      <c r="E548">
        <v>3.7494547491849772E-3</v>
      </c>
      <c r="F548">
        <v>5.1148656014825253E-2</v>
      </c>
      <c r="G548" s="40">
        <f t="shared" si="22"/>
        <v>0</v>
      </c>
      <c r="H548" s="33">
        <f t="shared" si="23"/>
        <v>-5.1148656014825253E-2</v>
      </c>
      <c r="I548" s="43"/>
      <c r="K548"/>
      <c r="L548"/>
    </row>
    <row r="549" spans="2:12" ht="15">
      <c r="B549" s="32">
        <v>1</v>
      </c>
      <c r="C549" s="66" t="s">
        <v>62</v>
      </c>
      <c r="D549" s="64">
        <v>42115</v>
      </c>
      <c r="E549">
        <v>8.1675901866589129E-3</v>
      </c>
      <c r="F549">
        <v>4.9035893005846917E-2</v>
      </c>
      <c r="G549" s="40">
        <f t="shared" si="22"/>
        <v>0</v>
      </c>
      <c r="H549" s="33">
        <f t="shared" si="23"/>
        <v>-4.9035893005846917E-2</v>
      </c>
      <c r="I549" s="43"/>
      <c r="K549"/>
      <c r="L549"/>
    </row>
    <row r="550" spans="2:12" ht="15">
      <c r="B550" s="32">
        <v>1</v>
      </c>
      <c r="C550" s="66" t="s">
        <v>62</v>
      </c>
      <c r="D550" s="64">
        <v>42116</v>
      </c>
      <c r="E550">
        <v>-8.8149959439531855E-3</v>
      </c>
      <c r="F550">
        <v>4.9688845662866396E-2</v>
      </c>
      <c r="G550" s="40">
        <f t="shared" si="22"/>
        <v>0</v>
      </c>
      <c r="H550" s="33">
        <f t="shared" si="23"/>
        <v>-4.9688845662866396E-2</v>
      </c>
      <c r="I550" s="43"/>
      <c r="K550"/>
      <c r="L550"/>
    </row>
    <row r="551" spans="2:12" ht="15">
      <c r="B551" s="32">
        <v>1</v>
      </c>
      <c r="C551" s="66" t="s">
        <v>62</v>
      </c>
      <c r="D551" s="64">
        <v>42117</v>
      </c>
      <c r="E551">
        <v>-1.5635618263035944E-2</v>
      </c>
      <c r="F551">
        <v>4.8665571066806607E-2</v>
      </c>
      <c r="G551" s="40">
        <f t="shared" si="22"/>
        <v>0</v>
      </c>
      <c r="H551" s="33">
        <f t="shared" si="23"/>
        <v>-4.8665571066806607E-2</v>
      </c>
      <c r="I551" s="43"/>
      <c r="K551"/>
      <c r="L551"/>
    </row>
    <row r="552" spans="2:12" ht="15">
      <c r="B552" s="32">
        <v>1</v>
      </c>
      <c r="C552" s="66" t="s">
        <v>62</v>
      </c>
      <c r="D552" s="64">
        <v>42118</v>
      </c>
      <c r="E552">
        <v>-1.4119174091141495E-2</v>
      </c>
      <c r="F552">
        <v>4.1457279273068054E-2</v>
      </c>
      <c r="G552" s="40">
        <f t="shared" si="22"/>
        <v>0</v>
      </c>
      <c r="H552" s="33">
        <f t="shared" si="23"/>
        <v>-4.1457279273068054E-2</v>
      </c>
      <c r="I552" s="43"/>
      <c r="K552"/>
      <c r="L552"/>
    </row>
    <row r="553" spans="2:12" ht="15">
      <c r="B553" s="32">
        <v>1</v>
      </c>
      <c r="C553" s="66" t="s">
        <v>62</v>
      </c>
      <c r="D553" s="64">
        <v>42121</v>
      </c>
      <c r="E553">
        <v>3.398887048291499E-3</v>
      </c>
      <c r="F553">
        <v>4.19754118096086E-2</v>
      </c>
      <c r="G553" s="40">
        <f t="shared" si="22"/>
        <v>0</v>
      </c>
      <c r="H553" s="33">
        <f t="shared" si="23"/>
        <v>-4.19754118096086E-2</v>
      </c>
      <c r="I553" s="43"/>
      <c r="K553"/>
      <c r="L553"/>
    </row>
    <row r="554" spans="2:12" ht="15">
      <c r="B554" s="32">
        <v>1</v>
      </c>
      <c r="C554" s="66" t="s">
        <v>62</v>
      </c>
      <c r="D554" s="64">
        <v>42122</v>
      </c>
      <c r="E554">
        <v>-4.4690741185124949E-3</v>
      </c>
      <c r="F554">
        <v>4.2010161251443127E-2</v>
      </c>
      <c r="G554" s="40">
        <f t="shared" si="22"/>
        <v>0</v>
      </c>
      <c r="H554" s="33">
        <f t="shared" si="23"/>
        <v>-4.2010161251443127E-2</v>
      </c>
      <c r="I554" s="43"/>
      <c r="K554"/>
      <c r="L554"/>
    </row>
    <row r="555" spans="2:12" ht="15">
      <c r="B555" s="32">
        <v>1</v>
      </c>
      <c r="C555" s="66" t="s">
        <v>62</v>
      </c>
      <c r="D555" s="64">
        <v>42123</v>
      </c>
      <c r="E555">
        <v>-3.6757225125860771E-3</v>
      </c>
      <c r="F555">
        <v>3.8412248090863632E-2</v>
      </c>
      <c r="G555" s="40">
        <f t="shared" si="22"/>
        <v>0</v>
      </c>
      <c r="H555" s="33">
        <f t="shared" si="23"/>
        <v>-3.8412248090863632E-2</v>
      </c>
      <c r="I555" s="43"/>
      <c r="K555"/>
      <c r="L555"/>
    </row>
    <row r="556" spans="2:12" ht="15">
      <c r="B556" s="32">
        <v>1</v>
      </c>
      <c r="C556" s="66" t="s">
        <v>62</v>
      </c>
      <c r="D556" s="64">
        <v>42124</v>
      </c>
      <c r="E556">
        <v>6.1998291467331157E-3</v>
      </c>
      <c r="F556">
        <v>3.934371145047056E-2</v>
      </c>
      <c r="G556" s="40">
        <f t="shared" si="22"/>
        <v>0</v>
      </c>
      <c r="H556" s="33">
        <f t="shared" si="23"/>
        <v>-3.934371145047056E-2</v>
      </c>
      <c r="I556" s="43"/>
      <c r="K556"/>
      <c r="L556"/>
    </row>
    <row r="557" spans="2:12" ht="15">
      <c r="B557" s="32">
        <v>1</v>
      </c>
      <c r="C557" s="66" t="s">
        <v>62</v>
      </c>
      <c r="D557" s="64">
        <v>42125</v>
      </c>
      <c r="E557">
        <v>6.0576573725033001E-3</v>
      </c>
      <c r="F557">
        <v>4.1997161508212907E-2</v>
      </c>
      <c r="G557" s="40">
        <f t="shared" si="22"/>
        <v>0</v>
      </c>
      <c r="H557" s="33">
        <f t="shared" si="23"/>
        <v>-4.1997161508212907E-2</v>
      </c>
      <c r="I557" s="43"/>
      <c r="K557"/>
      <c r="L557"/>
    </row>
    <row r="558" spans="2:12" ht="15">
      <c r="B558" s="32">
        <v>1</v>
      </c>
      <c r="C558" s="66" t="s">
        <v>62</v>
      </c>
      <c r="D558" s="64">
        <v>42128</v>
      </c>
      <c r="E558">
        <v>3.8893427509183454E-3</v>
      </c>
      <c r="F558">
        <v>4.1916394537885607E-2</v>
      </c>
      <c r="G558" s="40">
        <f t="shared" si="22"/>
        <v>0</v>
      </c>
      <c r="H558" s="33">
        <f t="shared" si="23"/>
        <v>-4.1916394537885607E-2</v>
      </c>
      <c r="I558" s="43"/>
      <c r="K558"/>
      <c r="L558"/>
    </row>
    <row r="559" spans="2:12" ht="15">
      <c r="B559" s="32">
        <v>1</v>
      </c>
      <c r="C559" s="66" t="s">
        <v>62</v>
      </c>
      <c r="D559" s="64">
        <v>42129</v>
      </c>
      <c r="E559">
        <v>1.884065858136541E-2</v>
      </c>
      <c r="F559">
        <v>4.5689866206816143E-2</v>
      </c>
      <c r="G559" s="40">
        <f t="shared" si="22"/>
        <v>0</v>
      </c>
      <c r="H559" s="33">
        <f t="shared" si="23"/>
        <v>-4.5689866206816143E-2</v>
      </c>
      <c r="I559" s="43"/>
      <c r="K559"/>
      <c r="L559"/>
    </row>
    <row r="560" spans="2:12" ht="15">
      <c r="B560" s="32">
        <v>1</v>
      </c>
      <c r="C560" s="66" t="s">
        <v>62</v>
      </c>
      <c r="D560" s="64">
        <v>42130</v>
      </c>
      <c r="E560">
        <v>2.2662758341597922E-2</v>
      </c>
      <c r="F560">
        <v>4.6172281385956575E-2</v>
      </c>
      <c r="G560" s="40">
        <f t="shared" si="22"/>
        <v>0</v>
      </c>
      <c r="H560" s="33">
        <f t="shared" si="23"/>
        <v>-4.6172281385956575E-2</v>
      </c>
      <c r="I560" s="43"/>
      <c r="K560"/>
      <c r="L560"/>
    </row>
    <row r="561" spans="2:12" ht="15">
      <c r="B561" s="32">
        <v>1</v>
      </c>
      <c r="C561" s="66" t="s">
        <v>62</v>
      </c>
      <c r="D561" s="64">
        <v>42131</v>
      </c>
      <c r="E561">
        <v>1.7965098476521391E-2</v>
      </c>
      <c r="F561">
        <v>4.6370079632056797E-2</v>
      </c>
      <c r="G561" s="40">
        <f t="shared" si="22"/>
        <v>0</v>
      </c>
      <c r="H561" s="33">
        <f t="shared" si="23"/>
        <v>-4.6370079632056797E-2</v>
      </c>
      <c r="I561" s="43"/>
      <c r="K561"/>
      <c r="L561"/>
    </row>
    <row r="562" spans="2:12" ht="15">
      <c r="B562" s="32">
        <v>1</v>
      </c>
      <c r="C562" s="66" t="s">
        <v>62</v>
      </c>
      <c r="D562" s="64">
        <v>42132</v>
      </c>
      <c r="E562">
        <v>6.9320959051033526E-3</v>
      </c>
      <c r="F562">
        <v>5.0628558586716152E-2</v>
      </c>
      <c r="G562" s="40">
        <f t="shared" si="22"/>
        <v>0</v>
      </c>
      <c r="H562" s="33">
        <f t="shared" si="23"/>
        <v>-5.0628558586716152E-2</v>
      </c>
      <c r="I562" s="43"/>
      <c r="K562"/>
      <c r="L562"/>
    </row>
    <row r="563" spans="2:12" ht="15">
      <c r="B563" s="32">
        <v>1</v>
      </c>
      <c r="C563" s="66" t="s">
        <v>62</v>
      </c>
      <c r="D563" s="64">
        <v>42135</v>
      </c>
      <c r="E563">
        <v>9.7982677932577644E-3</v>
      </c>
      <c r="F563">
        <v>5.0779963142522373E-2</v>
      </c>
      <c r="G563" s="40">
        <f t="shared" si="22"/>
        <v>0</v>
      </c>
      <c r="H563" s="33">
        <f t="shared" si="23"/>
        <v>-5.0779963142522373E-2</v>
      </c>
      <c r="I563" s="43"/>
      <c r="K563"/>
      <c r="L563"/>
    </row>
    <row r="564" spans="2:12" ht="15">
      <c r="B564" s="32">
        <v>1</v>
      </c>
      <c r="C564" s="66" t="s">
        <v>62</v>
      </c>
      <c r="D564" s="64">
        <v>42136</v>
      </c>
      <c r="E564">
        <v>2.4170590823091587E-3</v>
      </c>
      <c r="F564">
        <v>5.0439679042682442E-2</v>
      </c>
      <c r="G564" s="40">
        <f t="shared" si="22"/>
        <v>0</v>
      </c>
      <c r="H564" s="33">
        <f t="shared" si="23"/>
        <v>-5.0439679042682442E-2</v>
      </c>
      <c r="I564" s="43"/>
      <c r="K564"/>
      <c r="L564"/>
    </row>
    <row r="565" spans="2:12" ht="15">
      <c r="B565" s="32">
        <v>1</v>
      </c>
      <c r="C565" s="66" t="s">
        <v>62</v>
      </c>
      <c r="D565" s="64">
        <v>42137</v>
      </c>
      <c r="E565">
        <v>1.1842979297060019E-2</v>
      </c>
      <c r="F565">
        <v>5.0382003028836442E-2</v>
      </c>
      <c r="G565" s="40">
        <f t="shared" si="22"/>
        <v>0</v>
      </c>
      <c r="H565" s="33">
        <f t="shared" si="23"/>
        <v>-5.0382003028836442E-2</v>
      </c>
      <c r="I565" s="43"/>
      <c r="K565"/>
      <c r="L565"/>
    </row>
    <row r="566" spans="2:12" ht="15">
      <c r="B566" s="32">
        <v>1</v>
      </c>
      <c r="C566" s="66" t="s">
        <v>62</v>
      </c>
      <c r="D566" s="64">
        <v>42138</v>
      </c>
      <c r="E566">
        <v>-1.4618907634922351E-4</v>
      </c>
      <c r="F566">
        <v>5.2651854964745344E-2</v>
      </c>
      <c r="G566" s="40">
        <f t="shared" si="22"/>
        <v>0</v>
      </c>
      <c r="H566" s="33">
        <f t="shared" si="23"/>
        <v>-5.2651854964745344E-2</v>
      </c>
      <c r="I566" s="43"/>
      <c r="K566"/>
      <c r="L566"/>
    </row>
    <row r="567" spans="2:12" ht="15">
      <c r="B567" s="32">
        <v>1</v>
      </c>
      <c r="C567" s="66" t="s">
        <v>62</v>
      </c>
      <c r="D567" s="64">
        <v>42139</v>
      </c>
      <c r="E567">
        <v>-7.2528224757686388E-3</v>
      </c>
      <c r="F567">
        <v>5.2622582187810969E-2</v>
      </c>
      <c r="G567" s="40">
        <f t="shared" si="22"/>
        <v>0</v>
      </c>
      <c r="H567" s="33">
        <f t="shared" si="23"/>
        <v>-5.2622582187810969E-2</v>
      </c>
      <c r="I567" s="43"/>
      <c r="K567"/>
      <c r="L567"/>
    </row>
    <row r="568" spans="2:12" ht="15">
      <c r="B568" s="32">
        <v>1</v>
      </c>
      <c r="C568" s="66" t="s">
        <v>62</v>
      </c>
      <c r="D568" s="64">
        <v>42142</v>
      </c>
      <c r="E568">
        <v>-8.2387920114550539E-3</v>
      </c>
      <c r="F568">
        <v>4.884726754332578E-2</v>
      </c>
      <c r="G568" s="40">
        <f t="shared" si="22"/>
        <v>0</v>
      </c>
      <c r="H568" s="33">
        <f t="shared" si="23"/>
        <v>-4.884726754332578E-2</v>
      </c>
      <c r="I568" s="43"/>
      <c r="K568"/>
      <c r="L568"/>
    </row>
    <row r="569" spans="2:12" ht="15">
      <c r="B569" s="32">
        <v>1</v>
      </c>
      <c r="C569" s="66" t="s">
        <v>62</v>
      </c>
      <c r="D569" s="64">
        <v>42143</v>
      </c>
      <c r="E569">
        <v>-8.6043152160195646E-3</v>
      </c>
      <c r="F569">
        <v>4.6945323643402405E-2</v>
      </c>
      <c r="G569" s="40">
        <f t="shared" si="22"/>
        <v>0</v>
      </c>
      <c r="H569" s="33">
        <f t="shared" si="23"/>
        <v>-4.6945323643402405E-2</v>
      </c>
      <c r="I569" s="43"/>
      <c r="K569"/>
      <c r="L569"/>
    </row>
    <row r="570" spans="2:12" ht="15">
      <c r="B570" s="32">
        <v>1</v>
      </c>
      <c r="C570" s="66" t="s">
        <v>62</v>
      </c>
      <c r="D570" s="64">
        <v>42144</v>
      </c>
      <c r="E570">
        <v>-5.5567368488524949E-3</v>
      </c>
      <c r="F570">
        <v>4.6886961298788325E-2</v>
      </c>
      <c r="G570" s="40">
        <f t="shared" si="22"/>
        <v>0</v>
      </c>
      <c r="H570" s="33">
        <f t="shared" si="23"/>
        <v>-4.6886961298788325E-2</v>
      </c>
      <c r="I570" s="43"/>
      <c r="K570"/>
      <c r="L570"/>
    </row>
    <row r="571" spans="2:12" ht="15">
      <c r="B571" s="32">
        <v>1</v>
      </c>
      <c r="C571" s="66" t="s">
        <v>62</v>
      </c>
      <c r="D571" s="64">
        <v>42145</v>
      </c>
      <c r="E571">
        <v>-1.6552444420163681E-2</v>
      </c>
      <c r="F571">
        <v>4.6390110756993556E-2</v>
      </c>
      <c r="G571" s="40">
        <f t="shared" si="22"/>
        <v>0</v>
      </c>
      <c r="H571" s="33">
        <f t="shared" si="23"/>
        <v>-4.6390110756993556E-2</v>
      </c>
      <c r="I571" s="43"/>
      <c r="K571"/>
      <c r="L571"/>
    </row>
    <row r="572" spans="2:12" ht="15">
      <c r="B572" s="32">
        <v>1</v>
      </c>
      <c r="C572" s="66" t="s">
        <v>62</v>
      </c>
      <c r="D572" s="64">
        <v>42146</v>
      </c>
      <c r="E572">
        <v>-1.5753274975063292E-2</v>
      </c>
      <c r="F572">
        <v>4.6482424347596377E-2</v>
      </c>
      <c r="G572" s="40">
        <f t="shared" si="22"/>
        <v>0</v>
      </c>
      <c r="H572" s="33">
        <f t="shared" si="23"/>
        <v>-4.6482424347596377E-2</v>
      </c>
      <c r="I572" s="43"/>
      <c r="K572"/>
      <c r="L572"/>
    </row>
    <row r="573" spans="2:12" ht="15">
      <c r="B573" s="32">
        <v>1</v>
      </c>
      <c r="C573" s="66" t="s">
        <v>62</v>
      </c>
      <c r="D573" s="64">
        <v>42150</v>
      </c>
      <c r="E573">
        <v>-1.191363021615377E-2</v>
      </c>
      <c r="F573">
        <v>4.9352165476013711E-2</v>
      </c>
      <c r="G573" s="40">
        <f t="shared" si="22"/>
        <v>0</v>
      </c>
      <c r="H573" s="33">
        <f t="shared" si="23"/>
        <v>-4.9352165476013711E-2</v>
      </c>
      <c r="I573" s="43"/>
      <c r="K573"/>
      <c r="L573"/>
    </row>
    <row r="574" spans="2:12" ht="15">
      <c r="B574" s="32">
        <v>1</v>
      </c>
      <c r="C574" s="66" t="s">
        <v>62</v>
      </c>
      <c r="D574" s="64">
        <v>42151</v>
      </c>
      <c r="E574">
        <v>-2.0616283509672151E-2</v>
      </c>
      <c r="F574">
        <v>5.1120527717766255E-2</v>
      </c>
      <c r="G574" s="40">
        <f t="shared" si="22"/>
        <v>0</v>
      </c>
      <c r="H574" s="33">
        <f t="shared" si="23"/>
        <v>-5.1120527717766255E-2</v>
      </c>
      <c r="I574" s="43"/>
      <c r="K574"/>
      <c r="L574"/>
    </row>
    <row r="575" spans="2:12" ht="15">
      <c r="B575" s="32">
        <v>1</v>
      </c>
      <c r="C575" s="66" t="s">
        <v>62</v>
      </c>
      <c r="D575" s="64">
        <v>42152</v>
      </c>
      <c r="E575">
        <v>-7.3782279473375567E-3</v>
      </c>
      <c r="F575">
        <v>5.1009975073892405E-2</v>
      </c>
      <c r="G575" s="40">
        <f t="shared" si="22"/>
        <v>0</v>
      </c>
      <c r="H575" s="33">
        <f t="shared" si="23"/>
        <v>-5.1009975073892405E-2</v>
      </c>
      <c r="I575" s="43"/>
      <c r="K575"/>
      <c r="L575"/>
    </row>
    <row r="576" spans="2:12" ht="15">
      <c r="B576" s="32">
        <v>1</v>
      </c>
      <c r="C576" s="66" t="s">
        <v>62</v>
      </c>
      <c r="D576" s="64">
        <v>42153</v>
      </c>
      <c r="E576">
        <v>6.974036452245258E-4</v>
      </c>
      <c r="F576">
        <v>5.1708523612533523E-2</v>
      </c>
      <c r="G576" s="40">
        <f t="shared" si="22"/>
        <v>0</v>
      </c>
      <c r="H576" s="33">
        <f t="shared" si="23"/>
        <v>-5.1708523612533523E-2</v>
      </c>
      <c r="I576" s="43"/>
      <c r="K576"/>
      <c r="L576"/>
    </row>
    <row r="577" spans="2:12" ht="15">
      <c r="B577" s="32">
        <v>1</v>
      </c>
      <c r="C577" s="66" t="s">
        <v>62</v>
      </c>
      <c r="D577" s="64">
        <v>42156</v>
      </c>
      <c r="E577">
        <v>-8.3788140862726124E-3</v>
      </c>
      <c r="F577">
        <v>4.8833026769794778E-2</v>
      </c>
      <c r="G577" s="40">
        <f t="shared" si="22"/>
        <v>0</v>
      </c>
      <c r="H577" s="33">
        <f t="shared" si="23"/>
        <v>-4.8833026769794778E-2</v>
      </c>
      <c r="I577" s="43"/>
      <c r="K577"/>
      <c r="L577"/>
    </row>
    <row r="578" spans="2:12" ht="15">
      <c r="B578" s="32">
        <v>1</v>
      </c>
      <c r="C578" s="66" t="s">
        <v>62</v>
      </c>
      <c r="D578" s="64">
        <v>42157</v>
      </c>
      <c r="E578">
        <v>-1.2002998553747979E-2</v>
      </c>
      <c r="F578">
        <v>4.5695999283991352E-2</v>
      </c>
      <c r="G578" s="40">
        <f t="shared" si="22"/>
        <v>0</v>
      </c>
      <c r="H578" s="33">
        <f t="shared" si="23"/>
        <v>-4.5695999283991352E-2</v>
      </c>
      <c r="I578" s="43"/>
      <c r="K578"/>
      <c r="L578"/>
    </row>
    <row r="579" spans="2:12" ht="15">
      <c r="B579" s="32">
        <v>1</v>
      </c>
      <c r="C579" s="66" t="s">
        <v>62</v>
      </c>
      <c r="D579" s="64">
        <v>42158</v>
      </c>
      <c r="E579">
        <v>-8.445897377035827E-3</v>
      </c>
      <c r="F579">
        <v>4.5573671662664808E-2</v>
      </c>
      <c r="G579" s="40">
        <f t="shared" si="22"/>
        <v>0</v>
      </c>
      <c r="H579" s="33">
        <f t="shared" si="23"/>
        <v>-4.5573671662664808E-2</v>
      </c>
      <c r="I579" s="43"/>
      <c r="K579"/>
      <c r="L579"/>
    </row>
    <row r="580" spans="2:12" ht="15">
      <c r="B580" s="32">
        <v>1</v>
      </c>
      <c r="C580" s="66" t="s">
        <v>62</v>
      </c>
      <c r="D580" s="64">
        <v>42159</v>
      </c>
      <c r="E580">
        <v>2.1923488473616359E-3</v>
      </c>
      <c r="F580">
        <v>4.3531857053418582E-2</v>
      </c>
      <c r="G580" s="40">
        <f t="shared" si="22"/>
        <v>0</v>
      </c>
      <c r="H580" s="33">
        <f t="shared" si="23"/>
        <v>-4.3531857053418582E-2</v>
      </c>
      <c r="I580" s="43"/>
      <c r="K580"/>
      <c r="L580"/>
    </row>
    <row r="581" spans="2:12" ht="15">
      <c r="B581" s="32">
        <v>1</v>
      </c>
      <c r="C581" s="66" t="s">
        <v>62</v>
      </c>
      <c r="D581" s="64">
        <v>42160</v>
      </c>
      <c r="E581">
        <v>1.3483564328939046E-2</v>
      </c>
      <c r="F581">
        <v>4.293119854485309E-2</v>
      </c>
      <c r="G581" s="40">
        <f t="shared" si="22"/>
        <v>0</v>
      </c>
      <c r="H581" s="33">
        <f t="shared" si="23"/>
        <v>-4.293119854485309E-2</v>
      </c>
      <c r="I581" s="43"/>
      <c r="K581"/>
      <c r="L581"/>
    </row>
    <row r="582" spans="2:12" ht="15">
      <c r="B582" s="32">
        <v>1</v>
      </c>
      <c r="C582" s="66" t="s">
        <v>62</v>
      </c>
      <c r="D582" s="64">
        <v>42163</v>
      </c>
      <c r="E582">
        <v>1.466150951175571E-2</v>
      </c>
      <c r="F582">
        <v>4.3833411641757053E-2</v>
      </c>
      <c r="G582" s="40">
        <f t="shared" ref="G582:G645" si="24">--(E582&lt;-F582)</f>
        <v>0</v>
      </c>
      <c r="H582" s="33">
        <f t="shared" ref="H582:H645" si="25">-F582</f>
        <v>-4.3833411641757053E-2</v>
      </c>
      <c r="I582" s="43"/>
      <c r="K582"/>
      <c r="L582"/>
    </row>
    <row r="583" spans="2:12" ht="15">
      <c r="B583" s="32">
        <v>1</v>
      </c>
      <c r="C583" s="66" t="s">
        <v>62</v>
      </c>
      <c r="D583" s="64">
        <v>42164</v>
      </c>
      <c r="E583">
        <v>2.0319612269777743E-2</v>
      </c>
      <c r="F583">
        <v>3.745254634826254E-2</v>
      </c>
      <c r="G583" s="40">
        <f t="shared" si="24"/>
        <v>0</v>
      </c>
      <c r="H583" s="33">
        <f t="shared" si="25"/>
        <v>-3.745254634826254E-2</v>
      </c>
      <c r="I583" s="43"/>
      <c r="K583"/>
      <c r="L583"/>
    </row>
    <row r="584" spans="2:12" ht="15">
      <c r="B584" s="32">
        <v>1</v>
      </c>
      <c r="C584" s="66" t="s">
        <v>62</v>
      </c>
      <c r="D584" s="64">
        <v>42165</v>
      </c>
      <c r="E584">
        <v>8.9847866160059908E-3</v>
      </c>
      <c r="F584">
        <v>4.1926304806192721E-2</v>
      </c>
      <c r="G584" s="40">
        <f t="shared" si="24"/>
        <v>0</v>
      </c>
      <c r="H584" s="33">
        <f t="shared" si="25"/>
        <v>-4.1926304806192721E-2</v>
      </c>
      <c r="I584" s="43"/>
      <c r="K584"/>
      <c r="L584"/>
    </row>
    <row r="585" spans="2:12" ht="15">
      <c r="B585" s="32">
        <v>1</v>
      </c>
      <c r="C585" s="66" t="s">
        <v>62</v>
      </c>
      <c r="D585" s="64">
        <v>42166</v>
      </c>
      <c r="E585">
        <v>-1.327957187902129E-4</v>
      </c>
      <c r="F585">
        <v>4.1708598138415529E-2</v>
      </c>
      <c r="G585" s="40">
        <f t="shared" si="24"/>
        <v>0</v>
      </c>
      <c r="H585" s="33">
        <f t="shared" si="25"/>
        <v>-4.1708598138415529E-2</v>
      </c>
      <c r="I585" s="43"/>
      <c r="K585"/>
      <c r="L585"/>
    </row>
    <row r="586" spans="2:12" ht="15">
      <c r="B586" s="32">
        <v>1</v>
      </c>
      <c r="C586" s="66" t="s">
        <v>62</v>
      </c>
      <c r="D586" s="64">
        <v>42167</v>
      </c>
      <c r="E586">
        <v>3.9080750316466961E-3</v>
      </c>
      <c r="F586">
        <v>4.3299703571374498E-2</v>
      </c>
      <c r="G586" s="40">
        <f t="shared" si="24"/>
        <v>0</v>
      </c>
      <c r="H586" s="33">
        <f t="shared" si="25"/>
        <v>-4.3299703571374498E-2</v>
      </c>
      <c r="I586" s="43"/>
      <c r="K586"/>
      <c r="L586"/>
    </row>
    <row r="587" spans="2:12" ht="15">
      <c r="B587" s="32">
        <v>1</v>
      </c>
      <c r="C587" s="66" t="s">
        <v>62</v>
      </c>
      <c r="D587" s="64">
        <v>42170</v>
      </c>
      <c r="E587">
        <v>8.1512082298607069E-3</v>
      </c>
      <c r="F587">
        <v>3.9790305466393186E-2</v>
      </c>
      <c r="G587" s="40">
        <f t="shared" si="24"/>
        <v>0</v>
      </c>
      <c r="H587" s="33">
        <f t="shared" si="25"/>
        <v>-3.9790305466393186E-2</v>
      </c>
      <c r="I587" s="43"/>
      <c r="K587"/>
      <c r="L587"/>
    </row>
    <row r="588" spans="2:12" ht="15">
      <c r="B588" s="32">
        <v>1</v>
      </c>
      <c r="C588" s="66" t="s">
        <v>62</v>
      </c>
      <c r="D588" s="64">
        <v>42171</v>
      </c>
      <c r="E588">
        <v>-1.8609491275724643E-2</v>
      </c>
      <c r="F588">
        <v>4.1081943378332306E-2</v>
      </c>
      <c r="G588" s="40">
        <f t="shared" si="24"/>
        <v>0</v>
      </c>
      <c r="H588" s="33">
        <f t="shared" si="25"/>
        <v>-4.1081943378332306E-2</v>
      </c>
      <c r="I588" s="43"/>
      <c r="K588"/>
      <c r="L588"/>
    </row>
    <row r="589" spans="2:12" ht="15">
      <c r="B589" s="32">
        <v>1</v>
      </c>
      <c r="C589" s="66" t="s">
        <v>62</v>
      </c>
      <c r="D589" s="64">
        <v>42172</v>
      </c>
      <c r="E589">
        <v>-1.7932213564246346E-2</v>
      </c>
      <c r="F589">
        <v>4.0861466662737829E-2</v>
      </c>
      <c r="G589" s="40">
        <f t="shared" si="24"/>
        <v>0</v>
      </c>
      <c r="H589" s="33">
        <f t="shared" si="25"/>
        <v>-4.0861466662737829E-2</v>
      </c>
      <c r="I589" s="43"/>
      <c r="K589"/>
      <c r="L589"/>
    </row>
    <row r="590" spans="2:12" ht="15">
      <c r="B590" s="32">
        <v>1</v>
      </c>
      <c r="C590" s="66" t="s">
        <v>62</v>
      </c>
      <c r="D590" s="64">
        <v>42173</v>
      </c>
      <c r="E590">
        <v>-2.0874117001884684E-2</v>
      </c>
      <c r="F590">
        <v>4.4202726463788089E-2</v>
      </c>
      <c r="G590" s="40">
        <f t="shared" si="24"/>
        <v>0</v>
      </c>
      <c r="H590" s="33">
        <f t="shared" si="25"/>
        <v>-4.4202726463788089E-2</v>
      </c>
      <c r="I590" s="43"/>
      <c r="K590"/>
      <c r="L590"/>
    </row>
    <row r="591" spans="2:12" ht="15">
      <c r="B591" s="32">
        <v>1</v>
      </c>
      <c r="C591" s="66" t="s">
        <v>62</v>
      </c>
      <c r="D591" s="64">
        <v>42174</v>
      </c>
      <c r="E591">
        <v>-1.5864572156012891E-2</v>
      </c>
      <c r="F591">
        <v>4.4967386527701457E-2</v>
      </c>
      <c r="G591" s="40">
        <f t="shared" si="24"/>
        <v>0</v>
      </c>
      <c r="H591" s="33">
        <f t="shared" si="25"/>
        <v>-4.4967386527701457E-2</v>
      </c>
      <c r="I591" s="43"/>
      <c r="K591"/>
      <c r="L591"/>
    </row>
    <row r="592" spans="2:12" ht="15">
      <c r="B592" s="32">
        <v>1</v>
      </c>
      <c r="C592" s="66" t="s">
        <v>62</v>
      </c>
      <c r="D592" s="64">
        <v>42177</v>
      </c>
      <c r="E592">
        <v>-2.581017285321785E-2</v>
      </c>
      <c r="F592">
        <v>4.5963428706156377E-2</v>
      </c>
      <c r="G592" s="40">
        <f t="shared" si="24"/>
        <v>0</v>
      </c>
      <c r="H592" s="33">
        <f t="shared" si="25"/>
        <v>-4.5963428706156377E-2</v>
      </c>
      <c r="I592" s="43"/>
      <c r="K592"/>
      <c r="L592"/>
    </row>
    <row r="593" spans="2:12" ht="15">
      <c r="B593" s="32">
        <v>1</v>
      </c>
      <c r="C593" s="66" t="s">
        <v>62</v>
      </c>
      <c r="D593" s="64">
        <v>42178</v>
      </c>
      <c r="E593">
        <v>-2.0383278502443147E-2</v>
      </c>
      <c r="F593">
        <v>4.584656295864508E-2</v>
      </c>
      <c r="G593" s="40">
        <f t="shared" si="24"/>
        <v>0</v>
      </c>
      <c r="H593" s="33">
        <f t="shared" si="25"/>
        <v>-4.584656295864508E-2</v>
      </c>
      <c r="I593" s="43"/>
      <c r="K593"/>
      <c r="L593"/>
    </row>
    <row r="594" spans="2:12" ht="15">
      <c r="B594" s="32">
        <v>1</v>
      </c>
      <c r="C594" s="66" t="s">
        <v>62</v>
      </c>
      <c r="D594" s="64">
        <v>42179</v>
      </c>
      <c r="E594">
        <v>-2.9795777629225917E-2</v>
      </c>
      <c r="F594">
        <v>4.4269691067510601E-2</v>
      </c>
      <c r="G594" s="40">
        <f t="shared" si="24"/>
        <v>0</v>
      </c>
      <c r="H594" s="33">
        <f t="shared" si="25"/>
        <v>-4.4269691067510601E-2</v>
      </c>
      <c r="I594" s="43"/>
      <c r="K594"/>
      <c r="L594"/>
    </row>
    <row r="595" spans="2:12" ht="15">
      <c r="B595" s="32">
        <v>1</v>
      </c>
      <c r="C595" s="66" t="s">
        <v>62</v>
      </c>
      <c r="D595" s="64">
        <v>42180</v>
      </c>
      <c r="E595">
        <v>-2.4558126023522142E-2</v>
      </c>
      <c r="F595">
        <v>4.1788920231906834E-2</v>
      </c>
      <c r="G595" s="40">
        <f t="shared" si="24"/>
        <v>0</v>
      </c>
      <c r="H595" s="33">
        <f t="shared" si="25"/>
        <v>-4.1788920231906834E-2</v>
      </c>
      <c r="I595" s="43"/>
      <c r="K595"/>
      <c r="L595"/>
    </row>
    <row r="596" spans="2:12" ht="15">
      <c r="B596" s="32">
        <v>1</v>
      </c>
      <c r="C596" s="66" t="s">
        <v>62</v>
      </c>
      <c r="D596" s="64">
        <v>42181</v>
      </c>
      <c r="E596">
        <v>-1.1904983877159658E-2</v>
      </c>
      <c r="F596">
        <v>4.1767743905461417E-2</v>
      </c>
      <c r="G596" s="40">
        <f t="shared" si="24"/>
        <v>0</v>
      </c>
      <c r="H596" s="33">
        <f t="shared" si="25"/>
        <v>-4.1767743905461417E-2</v>
      </c>
      <c r="I596" s="43"/>
      <c r="K596"/>
      <c r="L596"/>
    </row>
    <row r="597" spans="2:12" ht="15">
      <c r="B597" s="32">
        <v>1</v>
      </c>
      <c r="C597" s="66" t="s">
        <v>62</v>
      </c>
      <c r="D597" s="64">
        <v>42184</v>
      </c>
      <c r="E597">
        <v>2.0187254076263095E-2</v>
      </c>
      <c r="F597">
        <v>5.2690417316719106E-2</v>
      </c>
      <c r="G597" s="40">
        <f t="shared" si="24"/>
        <v>0</v>
      </c>
      <c r="H597" s="33">
        <f t="shared" si="25"/>
        <v>-5.2690417316719106E-2</v>
      </c>
      <c r="I597" s="43"/>
      <c r="K597"/>
      <c r="L597"/>
    </row>
    <row r="598" spans="2:12" ht="15">
      <c r="B598" s="32">
        <v>1</v>
      </c>
      <c r="C598" s="66" t="s">
        <v>62</v>
      </c>
      <c r="D598" s="64">
        <v>42185</v>
      </c>
      <c r="E598">
        <v>2.1975565124590979E-2</v>
      </c>
      <c r="F598">
        <v>5.2797100947628239E-2</v>
      </c>
      <c r="G598" s="40">
        <f t="shared" si="24"/>
        <v>0</v>
      </c>
      <c r="H598" s="33">
        <f t="shared" si="25"/>
        <v>-5.2797100947628239E-2</v>
      </c>
      <c r="I598" s="43"/>
      <c r="K598"/>
      <c r="L598"/>
    </row>
    <row r="599" spans="2:12" ht="15">
      <c r="B599" s="32">
        <v>1</v>
      </c>
      <c r="C599" s="66" t="s">
        <v>62</v>
      </c>
      <c r="D599" s="64">
        <v>42186</v>
      </c>
      <c r="E599">
        <v>1.43282120429431E-2</v>
      </c>
      <c r="F599">
        <v>5.4346343053838758E-2</v>
      </c>
      <c r="G599" s="40">
        <f t="shared" si="24"/>
        <v>0</v>
      </c>
      <c r="H599" s="33">
        <f t="shared" si="25"/>
        <v>-5.4346343053838758E-2</v>
      </c>
      <c r="I599" s="43"/>
      <c r="K599"/>
      <c r="L599"/>
    </row>
    <row r="600" spans="2:12" ht="15">
      <c r="B600" s="32">
        <v>1</v>
      </c>
      <c r="C600" s="66" t="s">
        <v>62</v>
      </c>
      <c r="D600" s="64">
        <v>42187</v>
      </c>
      <c r="E600">
        <v>2.2619016013779358E-2</v>
      </c>
      <c r="F600">
        <v>5.4141444548675796E-2</v>
      </c>
      <c r="G600" s="40">
        <f t="shared" si="24"/>
        <v>0</v>
      </c>
      <c r="H600" s="33">
        <f t="shared" si="25"/>
        <v>-5.4141444548675796E-2</v>
      </c>
      <c r="I600" s="43"/>
      <c r="K600"/>
      <c r="L600"/>
    </row>
    <row r="601" spans="2:12" ht="15">
      <c r="B601" s="32">
        <v>1</v>
      </c>
      <c r="C601" s="66" t="s">
        <v>62</v>
      </c>
      <c r="D601" s="64">
        <v>42191</v>
      </c>
      <c r="E601">
        <v>2.7593820308683625E-2</v>
      </c>
      <c r="F601">
        <v>5.2800213407340688E-2</v>
      </c>
      <c r="G601" s="40">
        <f t="shared" si="24"/>
        <v>0</v>
      </c>
      <c r="H601" s="33">
        <f t="shared" si="25"/>
        <v>-5.2800213407340688E-2</v>
      </c>
      <c r="I601" s="43"/>
      <c r="K601"/>
      <c r="L601"/>
    </row>
    <row r="602" spans="2:12" ht="15">
      <c r="B602" s="32">
        <v>1</v>
      </c>
      <c r="C602" s="66" t="s">
        <v>62</v>
      </c>
      <c r="D602" s="64">
        <v>42192</v>
      </c>
      <c r="E602">
        <v>2.2302196061692037E-2</v>
      </c>
      <c r="F602">
        <v>5.3848095074497261E-2</v>
      </c>
      <c r="G602" s="40">
        <f t="shared" si="24"/>
        <v>0</v>
      </c>
      <c r="H602" s="33">
        <f t="shared" si="25"/>
        <v>-5.3848095074497261E-2</v>
      </c>
      <c r="I602" s="43"/>
      <c r="K602"/>
      <c r="L602"/>
    </row>
    <row r="603" spans="2:12" ht="15">
      <c r="B603" s="32">
        <v>1</v>
      </c>
      <c r="C603" s="66" t="s">
        <v>62</v>
      </c>
      <c r="D603" s="64">
        <v>42193</v>
      </c>
      <c r="E603">
        <v>3.4824364811408159E-2</v>
      </c>
      <c r="F603">
        <v>5.9331790220180043E-2</v>
      </c>
      <c r="G603" s="40">
        <f t="shared" si="24"/>
        <v>0</v>
      </c>
      <c r="H603" s="33">
        <f t="shared" si="25"/>
        <v>-5.9331790220180043E-2</v>
      </c>
      <c r="I603" s="43"/>
      <c r="K603"/>
      <c r="L603"/>
    </row>
    <row r="604" spans="2:12" ht="15">
      <c r="B604" s="32">
        <v>1</v>
      </c>
      <c r="C604" s="66" t="s">
        <v>62</v>
      </c>
      <c r="D604" s="64">
        <v>42194</v>
      </c>
      <c r="E604">
        <v>3.0174151897501389E-2</v>
      </c>
      <c r="F604">
        <v>5.9503501158660196E-2</v>
      </c>
      <c r="G604" s="40">
        <f t="shared" si="24"/>
        <v>0</v>
      </c>
      <c r="H604" s="33">
        <f t="shared" si="25"/>
        <v>-5.9503501158660196E-2</v>
      </c>
      <c r="I604" s="43"/>
      <c r="K604"/>
      <c r="L604"/>
    </row>
    <row r="605" spans="2:12" ht="15">
      <c r="B605" s="32">
        <v>1</v>
      </c>
      <c r="C605" s="66" t="s">
        <v>62</v>
      </c>
      <c r="D605" s="64">
        <v>42195</v>
      </c>
      <c r="E605">
        <v>1.2218955588521929E-2</v>
      </c>
      <c r="F605">
        <v>5.9673178041260232E-2</v>
      </c>
      <c r="G605" s="40">
        <f t="shared" si="24"/>
        <v>0</v>
      </c>
      <c r="H605" s="33">
        <f t="shared" si="25"/>
        <v>-5.9673178041260232E-2</v>
      </c>
      <c r="I605" s="43"/>
      <c r="K605"/>
      <c r="L605"/>
    </row>
    <row r="606" spans="2:12" ht="15">
      <c r="B606" s="32">
        <v>1</v>
      </c>
      <c r="C606" s="66" t="s">
        <v>62</v>
      </c>
      <c r="D606" s="64">
        <v>42198</v>
      </c>
      <c r="E606">
        <v>-9.5473338712768197E-3</v>
      </c>
      <c r="F606">
        <v>6.246627500457573E-2</v>
      </c>
      <c r="G606" s="40">
        <f t="shared" si="24"/>
        <v>0</v>
      </c>
      <c r="H606" s="33">
        <f t="shared" si="25"/>
        <v>-6.246627500457573E-2</v>
      </c>
      <c r="I606" s="43"/>
      <c r="K606"/>
      <c r="L606"/>
    </row>
    <row r="607" spans="2:12" ht="15">
      <c r="B607" s="32">
        <v>1</v>
      </c>
      <c r="C607" s="66" t="s">
        <v>62</v>
      </c>
      <c r="D607" s="64">
        <v>42199</v>
      </c>
      <c r="E607">
        <v>-1.9782361558292827E-2</v>
      </c>
      <c r="F607">
        <v>6.1791753967761091E-2</v>
      </c>
      <c r="G607" s="40">
        <f t="shared" si="24"/>
        <v>0</v>
      </c>
      <c r="H607" s="33">
        <f t="shared" si="25"/>
        <v>-6.1791753967761091E-2</v>
      </c>
      <c r="I607" s="43"/>
      <c r="K607"/>
      <c r="L607"/>
    </row>
    <row r="608" spans="2:12" ht="15">
      <c r="B608" s="32">
        <v>1</v>
      </c>
      <c r="C608" s="66" t="s">
        <v>62</v>
      </c>
      <c r="D608" s="64">
        <v>42200</v>
      </c>
      <c r="E608">
        <v>-6.7370315780852508E-3</v>
      </c>
      <c r="F608">
        <v>6.1257999943831964E-2</v>
      </c>
      <c r="G608" s="40">
        <f t="shared" si="24"/>
        <v>0</v>
      </c>
      <c r="H608" s="33">
        <f t="shared" si="25"/>
        <v>-6.1257999943831964E-2</v>
      </c>
      <c r="I608" s="43"/>
      <c r="K608"/>
      <c r="L608"/>
    </row>
    <row r="609" spans="2:12" ht="15">
      <c r="B609" s="32">
        <v>1</v>
      </c>
      <c r="C609" s="66" t="s">
        <v>62</v>
      </c>
      <c r="D609" s="64">
        <v>42201</v>
      </c>
      <c r="E609">
        <v>-7.4276223993061663E-3</v>
      </c>
      <c r="F609">
        <v>6.1892327811649848E-2</v>
      </c>
      <c r="G609" s="40">
        <f t="shared" si="24"/>
        <v>0</v>
      </c>
      <c r="H609" s="33">
        <f t="shared" si="25"/>
        <v>-6.1892327811649848E-2</v>
      </c>
      <c r="I609" s="43"/>
      <c r="K609"/>
      <c r="L609"/>
    </row>
    <row r="610" spans="2:12" ht="15">
      <c r="B610" s="32">
        <v>1</v>
      </c>
      <c r="C610" s="66" t="s">
        <v>62</v>
      </c>
      <c r="D610" s="64">
        <v>42202</v>
      </c>
      <c r="E610">
        <v>-8.5048270881769028E-3</v>
      </c>
      <c r="F610">
        <v>6.1856836401672451E-2</v>
      </c>
      <c r="G610" s="40">
        <f t="shared" si="24"/>
        <v>0</v>
      </c>
      <c r="H610" s="33">
        <f t="shared" si="25"/>
        <v>-6.1856836401672451E-2</v>
      </c>
      <c r="I610" s="43"/>
      <c r="K610"/>
      <c r="L610"/>
    </row>
    <row r="611" spans="2:12" ht="15">
      <c r="B611" s="32">
        <v>1</v>
      </c>
      <c r="C611" s="66" t="s">
        <v>62</v>
      </c>
      <c r="D611" s="64">
        <v>42205</v>
      </c>
      <c r="E611">
        <v>-1.1549867212296228E-2</v>
      </c>
      <c r="F611">
        <v>5.9862442500444014E-2</v>
      </c>
      <c r="G611" s="40">
        <f t="shared" si="24"/>
        <v>0</v>
      </c>
      <c r="H611" s="33">
        <f t="shared" si="25"/>
        <v>-5.9862442500444014E-2</v>
      </c>
      <c r="I611" s="43"/>
      <c r="K611"/>
      <c r="L611"/>
    </row>
    <row r="612" spans="2:12" ht="15">
      <c r="B612" s="32">
        <v>1</v>
      </c>
      <c r="C612" s="66" t="s">
        <v>62</v>
      </c>
      <c r="D612" s="64">
        <v>42206</v>
      </c>
      <c r="E612">
        <v>-1.0039765165238634E-2</v>
      </c>
      <c r="F612">
        <v>5.9626474584538361E-2</v>
      </c>
      <c r="G612" s="40">
        <f t="shared" si="24"/>
        <v>0</v>
      </c>
      <c r="H612" s="33">
        <f t="shared" si="25"/>
        <v>-5.9626474584538361E-2</v>
      </c>
      <c r="I612" s="43"/>
      <c r="K612"/>
      <c r="L612"/>
    </row>
    <row r="613" spans="2:12" ht="15">
      <c r="B613" s="32">
        <v>1</v>
      </c>
      <c r="C613" s="66" t="s">
        <v>62</v>
      </c>
      <c r="D613" s="64">
        <v>42207</v>
      </c>
      <c r="E613">
        <v>-9.9014392617808866E-3</v>
      </c>
      <c r="F613">
        <v>5.8916442509857392E-2</v>
      </c>
      <c r="G613" s="40">
        <f t="shared" si="24"/>
        <v>0</v>
      </c>
      <c r="H613" s="33">
        <f t="shared" si="25"/>
        <v>-5.8916442509857392E-2</v>
      </c>
      <c r="I613" s="43"/>
      <c r="K613"/>
      <c r="L613"/>
    </row>
    <row r="614" spans="2:12" ht="15">
      <c r="B614" s="32">
        <v>1</v>
      </c>
      <c r="C614" s="66" t="s">
        <v>62</v>
      </c>
      <c r="D614" s="64">
        <v>42208</v>
      </c>
      <c r="E614">
        <v>-1.0993906402188003E-3</v>
      </c>
      <c r="F614">
        <v>5.9547234668318454E-2</v>
      </c>
      <c r="G614" s="40">
        <f t="shared" si="24"/>
        <v>0</v>
      </c>
      <c r="H614" s="33">
        <f t="shared" si="25"/>
        <v>-5.9547234668318454E-2</v>
      </c>
      <c r="I614" s="43"/>
      <c r="K614"/>
      <c r="L614"/>
    </row>
    <row r="615" spans="2:12" ht="15">
      <c r="B615" s="32">
        <v>1</v>
      </c>
      <c r="C615" s="66" t="s">
        <v>62</v>
      </c>
      <c r="D615" s="64">
        <v>42209</v>
      </c>
      <c r="E615">
        <v>1.8784342785416186E-3</v>
      </c>
      <c r="F615">
        <v>6.0837990063554323E-2</v>
      </c>
      <c r="G615" s="40">
        <f t="shared" si="24"/>
        <v>0</v>
      </c>
      <c r="H615" s="33">
        <f t="shared" si="25"/>
        <v>-6.0837990063554323E-2</v>
      </c>
      <c r="I615" s="43"/>
      <c r="K615"/>
      <c r="L615"/>
    </row>
    <row r="616" spans="2:12" ht="15">
      <c r="B616" s="32">
        <v>1</v>
      </c>
      <c r="C616" s="66" t="s">
        <v>62</v>
      </c>
      <c r="D616" s="64">
        <v>42212</v>
      </c>
      <c r="E616">
        <v>4.7911657499817295E-3</v>
      </c>
      <c r="F616">
        <v>6.1294329057564545E-2</v>
      </c>
      <c r="G616" s="40">
        <f t="shared" si="24"/>
        <v>0</v>
      </c>
      <c r="H616" s="33">
        <f t="shared" si="25"/>
        <v>-6.1294329057564545E-2</v>
      </c>
      <c r="I616" s="43"/>
      <c r="K616"/>
      <c r="L616"/>
    </row>
    <row r="617" spans="2:12" ht="15">
      <c r="B617" s="32">
        <v>1</v>
      </c>
      <c r="C617" s="66" t="s">
        <v>62</v>
      </c>
      <c r="D617" s="64">
        <v>42213</v>
      </c>
      <c r="E617">
        <v>5.2079281279233669E-3</v>
      </c>
      <c r="F617">
        <v>6.480955777802945E-2</v>
      </c>
      <c r="G617" s="40">
        <f t="shared" si="24"/>
        <v>0</v>
      </c>
      <c r="H617" s="33">
        <f t="shared" si="25"/>
        <v>-6.480955777802945E-2</v>
      </c>
      <c r="I617" s="43"/>
      <c r="K617"/>
      <c r="L617"/>
    </row>
    <row r="618" spans="2:12" ht="15">
      <c r="B618" s="32">
        <v>1</v>
      </c>
      <c r="C618" s="66" t="s">
        <v>62</v>
      </c>
      <c r="D618" s="64">
        <v>42214</v>
      </c>
      <c r="E618">
        <v>-1.1687279652436544E-2</v>
      </c>
      <c r="F618">
        <v>5.5370552420501179E-2</v>
      </c>
      <c r="G618" s="40">
        <f t="shared" si="24"/>
        <v>0</v>
      </c>
      <c r="H618" s="33">
        <f t="shared" si="25"/>
        <v>-5.5370552420501179E-2</v>
      </c>
      <c r="I618" s="43"/>
      <c r="K618"/>
      <c r="L618"/>
    </row>
    <row r="619" spans="2:12" ht="15">
      <c r="B619" s="32">
        <v>1</v>
      </c>
      <c r="C619" s="66" t="s">
        <v>62</v>
      </c>
      <c r="D619" s="64">
        <v>42215</v>
      </c>
      <c r="E619">
        <v>-1.0766042922768726E-2</v>
      </c>
      <c r="F619">
        <v>5.5339750193618982E-2</v>
      </c>
      <c r="G619" s="40">
        <f t="shared" si="24"/>
        <v>0</v>
      </c>
      <c r="H619" s="33">
        <f t="shared" si="25"/>
        <v>-5.5339750193618982E-2</v>
      </c>
      <c r="I619" s="43"/>
      <c r="K619"/>
      <c r="L619"/>
    </row>
    <row r="620" spans="2:12" ht="15">
      <c r="B620" s="32">
        <v>1</v>
      </c>
      <c r="C620" s="66" t="s">
        <v>62</v>
      </c>
      <c r="D620" s="64">
        <v>42216</v>
      </c>
      <c r="E620">
        <v>-9.7679648330641911E-3</v>
      </c>
      <c r="F620">
        <v>5.4662519353110894E-2</v>
      </c>
      <c r="G620" s="40">
        <f t="shared" si="24"/>
        <v>0</v>
      </c>
      <c r="H620" s="33">
        <f t="shared" si="25"/>
        <v>-5.4662519353110894E-2</v>
      </c>
      <c r="I620" s="43"/>
      <c r="K620"/>
      <c r="L620"/>
    </row>
    <row r="621" spans="2:12" ht="15">
      <c r="B621" s="32">
        <v>1</v>
      </c>
      <c r="C621" s="66" t="s">
        <v>62</v>
      </c>
      <c r="D621" s="64">
        <v>42219</v>
      </c>
      <c r="E621">
        <v>-3.1029387643988215E-3</v>
      </c>
      <c r="F621">
        <v>5.4914206294482459E-2</v>
      </c>
      <c r="G621" s="40">
        <f t="shared" si="24"/>
        <v>0</v>
      </c>
      <c r="H621" s="33">
        <f t="shared" si="25"/>
        <v>-5.4914206294482459E-2</v>
      </c>
      <c r="I621" s="43"/>
      <c r="K621"/>
      <c r="L621"/>
    </row>
    <row r="622" spans="2:12" ht="15">
      <c r="B622" s="32">
        <v>1</v>
      </c>
      <c r="C622" s="66" t="s">
        <v>62</v>
      </c>
      <c r="D622" s="64">
        <v>42220</v>
      </c>
      <c r="E622">
        <v>4.3471920904787353E-3</v>
      </c>
      <c r="F622">
        <v>5.4627872332161154E-2</v>
      </c>
      <c r="G622" s="40">
        <f t="shared" si="24"/>
        <v>0</v>
      </c>
      <c r="H622" s="33">
        <f t="shared" si="25"/>
        <v>-5.4627872332161154E-2</v>
      </c>
      <c r="I622" s="43"/>
      <c r="K622"/>
      <c r="L622"/>
    </row>
    <row r="623" spans="2:12" ht="15">
      <c r="B623" s="32">
        <v>1</v>
      </c>
      <c r="C623" s="66" t="s">
        <v>62</v>
      </c>
      <c r="D623" s="64">
        <v>42221</v>
      </c>
      <c r="E623">
        <v>-1.3916290015698607E-3</v>
      </c>
      <c r="F623">
        <v>5.4025688236010824E-2</v>
      </c>
      <c r="G623" s="40">
        <f t="shared" si="24"/>
        <v>0</v>
      </c>
      <c r="H623" s="33">
        <f t="shared" si="25"/>
        <v>-5.4025688236010824E-2</v>
      </c>
      <c r="I623" s="43"/>
      <c r="K623"/>
      <c r="L623"/>
    </row>
    <row r="624" spans="2:12" ht="15">
      <c r="B624" s="32">
        <v>1</v>
      </c>
      <c r="C624" s="66" t="s">
        <v>62</v>
      </c>
      <c r="D624" s="64">
        <v>42222</v>
      </c>
      <c r="E624">
        <v>-1.8975698939707186E-3</v>
      </c>
      <c r="F624">
        <v>4.783933789913395E-2</v>
      </c>
      <c r="G624" s="40">
        <f t="shared" si="24"/>
        <v>0</v>
      </c>
      <c r="H624" s="33">
        <f t="shared" si="25"/>
        <v>-4.783933789913395E-2</v>
      </c>
      <c r="I624" s="43"/>
      <c r="K624"/>
      <c r="L624"/>
    </row>
    <row r="625" spans="2:12" ht="15">
      <c r="B625" s="32">
        <v>1</v>
      </c>
      <c r="C625" s="66" t="s">
        <v>62</v>
      </c>
      <c r="D625" s="64">
        <v>42223</v>
      </c>
      <c r="E625">
        <v>-2.0344507151221158E-2</v>
      </c>
      <c r="F625">
        <v>4.8140030099651475E-2</v>
      </c>
      <c r="G625" s="40">
        <f t="shared" si="24"/>
        <v>0</v>
      </c>
      <c r="H625" s="33">
        <f t="shared" si="25"/>
        <v>-4.8140030099651475E-2</v>
      </c>
      <c r="I625" s="43"/>
      <c r="K625"/>
      <c r="L625"/>
    </row>
    <row r="626" spans="2:12" ht="15">
      <c r="B626" s="32">
        <v>1</v>
      </c>
      <c r="C626" s="66" t="s">
        <v>62</v>
      </c>
      <c r="D626" s="64">
        <v>42226</v>
      </c>
      <c r="E626">
        <v>-6.5440585240254201E-2</v>
      </c>
      <c r="F626">
        <v>4.8448738509599021E-2</v>
      </c>
      <c r="G626" s="40">
        <f t="shared" si="24"/>
        <v>1</v>
      </c>
      <c r="H626" s="33">
        <f t="shared" si="25"/>
        <v>-4.8448738509599021E-2</v>
      </c>
      <c r="I626" s="43">
        <f t="shared" ref="I622:I685" si="26">IF(G626=0,"",E626)</f>
        <v>-6.5440585240254201E-2</v>
      </c>
      <c r="K626"/>
      <c r="L626"/>
    </row>
    <row r="627" spans="2:12" ht="15">
      <c r="B627" s="32">
        <v>1</v>
      </c>
      <c r="C627" s="66" t="s">
        <v>62</v>
      </c>
      <c r="D627" s="64">
        <v>42227</v>
      </c>
      <c r="E627">
        <v>-9.6048964708726814E-2</v>
      </c>
      <c r="F627">
        <v>4.779520815792003E-2</v>
      </c>
      <c r="G627" s="40">
        <f t="shared" si="24"/>
        <v>1</v>
      </c>
      <c r="H627" s="33">
        <f t="shared" si="25"/>
        <v>-4.779520815792003E-2</v>
      </c>
      <c r="I627" s="43">
        <f t="shared" si="26"/>
        <v>-9.6048964708726814E-2</v>
      </c>
      <c r="K627"/>
      <c r="L627"/>
    </row>
    <row r="628" spans="2:12" ht="15">
      <c r="B628" s="32">
        <v>1</v>
      </c>
      <c r="C628" s="66" t="s">
        <v>62</v>
      </c>
      <c r="D628" s="64">
        <v>42228</v>
      </c>
      <c r="E628">
        <v>-0.11061281856568339</v>
      </c>
      <c r="F628">
        <v>4.7171413614711638E-2</v>
      </c>
      <c r="G628" s="40">
        <f t="shared" si="24"/>
        <v>1</v>
      </c>
      <c r="H628" s="33">
        <f t="shared" si="25"/>
        <v>-4.7171413614711638E-2</v>
      </c>
      <c r="I628" s="43">
        <f t="shared" si="26"/>
        <v>-0.11061281856568339</v>
      </c>
      <c r="K628"/>
      <c r="L628"/>
    </row>
    <row r="629" spans="2:12" ht="15">
      <c r="B629" s="32">
        <v>1</v>
      </c>
      <c r="C629" s="66" t="s">
        <v>62</v>
      </c>
      <c r="D629" s="64">
        <v>42229</v>
      </c>
      <c r="E629">
        <v>-7.1045493073849997E-2</v>
      </c>
      <c r="F629">
        <v>4.7186080104439178E-2</v>
      </c>
      <c r="G629" s="40">
        <f t="shared" si="24"/>
        <v>1</v>
      </c>
      <c r="H629" s="33">
        <f t="shared" si="25"/>
        <v>-4.7186080104439178E-2</v>
      </c>
      <c r="I629" s="43">
        <f t="shared" si="26"/>
        <v>-7.1045493073849997E-2</v>
      </c>
      <c r="K629"/>
      <c r="L629"/>
    </row>
    <row r="630" spans="2:12" ht="15">
      <c r="B630" s="32">
        <v>1</v>
      </c>
      <c r="C630" s="66" t="s">
        <v>62</v>
      </c>
      <c r="D630" s="64">
        <v>42230</v>
      </c>
      <c r="E630">
        <v>-5.0942570837324119E-2</v>
      </c>
      <c r="F630">
        <v>4.5619672051360492E-2</v>
      </c>
      <c r="G630" s="40">
        <f t="shared" si="24"/>
        <v>1</v>
      </c>
      <c r="H630" s="33">
        <f t="shared" si="25"/>
        <v>-4.5619672051360492E-2</v>
      </c>
      <c r="I630" s="43">
        <f t="shared" si="26"/>
        <v>-5.0942570837324119E-2</v>
      </c>
      <c r="K630"/>
      <c r="L630"/>
    </row>
    <row r="631" spans="2:12" ht="15">
      <c r="B631" s="32">
        <v>1</v>
      </c>
      <c r="C631" s="66" t="s">
        <v>62</v>
      </c>
      <c r="D631" s="64">
        <v>42233</v>
      </c>
      <c r="E631">
        <v>-5.553191119502543E-2</v>
      </c>
      <c r="F631">
        <v>4.6531541296834414E-2</v>
      </c>
      <c r="G631" s="40">
        <f t="shared" si="24"/>
        <v>1</v>
      </c>
      <c r="H631" s="33">
        <f t="shared" si="25"/>
        <v>-4.6531541296834414E-2</v>
      </c>
      <c r="I631" s="43">
        <f t="shared" si="26"/>
        <v>-5.553191119502543E-2</v>
      </c>
      <c r="K631"/>
      <c r="L631"/>
    </row>
    <row r="632" spans="2:12" ht="15">
      <c r="B632" s="32">
        <v>1</v>
      </c>
      <c r="C632" s="66" t="s">
        <v>62</v>
      </c>
      <c r="D632" s="64">
        <v>42234</v>
      </c>
      <c r="E632">
        <v>-6.1330006970724327E-2</v>
      </c>
      <c r="F632">
        <v>4.659142798848917E-2</v>
      </c>
      <c r="G632" s="40">
        <f t="shared" si="24"/>
        <v>1</v>
      </c>
      <c r="H632" s="33">
        <f t="shared" si="25"/>
        <v>-4.659142798848917E-2</v>
      </c>
      <c r="I632" s="43">
        <f t="shared" si="26"/>
        <v>-6.1330006970724327E-2</v>
      </c>
      <c r="K632"/>
      <c r="L632"/>
    </row>
    <row r="633" spans="2:12" ht="15">
      <c r="B633" s="32">
        <v>1</v>
      </c>
      <c r="C633" s="66" t="s">
        <v>62</v>
      </c>
      <c r="D633" s="64">
        <v>42235</v>
      </c>
      <c r="E633">
        <v>-8.30635200713008E-2</v>
      </c>
      <c r="F633">
        <v>4.7852663601071099E-2</v>
      </c>
      <c r="G633" s="40">
        <f t="shared" si="24"/>
        <v>1</v>
      </c>
      <c r="H633" s="33">
        <f t="shared" si="25"/>
        <v>-4.7852663601071099E-2</v>
      </c>
      <c r="I633" s="43">
        <f t="shared" si="26"/>
        <v>-8.30635200713008E-2</v>
      </c>
      <c r="K633"/>
      <c r="L633"/>
    </row>
    <row r="634" spans="2:12" ht="15">
      <c r="B634" s="32">
        <v>1</v>
      </c>
      <c r="C634" s="66" t="s">
        <v>62</v>
      </c>
      <c r="D634" s="64">
        <v>42236</v>
      </c>
      <c r="E634">
        <v>-4.3609888563285182E-2</v>
      </c>
      <c r="F634">
        <v>5.8024309282188595E-2</v>
      </c>
      <c r="G634" s="40">
        <f t="shared" si="24"/>
        <v>0</v>
      </c>
      <c r="H634" s="33">
        <f t="shared" si="25"/>
        <v>-5.8024309282188595E-2</v>
      </c>
      <c r="I634" s="43"/>
      <c r="K634"/>
      <c r="L634"/>
    </row>
    <row r="635" spans="2:12" ht="15">
      <c r="B635" s="32">
        <v>1</v>
      </c>
      <c r="C635" s="66" t="s">
        <v>62</v>
      </c>
      <c r="D635" s="64">
        <v>42237</v>
      </c>
      <c r="E635">
        <v>-1.0076530510172432E-2</v>
      </c>
      <c r="F635">
        <v>7.5913024073110499E-2</v>
      </c>
      <c r="G635" s="40">
        <f t="shared" si="24"/>
        <v>0</v>
      </c>
      <c r="H635" s="33">
        <f t="shared" si="25"/>
        <v>-7.5913024073110499E-2</v>
      </c>
      <c r="I635" s="43"/>
      <c r="K635"/>
      <c r="L635"/>
    </row>
    <row r="636" spans="2:12" ht="15">
      <c r="B636" s="32">
        <v>1</v>
      </c>
      <c r="C636" s="66" t="s">
        <v>62</v>
      </c>
      <c r="D636" s="64">
        <v>42240</v>
      </c>
      <c r="E636">
        <v>1.4686605321898583E-2</v>
      </c>
      <c r="F636">
        <v>9.604032735971009E-2</v>
      </c>
      <c r="G636" s="40">
        <f t="shared" si="24"/>
        <v>0</v>
      </c>
      <c r="H636" s="33">
        <f t="shared" si="25"/>
        <v>-9.604032735971009E-2</v>
      </c>
      <c r="I636" s="43"/>
      <c r="K636"/>
      <c r="L636"/>
    </row>
    <row r="637" spans="2:12" ht="15">
      <c r="B637" s="32">
        <v>1</v>
      </c>
      <c r="C637" s="66" t="s">
        <v>62</v>
      </c>
      <c r="D637" s="64">
        <v>42241</v>
      </c>
      <c r="E637">
        <v>5.3074492237084492E-2</v>
      </c>
      <c r="F637">
        <v>9.7145683694165819E-2</v>
      </c>
      <c r="G637" s="40">
        <f t="shared" si="24"/>
        <v>0</v>
      </c>
      <c r="H637" s="33">
        <f t="shared" si="25"/>
        <v>-9.7145683694165819E-2</v>
      </c>
      <c r="I637" s="43"/>
      <c r="K637"/>
      <c r="L637"/>
    </row>
    <row r="638" spans="2:12" ht="15">
      <c r="B638" s="32">
        <v>1</v>
      </c>
      <c r="C638" s="66" t="s">
        <v>62</v>
      </c>
      <c r="D638" s="64">
        <v>42242</v>
      </c>
      <c r="E638">
        <v>7.8815678350263596E-4</v>
      </c>
      <c r="F638">
        <v>0.11657203815757654</v>
      </c>
      <c r="G638" s="40">
        <f t="shared" si="24"/>
        <v>0</v>
      </c>
      <c r="H638" s="33">
        <f t="shared" si="25"/>
        <v>-0.11657203815757654</v>
      </c>
      <c r="I638" s="43"/>
      <c r="K638"/>
      <c r="L638"/>
    </row>
    <row r="639" spans="2:12" ht="15">
      <c r="B639" s="32">
        <v>1</v>
      </c>
      <c r="C639" s="66" t="s">
        <v>62</v>
      </c>
      <c r="D639" s="64">
        <v>42243</v>
      </c>
      <c r="E639">
        <v>-1.7955022049901181E-2</v>
      </c>
      <c r="F639">
        <v>0.12367333640996032</v>
      </c>
      <c r="G639" s="40">
        <f t="shared" si="24"/>
        <v>0</v>
      </c>
      <c r="H639" s="33">
        <f t="shared" si="25"/>
        <v>-0.12367333640996032</v>
      </c>
      <c r="I639" s="43"/>
      <c r="K639"/>
      <c r="L639"/>
    </row>
    <row r="640" spans="2:12" ht="15">
      <c r="B640" s="32">
        <v>1</v>
      </c>
      <c r="C640" s="66" t="s">
        <v>62</v>
      </c>
      <c r="D640" s="64">
        <v>42244</v>
      </c>
      <c r="E640">
        <v>-1.4086566673613632E-2</v>
      </c>
      <c r="F640">
        <v>0.12371289370066735</v>
      </c>
      <c r="G640" s="40">
        <f t="shared" si="24"/>
        <v>0</v>
      </c>
      <c r="H640" s="33">
        <f t="shared" si="25"/>
        <v>-0.12371289370066735</v>
      </c>
      <c r="I640" s="43"/>
      <c r="K640"/>
      <c r="L640"/>
    </row>
    <row r="641" spans="2:12" ht="15">
      <c r="B641" s="32">
        <v>1</v>
      </c>
      <c r="C641" s="66" t="s">
        <v>62</v>
      </c>
      <c r="D641" s="64">
        <v>42247</v>
      </c>
      <c r="E641">
        <v>-9.7575296778167342E-3</v>
      </c>
      <c r="F641">
        <v>0.12403811916866543</v>
      </c>
      <c r="G641" s="40">
        <f t="shared" si="24"/>
        <v>0</v>
      </c>
      <c r="H641" s="33">
        <f t="shared" si="25"/>
        <v>-0.12403811916866543</v>
      </c>
      <c r="I641" s="43"/>
      <c r="K641"/>
      <c r="L641"/>
    </row>
    <row r="642" spans="2:12" ht="15">
      <c r="B642" s="32">
        <v>1</v>
      </c>
      <c r="C642" s="66" t="s">
        <v>62</v>
      </c>
      <c r="D642" s="64">
        <v>42248</v>
      </c>
      <c r="E642">
        <v>3.3014807969109938E-2</v>
      </c>
      <c r="F642">
        <v>0.13135473027287911</v>
      </c>
      <c r="G642" s="40">
        <f t="shared" si="24"/>
        <v>0</v>
      </c>
      <c r="H642" s="33">
        <f t="shared" si="25"/>
        <v>-0.13135473027287911</v>
      </c>
      <c r="I642" s="43"/>
      <c r="K642"/>
      <c r="L642"/>
    </row>
    <row r="643" spans="2:12" ht="15">
      <c r="B643" s="32">
        <v>1</v>
      </c>
      <c r="C643" s="66" t="s">
        <v>62</v>
      </c>
      <c r="D643" s="64">
        <v>42249</v>
      </c>
      <c r="E643">
        <v>2.3554877770778582E-2</v>
      </c>
      <c r="F643">
        <v>0.13623004699601848</v>
      </c>
      <c r="G643" s="40">
        <f t="shared" si="24"/>
        <v>0</v>
      </c>
      <c r="H643" s="33">
        <f t="shared" si="25"/>
        <v>-0.13623004699601848</v>
      </c>
      <c r="I643" s="43"/>
      <c r="K643"/>
      <c r="L643"/>
    </row>
    <row r="644" spans="2:12" ht="15">
      <c r="B644" s="32">
        <v>1</v>
      </c>
      <c r="C644" s="66" t="s">
        <v>62</v>
      </c>
      <c r="D644" s="64">
        <v>42250</v>
      </c>
      <c r="E644">
        <v>1.9826417098381732E-2</v>
      </c>
      <c r="F644">
        <v>0.13601389533630676</v>
      </c>
      <c r="G644" s="40">
        <f t="shared" si="24"/>
        <v>0</v>
      </c>
      <c r="H644" s="33">
        <f t="shared" si="25"/>
        <v>-0.13601389533630676</v>
      </c>
      <c r="I644" s="43"/>
      <c r="K644"/>
      <c r="L644"/>
    </row>
    <row r="645" spans="2:12" ht="15">
      <c r="B645" s="32">
        <v>1</v>
      </c>
      <c r="C645" s="66" t="s">
        <v>62</v>
      </c>
      <c r="D645" s="64">
        <v>42251</v>
      </c>
      <c r="E645">
        <v>1.8978494738552953E-2</v>
      </c>
      <c r="F645">
        <v>0.13721868245853955</v>
      </c>
      <c r="G645" s="40">
        <f t="shared" si="24"/>
        <v>0</v>
      </c>
      <c r="H645" s="33">
        <f t="shared" si="25"/>
        <v>-0.13721868245853955</v>
      </c>
      <c r="I645" s="43"/>
      <c r="K645"/>
      <c r="L645"/>
    </row>
    <row r="646" spans="2:12" ht="15">
      <c r="B646" s="32">
        <v>1</v>
      </c>
      <c r="C646" s="66" t="s">
        <v>62</v>
      </c>
      <c r="D646" s="64">
        <v>42255</v>
      </c>
      <c r="E646">
        <v>-1.23974987650044E-3</v>
      </c>
      <c r="F646">
        <v>0.14473012181717251</v>
      </c>
      <c r="G646" s="40">
        <f t="shared" ref="G646:G709" si="27">--(E646&lt;-F646)</f>
        <v>0</v>
      </c>
      <c r="H646" s="33">
        <f t="shared" ref="H646:H709" si="28">-F646</f>
        <v>-0.14473012181717251</v>
      </c>
      <c r="I646" s="43"/>
      <c r="K646"/>
      <c r="L646"/>
    </row>
    <row r="647" spans="2:12" ht="15">
      <c r="B647" s="32">
        <v>1</v>
      </c>
      <c r="C647" s="66" t="s">
        <v>62</v>
      </c>
      <c r="D647" s="64">
        <v>42256</v>
      </c>
      <c r="E647">
        <v>3.6035554257818347E-4</v>
      </c>
      <c r="F647">
        <v>0.14345143567312868</v>
      </c>
      <c r="G647" s="40">
        <f t="shared" si="27"/>
        <v>0</v>
      </c>
      <c r="H647" s="33">
        <f t="shared" si="28"/>
        <v>-0.14345143567312868</v>
      </c>
      <c r="I647" s="43"/>
      <c r="K647"/>
      <c r="L647"/>
    </row>
    <row r="648" spans="2:12" ht="15">
      <c r="B648" s="32">
        <v>1</v>
      </c>
      <c r="C648" s="66" t="s">
        <v>62</v>
      </c>
      <c r="D648" s="64">
        <v>42257</v>
      </c>
      <c r="E648">
        <v>-6.9544638905894018E-3</v>
      </c>
      <c r="F648">
        <v>0.14381413335998552</v>
      </c>
      <c r="G648" s="40">
        <f t="shared" si="27"/>
        <v>0</v>
      </c>
      <c r="H648" s="33">
        <f t="shared" si="28"/>
        <v>-0.14381413335998552</v>
      </c>
      <c r="I648" s="43"/>
      <c r="K648"/>
      <c r="L648"/>
    </row>
    <row r="649" spans="2:12" ht="15">
      <c r="B649" s="32">
        <v>1</v>
      </c>
      <c r="C649" s="66" t="s">
        <v>62</v>
      </c>
      <c r="D649" s="64">
        <v>42258</v>
      </c>
      <c r="E649">
        <v>-1.4800122568725982E-2</v>
      </c>
      <c r="F649">
        <v>0.14419458022988579</v>
      </c>
      <c r="G649" s="40">
        <f t="shared" si="27"/>
        <v>0</v>
      </c>
      <c r="H649" s="33">
        <f t="shared" si="28"/>
        <v>-0.14419458022988579</v>
      </c>
      <c r="I649" s="43"/>
      <c r="K649"/>
      <c r="L649"/>
    </row>
    <row r="650" spans="2:12" ht="15">
      <c r="B650" s="32">
        <v>1</v>
      </c>
      <c r="C650" s="66" t="s">
        <v>62</v>
      </c>
      <c r="D650" s="64">
        <v>42261</v>
      </c>
      <c r="E650">
        <v>-1.1167982692916745E-2</v>
      </c>
      <c r="F650">
        <v>0.14417749255915618</v>
      </c>
      <c r="G650" s="40">
        <f t="shared" si="27"/>
        <v>0</v>
      </c>
      <c r="H650" s="33">
        <f t="shared" si="28"/>
        <v>-0.14417749255915618</v>
      </c>
      <c r="I650" s="43"/>
      <c r="K650"/>
      <c r="L650"/>
    </row>
    <row r="651" spans="2:12" ht="15">
      <c r="B651" s="32">
        <v>1</v>
      </c>
      <c r="C651" s="66" t="s">
        <v>62</v>
      </c>
      <c r="D651" s="64">
        <v>42262</v>
      </c>
      <c r="E651">
        <v>-4.9918881573941754E-2</v>
      </c>
      <c r="F651">
        <v>0.14602387828873464</v>
      </c>
      <c r="G651" s="40">
        <f t="shared" si="27"/>
        <v>0</v>
      </c>
      <c r="H651" s="33">
        <f t="shared" si="28"/>
        <v>-0.14602387828873464</v>
      </c>
      <c r="I651" s="43"/>
      <c r="K651"/>
      <c r="L651"/>
    </row>
    <row r="652" spans="2:12" ht="15">
      <c r="B652" s="32">
        <v>1</v>
      </c>
      <c r="C652" s="66" t="s">
        <v>62</v>
      </c>
      <c r="D652" s="64">
        <v>42263</v>
      </c>
      <c r="E652">
        <v>-5.7354528642828306E-2</v>
      </c>
      <c r="F652">
        <v>0.14663382457139645</v>
      </c>
      <c r="G652" s="40">
        <f t="shared" si="27"/>
        <v>0</v>
      </c>
      <c r="H652" s="33">
        <f t="shared" si="28"/>
        <v>-0.14663382457139645</v>
      </c>
      <c r="I652" s="43"/>
      <c r="K652"/>
      <c r="L652"/>
    </row>
    <row r="653" spans="2:12" ht="15">
      <c r="B653" s="32">
        <v>1</v>
      </c>
      <c r="C653" s="66" t="s">
        <v>62</v>
      </c>
      <c r="D653" s="64">
        <v>42264</v>
      </c>
      <c r="E653">
        <v>-3.589428555673102E-2</v>
      </c>
      <c r="F653">
        <v>0.14663369602198875</v>
      </c>
      <c r="G653" s="40">
        <f t="shared" si="27"/>
        <v>0</v>
      </c>
      <c r="H653" s="33">
        <f t="shared" si="28"/>
        <v>-0.14663369602198875</v>
      </c>
      <c r="I653" s="43"/>
      <c r="K653"/>
      <c r="L653"/>
    </row>
    <row r="654" spans="2:12" ht="15">
      <c r="B654" s="32">
        <v>1</v>
      </c>
      <c r="C654" s="66" t="s">
        <v>62</v>
      </c>
      <c r="D654" s="64">
        <v>42265</v>
      </c>
      <c r="E654">
        <v>-1.7626115854386448E-2</v>
      </c>
      <c r="F654">
        <v>0.14804755717638171</v>
      </c>
      <c r="G654" s="40">
        <f t="shared" si="27"/>
        <v>0</v>
      </c>
      <c r="H654" s="33">
        <f t="shared" si="28"/>
        <v>-0.14804755717638171</v>
      </c>
      <c r="I654" s="43"/>
      <c r="K654"/>
      <c r="L654"/>
    </row>
    <row r="655" spans="2:12" ht="15">
      <c r="B655" s="32">
        <v>1</v>
      </c>
      <c r="C655" s="66" t="s">
        <v>62</v>
      </c>
      <c r="D655" s="64">
        <v>42268</v>
      </c>
      <c r="E655">
        <v>-7.9677152041108812E-3</v>
      </c>
      <c r="F655">
        <v>0.14511742395909083</v>
      </c>
      <c r="G655" s="40">
        <f t="shared" si="27"/>
        <v>0</v>
      </c>
      <c r="H655" s="33">
        <f t="shared" si="28"/>
        <v>-0.14511742395909083</v>
      </c>
      <c r="I655" s="43"/>
      <c r="K655"/>
      <c r="L655"/>
    </row>
    <row r="656" spans="2:12" ht="15">
      <c r="B656" s="32">
        <v>1</v>
      </c>
      <c r="C656" s="66" t="s">
        <v>62</v>
      </c>
      <c r="D656" s="64">
        <v>42269</v>
      </c>
      <c r="E656">
        <v>2.2551808872001367E-2</v>
      </c>
      <c r="F656">
        <v>0.1369855845699966</v>
      </c>
      <c r="G656" s="40">
        <f t="shared" si="27"/>
        <v>0</v>
      </c>
      <c r="H656" s="33">
        <f t="shared" si="28"/>
        <v>-0.1369855845699966</v>
      </c>
      <c r="I656" s="43"/>
      <c r="K656"/>
      <c r="L656"/>
    </row>
    <row r="657" spans="2:12" ht="15">
      <c r="B657" s="32">
        <v>1</v>
      </c>
      <c r="C657" s="66" t="s">
        <v>62</v>
      </c>
      <c r="D657" s="64">
        <v>42270</v>
      </c>
      <c r="E657">
        <v>2.1007863457043641E-2</v>
      </c>
      <c r="F657">
        <v>0.11981174453784482</v>
      </c>
      <c r="G657" s="40">
        <f t="shared" si="27"/>
        <v>0</v>
      </c>
      <c r="H657" s="33">
        <f t="shared" si="28"/>
        <v>-0.11981174453784482</v>
      </c>
      <c r="I657" s="43"/>
      <c r="K657"/>
      <c r="L657"/>
    </row>
    <row r="658" spans="2:12" ht="15">
      <c r="B658" s="32">
        <v>1</v>
      </c>
      <c r="C658" s="66" t="s">
        <v>62</v>
      </c>
      <c r="D658" s="64">
        <v>42271</v>
      </c>
      <c r="E658">
        <v>3.2380035373067884E-2</v>
      </c>
      <c r="F658">
        <v>0.1175062488012845</v>
      </c>
      <c r="G658" s="40">
        <f t="shared" si="27"/>
        <v>0</v>
      </c>
      <c r="H658" s="33">
        <f t="shared" si="28"/>
        <v>-0.1175062488012845</v>
      </c>
      <c r="I658" s="43"/>
      <c r="K658"/>
      <c r="L658"/>
    </row>
    <row r="659" spans="2:12" ht="15">
      <c r="B659" s="32">
        <v>1</v>
      </c>
      <c r="C659" s="66" t="s">
        <v>62</v>
      </c>
      <c r="D659" s="64">
        <v>42272</v>
      </c>
      <c r="E659">
        <v>4.1625717275480589E-2</v>
      </c>
      <c r="F659">
        <v>9.9935108295364547E-2</v>
      </c>
      <c r="G659" s="40">
        <f t="shared" si="27"/>
        <v>0</v>
      </c>
      <c r="H659" s="33">
        <f t="shared" si="28"/>
        <v>-9.9935108295364547E-2</v>
      </c>
      <c r="I659" s="43"/>
      <c r="K659"/>
      <c r="L659"/>
    </row>
    <row r="660" spans="2:12" ht="15">
      <c r="B660" s="32">
        <v>1</v>
      </c>
      <c r="C660" s="66" t="s">
        <v>62</v>
      </c>
      <c r="D660" s="64">
        <v>42275</v>
      </c>
      <c r="E660">
        <v>6.8351776873657677E-2</v>
      </c>
      <c r="F660">
        <v>9.9365773584878386E-2</v>
      </c>
      <c r="G660" s="40">
        <f t="shared" si="27"/>
        <v>0</v>
      </c>
      <c r="H660" s="33">
        <f t="shared" si="28"/>
        <v>-9.9365773584878386E-2</v>
      </c>
      <c r="I660" s="43"/>
      <c r="K660"/>
      <c r="L660"/>
    </row>
    <row r="661" spans="2:12" ht="15">
      <c r="B661" s="32">
        <v>1</v>
      </c>
      <c r="C661" s="66" t="s">
        <v>62</v>
      </c>
      <c r="D661" s="64">
        <v>42276</v>
      </c>
      <c r="E661">
        <v>6.8394347448235138E-2</v>
      </c>
      <c r="F661">
        <v>9.942539762852369E-2</v>
      </c>
      <c r="G661" s="40">
        <f t="shared" si="27"/>
        <v>0</v>
      </c>
      <c r="H661" s="33">
        <f t="shared" si="28"/>
        <v>-9.942539762852369E-2</v>
      </c>
      <c r="I661" s="43"/>
      <c r="K661"/>
      <c r="L661"/>
    </row>
    <row r="662" spans="2:12" ht="15">
      <c r="B662" s="32">
        <v>1</v>
      </c>
      <c r="C662" s="66" t="s">
        <v>62</v>
      </c>
      <c r="D662" s="64">
        <v>42277</v>
      </c>
      <c r="E662">
        <v>4.2649625170803063E-2</v>
      </c>
      <c r="F662">
        <v>0.10461507038292477</v>
      </c>
      <c r="G662" s="40">
        <f t="shared" si="27"/>
        <v>0</v>
      </c>
      <c r="H662" s="33">
        <f t="shared" si="28"/>
        <v>-0.10461507038292477</v>
      </c>
      <c r="I662" s="43"/>
      <c r="K662"/>
      <c r="L662"/>
    </row>
    <row r="663" spans="2:12" ht="15">
      <c r="B663" s="32">
        <v>1</v>
      </c>
      <c r="C663" s="66" t="s">
        <v>62</v>
      </c>
      <c r="D663" s="64">
        <v>42278</v>
      </c>
      <c r="E663">
        <v>3.5950255661385988E-2</v>
      </c>
      <c r="F663">
        <v>9.2762411678504547E-2</v>
      </c>
      <c r="G663" s="40">
        <f t="shared" si="27"/>
        <v>0</v>
      </c>
      <c r="H663" s="33">
        <f t="shared" si="28"/>
        <v>-9.2762411678504547E-2</v>
      </c>
      <c r="I663" s="43"/>
      <c r="K663"/>
      <c r="L663"/>
    </row>
    <row r="664" spans="2:12" ht="15">
      <c r="B664" s="32">
        <v>1</v>
      </c>
      <c r="C664" s="66" t="s">
        <v>62</v>
      </c>
      <c r="D664" s="64">
        <v>42279</v>
      </c>
      <c r="E664">
        <v>3.6480013970060732E-2</v>
      </c>
      <c r="F664">
        <v>9.0915409342351788E-2</v>
      </c>
      <c r="G664" s="40">
        <f t="shared" si="27"/>
        <v>0</v>
      </c>
      <c r="H664" s="33">
        <f t="shared" si="28"/>
        <v>-9.0915409342351788E-2</v>
      </c>
      <c r="I664" s="43"/>
      <c r="K664"/>
      <c r="L664"/>
    </row>
    <row r="665" spans="2:12" ht="15">
      <c r="B665" s="32">
        <v>1</v>
      </c>
      <c r="C665" s="66" t="s">
        <v>62</v>
      </c>
      <c r="D665" s="64">
        <v>42282</v>
      </c>
      <c r="E665">
        <v>2.2915481559385498E-2</v>
      </c>
      <c r="F665">
        <v>9.543679236252943E-2</v>
      </c>
      <c r="G665" s="40">
        <f t="shared" si="27"/>
        <v>0</v>
      </c>
      <c r="H665" s="33">
        <f t="shared" si="28"/>
        <v>-9.543679236252943E-2</v>
      </c>
      <c r="I665" s="43"/>
      <c r="K665"/>
      <c r="L665"/>
    </row>
    <row r="666" spans="2:12" ht="15">
      <c r="B666" s="32">
        <v>1</v>
      </c>
      <c r="C666" s="66" t="s">
        <v>62</v>
      </c>
      <c r="D666" s="64">
        <v>42283</v>
      </c>
      <c r="E666">
        <v>2.6780679990840994E-2</v>
      </c>
      <c r="F666">
        <v>9.1779845814598721E-2</v>
      </c>
      <c r="G666" s="40">
        <f t="shared" si="27"/>
        <v>0</v>
      </c>
      <c r="H666" s="33">
        <f t="shared" si="28"/>
        <v>-9.1779845814598721E-2</v>
      </c>
      <c r="I666" s="43"/>
      <c r="K666"/>
      <c r="L666"/>
    </row>
    <row r="667" spans="2:12" ht="15">
      <c r="B667" s="32">
        <v>1</v>
      </c>
      <c r="C667" s="66" t="s">
        <v>62</v>
      </c>
      <c r="D667" s="64">
        <v>42284</v>
      </c>
      <c r="E667">
        <v>1.7355059451596766E-2</v>
      </c>
      <c r="F667">
        <v>8.3844944949368033E-2</v>
      </c>
      <c r="G667" s="40">
        <f t="shared" si="27"/>
        <v>0</v>
      </c>
      <c r="H667" s="33">
        <f t="shared" si="28"/>
        <v>-8.3844944949368033E-2</v>
      </c>
      <c r="I667" s="43"/>
      <c r="K667"/>
      <c r="L667"/>
    </row>
    <row r="668" spans="2:12" ht="15">
      <c r="B668" s="32">
        <v>1</v>
      </c>
      <c r="C668" s="66" t="s">
        <v>62</v>
      </c>
      <c r="D668" s="64">
        <v>42285</v>
      </c>
      <c r="E668">
        <v>2.7328297928930212E-3</v>
      </c>
      <c r="F668">
        <v>8.1015567686391746E-2</v>
      </c>
      <c r="G668" s="40">
        <f t="shared" si="27"/>
        <v>0</v>
      </c>
      <c r="H668" s="33">
        <f t="shared" si="28"/>
        <v>-8.1015567686391746E-2</v>
      </c>
      <c r="I668" s="43"/>
      <c r="K668"/>
      <c r="L668"/>
    </row>
    <row r="669" spans="2:12" ht="15">
      <c r="B669" s="32">
        <v>1</v>
      </c>
      <c r="C669" s="66" t="s">
        <v>62</v>
      </c>
      <c r="D669" s="64">
        <v>42286</v>
      </c>
      <c r="E669">
        <v>1.8498828529464717E-2</v>
      </c>
      <c r="F669">
        <v>8.0805547597862459E-2</v>
      </c>
      <c r="G669" s="40">
        <f t="shared" si="27"/>
        <v>0</v>
      </c>
      <c r="H669" s="33">
        <f t="shared" si="28"/>
        <v>-8.0805547597862459E-2</v>
      </c>
      <c r="I669" s="43"/>
      <c r="K669"/>
      <c r="L669"/>
    </row>
    <row r="670" spans="2:12" ht="15">
      <c r="B670" s="32">
        <v>1</v>
      </c>
      <c r="C670" s="66" t="s">
        <v>62</v>
      </c>
      <c r="D670" s="64">
        <v>42289</v>
      </c>
      <c r="E670">
        <v>2.8194117884837055E-2</v>
      </c>
      <c r="F670">
        <v>8.0649994849589679E-2</v>
      </c>
      <c r="G670" s="40">
        <f t="shared" si="27"/>
        <v>0</v>
      </c>
      <c r="H670" s="33">
        <f t="shared" si="28"/>
        <v>-8.0649994849589679E-2</v>
      </c>
      <c r="I670" s="43"/>
      <c r="K670"/>
      <c r="L670"/>
    </row>
    <row r="671" spans="2:12" ht="15">
      <c r="B671" s="32">
        <v>1</v>
      </c>
      <c r="C671" s="66" t="s">
        <v>62</v>
      </c>
      <c r="D671" s="64">
        <v>42290</v>
      </c>
      <c r="E671">
        <v>3.312800914675762E-2</v>
      </c>
      <c r="F671">
        <v>8.1271355593474204E-2</v>
      </c>
      <c r="G671" s="40">
        <f t="shared" si="27"/>
        <v>0</v>
      </c>
      <c r="H671" s="33">
        <f t="shared" si="28"/>
        <v>-8.1271355593474204E-2</v>
      </c>
      <c r="I671" s="43"/>
      <c r="K671"/>
      <c r="L671"/>
    </row>
    <row r="672" spans="2:12" ht="15">
      <c r="B672" s="32">
        <v>1</v>
      </c>
      <c r="C672" s="66" t="s">
        <v>62</v>
      </c>
      <c r="D672" s="64">
        <v>42291</v>
      </c>
      <c r="E672">
        <v>3.5298054139082602E-2</v>
      </c>
      <c r="F672">
        <v>7.9382778342205737E-2</v>
      </c>
      <c r="G672" s="40">
        <f t="shared" si="27"/>
        <v>0</v>
      </c>
      <c r="H672" s="33">
        <f t="shared" si="28"/>
        <v>-7.9382778342205737E-2</v>
      </c>
      <c r="I672" s="43"/>
      <c r="K672"/>
      <c r="L672"/>
    </row>
    <row r="673" spans="2:12" ht="15">
      <c r="B673" s="32">
        <v>1</v>
      </c>
      <c r="C673" s="66" t="s">
        <v>62</v>
      </c>
      <c r="D673" s="64">
        <v>42292</v>
      </c>
      <c r="E673">
        <v>3.2324991292290051E-2</v>
      </c>
      <c r="F673">
        <v>8.1664176521714982E-2</v>
      </c>
      <c r="G673" s="40">
        <f t="shared" si="27"/>
        <v>0</v>
      </c>
      <c r="H673" s="33">
        <f t="shared" si="28"/>
        <v>-8.1664176521714982E-2</v>
      </c>
      <c r="I673" s="43"/>
      <c r="K673"/>
      <c r="L673"/>
    </row>
    <row r="674" spans="2:12" ht="15">
      <c r="B674" s="32">
        <v>1</v>
      </c>
      <c r="C674" s="66" t="s">
        <v>62</v>
      </c>
      <c r="D674" s="64">
        <v>42293</v>
      </c>
      <c r="E674">
        <v>2.7315054320347976E-2</v>
      </c>
      <c r="F674">
        <v>8.1699980200563946E-2</v>
      </c>
      <c r="G674" s="40">
        <f t="shared" si="27"/>
        <v>0</v>
      </c>
      <c r="H674" s="33">
        <f t="shared" si="28"/>
        <v>-8.1699980200563946E-2</v>
      </c>
      <c r="I674" s="43"/>
      <c r="K674"/>
      <c r="L674"/>
    </row>
    <row r="675" spans="2:12" ht="15">
      <c r="B675" s="32">
        <v>1</v>
      </c>
      <c r="C675" s="66" t="s">
        <v>62</v>
      </c>
      <c r="D675" s="64">
        <v>42296</v>
      </c>
      <c r="E675">
        <v>2.2223063452948111E-2</v>
      </c>
      <c r="F675">
        <v>7.6354673788824615E-2</v>
      </c>
      <c r="G675" s="40">
        <f t="shared" si="27"/>
        <v>0</v>
      </c>
      <c r="H675" s="33">
        <f t="shared" si="28"/>
        <v>-7.6354673788824615E-2</v>
      </c>
      <c r="I675" s="43"/>
      <c r="K675"/>
      <c r="L675"/>
    </row>
    <row r="676" spans="2:12" ht="15">
      <c r="B676" s="32">
        <v>1</v>
      </c>
      <c r="C676" s="66" t="s">
        <v>62</v>
      </c>
      <c r="D676" s="64">
        <v>42297</v>
      </c>
      <c r="E676">
        <v>3.5449040813050559E-2</v>
      </c>
      <c r="F676">
        <v>7.6374946497092172E-2</v>
      </c>
      <c r="G676" s="40">
        <f t="shared" si="27"/>
        <v>0</v>
      </c>
      <c r="H676" s="33">
        <f t="shared" si="28"/>
        <v>-7.6374946497092172E-2</v>
      </c>
      <c r="I676" s="43"/>
      <c r="K676"/>
      <c r="L676"/>
    </row>
    <row r="677" spans="2:12" ht="15">
      <c r="B677" s="32">
        <v>1</v>
      </c>
      <c r="C677" s="66" t="s">
        <v>62</v>
      </c>
      <c r="D677" s="64">
        <v>42298</v>
      </c>
      <c r="E677">
        <v>4.401584296998351E-2</v>
      </c>
      <c r="F677">
        <v>7.3826395247955784E-2</v>
      </c>
      <c r="G677" s="40">
        <f t="shared" si="27"/>
        <v>0</v>
      </c>
      <c r="H677" s="33">
        <f t="shared" si="28"/>
        <v>-7.3826395247955784E-2</v>
      </c>
      <c r="I677" s="43"/>
      <c r="K677"/>
      <c r="L677"/>
    </row>
    <row r="678" spans="2:12" ht="15">
      <c r="B678" s="32">
        <v>1</v>
      </c>
      <c r="C678" s="66" t="s">
        <v>62</v>
      </c>
      <c r="D678" s="64">
        <v>42299</v>
      </c>
      <c r="E678">
        <v>2.397332892519799E-2</v>
      </c>
      <c r="F678">
        <v>7.711482623323053E-2</v>
      </c>
      <c r="G678" s="40">
        <f t="shared" si="27"/>
        <v>0</v>
      </c>
      <c r="H678" s="33">
        <f t="shared" si="28"/>
        <v>-7.711482623323053E-2</v>
      </c>
      <c r="I678" s="43"/>
      <c r="K678"/>
      <c r="L678"/>
    </row>
    <row r="679" spans="2:12" ht="15">
      <c r="B679" s="32">
        <v>1</v>
      </c>
      <c r="C679" s="66" t="s">
        <v>62</v>
      </c>
      <c r="D679" s="64">
        <v>42300</v>
      </c>
      <c r="E679">
        <v>1.1870585457393723E-2</v>
      </c>
      <c r="F679">
        <v>7.7488389484324585E-2</v>
      </c>
      <c r="G679" s="40">
        <f t="shared" si="27"/>
        <v>0</v>
      </c>
      <c r="H679" s="33">
        <f t="shared" si="28"/>
        <v>-7.7488389484324585E-2</v>
      </c>
      <c r="I679" s="43"/>
      <c r="K679"/>
      <c r="L679"/>
    </row>
    <row r="680" spans="2:12" ht="15">
      <c r="B680" s="32">
        <v>1</v>
      </c>
      <c r="C680" s="66" t="s">
        <v>62</v>
      </c>
      <c r="D680" s="64">
        <v>42303</v>
      </c>
      <c r="E680">
        <v>1.3437836086294119E-2</v>
      </c>
      <c r="F680">
        <v>7.7718470335893963E-2</v>
      </c>
      <c r="G680" s="40">
        <f t="shared" si="27"/>
        <v>0</v>
      </c>
      <c r="H680" s="33">
        <f t="shared" si="28"/>
        <v>-7.7718470335893963E-2</v>
      </c>
      <c r="I680" s="43"/>
      <c r="K680"/>
      <c r="L680"/>
    </row>
    <row r="681" spans="2:12" ht="15">
      <c r="B681" s="32">
        <v>1</v>
      </c>
      <c r="C681" s="66" t="s">
        <v>62</v>
      </c>
      <c r="D681" s="64">
        <v>42304</v>
      </c>
      <c r="E681">
        <v>6.1239312859209249E-3</v>
      </c>
      <c r="F681">
        <v>6.1117152836426311E-2</v>
      </c>
      <c r="G681" s="40">
        <f t="shared" si="27"/>
        <v>0</v>
      </c>
      <c r="H681" s="33">
        <f t="shared" si="28"/>
        <v>-6.1117152836426311E-2</v>
      </c>
      <c r="I681" s="43"/>
      <c r="K681"/>
      <c r="L681"/>
    </row>
    <row r="682" spans="2:12" ht="15">
      <c r="B682" s="32">
        <v>1</v>
      </c>
      <c r="C682" s="66" t="s">
        <v>62</v>
      </c>
      <c r="D682" s="64">
        <v>42305</v>
      </c>
      <c r="E682">
        <v>-4.1371018062621445E-3</v>
      </c>
      <c r="F682">
        <v>6.1953717036145751E-2</v>
      </c>
      <c r="G682" s="40">
        <f t="shared" si="27"/>
        <v>0</v>
      </c>
      <c r="H682" s="33">
        <f t="shared" si="28"/>
        <v>-6.1953717036145751E-2</v>
      </c>
      <c r="I682" s="43"/>
      <c r="K682"/>
      <c r="L682"/>
    </row>
    <row r="683" spans="2:12" ht="15">
      <c r="B683" s="32">
        <v>1</v>
      </c>
      <c r="C683" s="66" t="s">
        <v>62</v>
      </c>
      <c r="D683" s="64">
        <v>42306</v>
      </c>
      <c r="E683">
        <v>-6.9205336729867284E-3</v>
      </c>
      <c r="F683">
        <v>5.7813056033641459E-2</v>
      </c>
      <c r="G683" s="40">
        <f t="shared" si="27"/>
        <v>0</v>
      </c>
      <c r="H683" s="33">
        <f t="shared" si="28"/>
        <v>-5.7813056033641459E-2</v>
      </c>
      <c r="I683" s="43"/>
      <c r="K683"/>
      <c r="L683"/>
    </row>
    <row r="684" spans="2:12" ht="15">
      <c r="B684" s="32">
        <v>1</v>
      </c>
      <c r="C684" s="66" t="s">
        <v>62</v>
      </c>
      <c r="D684" s="64">
        <v>42307</v>
      </c>
      <c r="E684">
        <v>-1.6188215025551678E-2</v>
      </c>
      <c r="F684">
        <v>5.9470941242547593E-2</v>
      </c>
      <c r="G684" s="40">
        <f t="shared" si="27"/>
        <v>0</v>
      </c>
      <c r="H684" s="33">
        <f t="shared" si="28"/>
        <v>-5.9470941242547593E-2</v>
      </c>
      <c r="I684" s="43"/>
      <c r="K684"/>
      <c r="L684"/>
    </row>
    <row r="685" spans="2:12" ht="15">
      <c r="B685" s="32">
        <v>1</v>
      </c>
      <c r="C685" s="66" t="s">
        <v>62</v>
      </c>
      <c r="D685" s="64">
        <v>42310</v>
      </c>
      <c r="E685">
        <v>-3.9262732257093091E-2</v>
      </c>
      <c r="F685">
        <v>5.8435144915853561E-2</v>
      </c>
      <c r="G685" s="40">
        <f t="shared" si="27"/>
        <v>0</v>
      </c>
      <c r="H685" s="33">
        <f t="shared" si="28"/>
        <v>-5.8435144915853561E-2</v>
      </c>
      <c r="I685" s="43"/>
      <c r="K685"/>
      <c r="L685"/>
    </row>
    <row r="686" spans="2:12" ht="15">
      <c r="B686" s="32">
        <v>1</v>
      </c>
      <c r="C686" s="66" t="s">
        <v>62</v>
      </c>
      <c r="D686" s="64">
        <v>42311</v>
      </c>
      <c r="E686">
        <v>-2.7193782443583281E-2</v>
      </c>
      <c r="F686">
        <v>5.304980834075404E-2</v>
      </c>
      <c r="G686" s="40">
        <f t="shared" si="27"/>
        <v>0</v>
      </c>
      <c r="H686" s="33">
        <f t="shared" si="28"/>
        <v>-5.304980834075404E-2</v>
      </c>
      <c r="I686" s="43"/>
      <c r="K686"/>
      <c r="L686"/>
    </row>
    <row r="687" spans="2:12" ht="15">
      <c r="B687" s="32">
        <v>1</v>
      </c>
      <c r="C687" s="66" t="s">
        <v>62</v>
      </c>
      <c r="D687" s="64">
        <v>42312</v>
      </c>
      <c r="E687">
        <v>-2.4982392745312332E-2</v>
      </c>
      <c r="F687">
        <v>5.3035699514463144E-2</v>
      </c>
      <c r="G687" s="40">
        <f t="shared" si="27"/>
        <v>0</v>
      </c>
      <c r="H687" s="33">
        <f t="shared" si="28"/>
        <v>-5.3035699514463144E-2</v>
      </c>
      <c r="I687" s="43"/>
      <c r="K687"/>
      <c r="L687"/>
    </row>
    <row r="688" spans="2:12" ht="15">
      <c r="B688" s="32">
        <v>1</v>
      </c>
      <c r="C688" s="66" t="s">
        <v>62</v>
      </c>
      <c r="D688" s="64">
        <v>42313</v>
      </c>
      <c r="E688">
        <v>-7.8163729514031388E-3</v>
      </c>
      <c r="F688">
        <v>5.266301581293354E-2</v>
      </c>
      <c r="G688" s="40">
        <f t="shared" si="27"/>
        <v>0</v>
      </c>
      <c r="H688" s="33">
        <f t="shared" si="28"/>
        <v>-5.266301581293354E-2</v>
      </c>
      <c r="I688" s="43"/>
      <c r="K688"/>
      <c r="L688"/>
    </row>
    <row r="689" spans="2:12" ht="15">
      <c r="B689" s="32">
        <v>1</v>
      </c>
      <c r="C689" s="66" t="s">
        <v>62</v>
      </c>
      <c r="D689" s="64">
        <v>42314</v>
      </c>
      <c r="E689">
        <v>-8.5924312999656749E-3</v>
      </c>
      <c r="F689">
        <v>5.1710690720652805E-2</v>
      </c>
      <c r="G689" s="40">
        <f t="shared" si="27"/>
        <v>0</v>
      </c>
      <c r="H689" s="33">
        <f t="shared" si="28"/>
        <v>-5.1710690720652805E-2</v>
      </c>
      <c r="I689" s="43"/>
      <c r="K689"/>
      <c r="L689"/>
    </row>
    <row r="690" spans="2:12" ht="15">
      <c r="B690" s="32">
        <v>1</v>
      </c>
      <c r="C690" s="66" t="s">
        <v>62</v>
      </c>
      <c r="D690" s="64">
        <v>42317</v>
      </c>
      <c r="E690">
        <v>5.0818147873918917E-3</v>
      </c>
      <c r="F690">
        <v>5.5097155049630663E-2</v>
      </c>
      <c r="G690" s="40">
        <f t="shared" si="27"/>
        <v>0</v>
      </c>
      <c r="H690" s="33">
        <f t="shared" si="28"/>
        <v>-5.5097155049630663E-2</v>
      </c>
      <c r="I690" s="43"/>
      <c r="K690"/>
      <c r="L690"/>
    </row>
    <row r="691" spans="2:12" ht="15">
      <c r="B691" s="32">
        <v>1</v>
      </c>
      <c r="C691" s="66" t="s">
        <v>62</v>
      </c>
      <c r="D691" s="64">
        <v>42318</v>
      </c>
      <c r="E691">
        <v>2.336735582097127E-3</v>
      </c>
      <c r="F691">
        <v>5.5096054346873508E-2</v>
      </c>
      <c r="G691" s="40">
        <f t="shared" si="27"/>
        <v>0</v>
      </c>
      <c r="H691" s="33">
        <f t="shared" si="28"/>
        <v>-5.5096054346873508E-2</v>
      </c>
      <c r="I691" s="43"/>
      <c r="K691"/>
      <c r="L691"/>
    </row>
    <row r="692" spans="2:12" ht="15">
      <c r="B692" s="32">
        <v>1</v>
      </c>
      <c r="C692" s="66" t="s">
        <v>62</v>
      </c>
      <c r="D692" s="64">
        <v>42319</v>
      </c>
      <c r="E692">
        <v>6.791293140755883E-3</v>
      </c>
      <c r="F692">
        <v>5.3907681009615058E-2</v>
      </c>
      <c r="G692" s="40">
        <f t="shared" si="27"/>
        <v>0</v>
      </c>
      <c r="H692" s="33">
        <f t="shared" si="28"/>
        <v>-5.3907681009615058E-2</v>
      </c>
      <c r="I692" s="43"/>
      <c r="K692"/>
      <c r="L692"/>
    </row>
    <row r="693" spans="2:12" ht="15">
      <c r="B693" s="32">
        <v>1</v>
      </c>
      <c r="C693" s="66" t="s">
        <v>62</v>
      </c>
      <c r="D693" s="64">
        <v>42320</v>
      </c>
      <c r="E693">
        <v>2.0751315425620476E-2</v>
      </c>
      <c r="F693">
        <v>5.8785917525334123E-2</v>
      </c>
      <c r="G693" s="40">
        <f t="shared" si="27"/>
        <v>0</v>
      </c>
      <c r="H693" s="33">
        <f t="shared" si="28"/>
        <v>-5.8785917525334123E-2</v>
      </c>
      <c r="I693" s="43"/>
      <c r="K693"/>
      <c r="L693"/>
    </row>
    <row r="694" spans="2:12" ht="15">
      <c r="B694" s="32">
        <v>1</v>
      </c>
      <c r="C694" s="66" t="s">
        <v>62</v>
      </c>
      <c r="D694" s="64">
        <v>42321</v>
      </c>
      <c r="E694">
        <v>3.2615397481171371E-2</v>
      </c>
      <c r="F694">
        <v>5.7409054977697681E-2</v>
      </c>
      <c r="G694" s="40">
        <f t="shared" si="27"/>
        <v>0</v>
      </c>
      <c r="H694" s="33">
        <f t="shared" si="28"/>
        <v>-5.7409054977697681E-2</v>
      </c>
      <c r="I694" s="43"/>
      <c r="K694"/>
      <c r="L694"/>
    </row>
    <row r="695" spans="2:12" ht="15">
      <c r="B695" s="32">
        <v>1</v>
      </c>
      <c r="C695" s="66" t="s">
        <v>62</v>
      </c>
      <c r="D695" s="64">
        <v>42324</v>
      </c>
      <c r="E695">
        <v>1.3170294863556364E-2</v>
      </c>
      <c r="F695">
        <v>6.180033297159393E-2</v>
      </c>
      <c r="G695" s="40">
        <f t="shared" si="27"/>
        <v>0</v>
      </c>
      <c r="H695" s="33">
        <f t="shared" si="28"/>
        <v>-6.180033297159393E-2</v>
      </c>
      <c r="I695" s="43"/>
      <c r="K695"/>
      <c r="L695"/>
    </row>
    <row r="696" spans="2:12" ht="15">
      <c r="B696" s="32">
        <v>1</v>
      </c>
      <c r="C696" s="66" t="s">
        <v>62</v>
      </c>
      <c r="D696" s="64">
        <v>42325</v>
      </c>
      <c r="E696">
        <v>2.5134510970556079E-2</v>
      </c>
      <c r="F696">
        <v>6.1868322897641298E-2</v>
      </c>
      <c r="G696" s="40">
        <f t="shared" si="27"/>
        <v>0</v>
      </c>
      <c r="H696" s="33">
        <f t="shared" si="28"/>
        <v>-6.1868322897641298E-2</v>
      </c>
      <c r="I696" s="43"/>
      <c r="K696"/>
      <c r="L696"/>
    </row>
    <row r="697" spans="2:12" ht="15">
      <c r="B697" s="32">
        <v>1</v>
      </c>
      <c r="C697" s="66" t="s">
        <v>62</v>
      </c>
      <c r="D697" s="64">
        <v>42326</v>
      </c>
      <c r="E697">
        <v>-1.9553116606676468E-3</v>
      </c>
      <c r="F697">
        <v>6.6645291538095855E-2</v>
      </c>
      <c r="G697" s="40">
        <f t="shared" si="27"/>
        <v>0</v>
      </c>
      <c r="H697" s="33">
        <f t="shared" si="28"/>
        <v>-6.6645291538095855E-2</v>
      </c>
      <c r="I697" s="43"/>
      <c r="K697"/>
      <c r="L697"/>
    </row>
    <row r="698" spans="2:12" ht="15">
      <c r="B698" s="32">
        <v>1</v>
      </c>
      <c r="C698" s="66" t="s">
        <v>62</v>
      </c>
      <c r="D698" s="64">
        <v>42327</v>
      </c>
      <c r="E698">
        <v>-1.5309397927405932E-2</v>
      </c>
      <c r="F698">
        <v>6.5715737819568132E-2</v>
      </c>
      <c r="G698" s="40">
        <f t="shared" si="27"/>
        <v>0</v>
      </c>
      <c r="H698" s="33">
        <f t="shared" si="28"/>
        <v>-6.5715737819568132E-2</v>
      </c>
      <c r="I698" s="43"/>
      <c r="K698"/>
      <c r="L698"/>
    </row>
    <row r="699" spans="2:12" ht="15">
      <c r="B699" s="32">
        <v>1</v>
      </c>
      <c r="C699" s="66" t="s">
        <v>62</v>
      </c>
      <c r="D699" s="64">
        <v>42328</v>
      </c>
      <c r="E699">
        <v>1.2055028811106538E-3</v>
      </c>
      <c r="F699">
        <v>6.0831286886070909E-2</v>
      </c>
      <c r="G699" s="40">
        <f t="shared" si="27"/>
        <v>0</v>
      </c>
      <c r="H699" s="33">
        <f t="shared" si="28"/>
        <v>-6.0831286886070909E-2</v>
      </c>
      <c r="I699" s="43"/>
      <c r="K699"/>
      <c r="L699"/>
    </row>
    <row r="700" spans="2:12" ht="15">
      <c r="B700" s="32">
        <v>1</v>
      </c>
      <c r="C700" s="66" t="s">
        <v>62</v>
      </c>
      <c r="D700" s="64">
        <v>42331</v>
      </c>
      <c r="E700">
        <v>-4.5729172089883363E-3</v>
      </c>
      <c r="F700">
        <v>5.8441705921120211E-2</v>
      </c>
      <c r="G700" s="40">
        <f t="shared" si="27"/>
        <v>0</v>
      </c>
      <c r="H700" s="33">
        <f t="shared" si="28"/>
        <v>-5.8441705921120211E-2</v>
      </c>
      <c r="I700" s="43"/>
      <c r="K700"/>
      <c r="L700"/>
    </row>
    <row r="701" spans="2:12" ht="15">
      <c r="B701" s="32">
        <v>1</v>
      </c>
      <c r="C701" s="66" t="s">
        <v>62</v>
      </c>
      <c r="D701" s="64">
        <v>42332</v>
      </c>
      <c r="E701">
        <v>-1.2305219703040216E-2</v>
      </c>
      <c r="F701">
        <v>5.8342397448948591E-2</v>
      </c>
      <c r="G701" s="40">
        <f t="shared" si="27"/>
        <v>0</v>
      </c>
      <c r="H701" s="33">
        <f t="shared" si="28"/>
        <v>-5.8342397448948591E-2</v>
      </c>
      <c r="I701" s="43"/>
      <c r="K701"/>
      <c r="L701"/>
    </row>
    <row r="702" spans="2:12" ht="15">
      <c r="B702" s="32">
        <v>1</v>
      </c>
      <c r="C702" s="66" t="s">
        <v>62</v>
      </c>
      <c r="D702" s="64">
        <v>42333</v>
      </c>
      <c r="E702">
        <v>-1.9945165272300613E-2</v>
      </c>
      <c r="F702">
        <v>5.8137941229548795E-2</v>
      </c>
      <c r="G702" s="40">
        <f t="shared" si="27"/>
        <v>0</v>
      </c>
      <c r="H702" s="33">
        <f t="shared" si="28"/>
        <v>-5.8137941229548795E-2</v>
      </c>
      <c r="I702" s="43"/>
      <c r="K702"/>
      <c r="L702"/>
    </row>
    <row r="703" spans="2:12" ht="15">
      <c r="B703" s="32">
        <v>1</v>
      </c>
      <c r="C703" s="66" t="s">
        <v>62</v>
      </c>
      <c r="D703" s="64">
        <v>42335</v>
      </c>
      <c r="E703">
        <v>-1.8289750312284525E-2</v>
      </c>
      <c r="F703">
        <v>5.4971319492003165E-2</v>
      </c>
      <c r="G703" s="40">
        <f t="shared" si="27"/>
        <v>0</v>
      </c>
      <c r="H703" s="33">
        <f t="shared" si="28"/>
        <v>-5.4971319492003165E-2</v>
      </c>
      <c r="I703" s="43"/>
      <c r="K703"/>
      <c r="L703"/>
    </row>
    <row r="704" spans="2:12" ht="15">
      <c r="B704" s="32">
        <v>1</v>
      </c>
      <c r="C704" s="66" t="s">
        <v>62</v>
      </c>
      <c r="D704" s="64">
        <v>42338</v>
      </c>
      <c r="E704">
        <v>-3.3251817907573589E-2</v>
      </c>
      <c r="F704">
        <v>5.5474801081938641E-2</v>
      </c>
      <c r="G704" s="40">
        <f t="shared" si="27"/>
        <v>0</v>
      </c>
      <c r="H704" s="33">
        <f t="shared" si="28"/>
        <v>-5.5474801081938641E-2</v>
      </c>
      <c r="I704" s="43"/>
      <c r="K704"/>
      <c r="L704"/>
    </row>
    <row r="705" spans="2:12" ht="15">
      <c r="B705" s="32">
        <v>1</v>
      </c>
      <c r="C705" s="66" t="s">
        <v>62</v>
      </c>
      <c r="D705" s="64">
        <v>42339</v>
      </c>
      <c r="E705">
        <v>-3.913146907468068E-2</v>
      </c>
      <c r="F705">
        <v>5.7501366054602314E-2</v>
      </c>
      <c r="G705" s="40">
        <f t="shared" si="27"/>
        <v>0</v>
      </c>
      <c r="H705" s="33">
        <f t="shared" si="28"/>
        <v>-5.7501366054602314E-2</v>
      </c>
      <c r="I705" s="43"/>
      <c r="K705"/>
      <c r="L705"/>
    </row>
    <row r="706" spans="2:12" ht="15">
      <c r="B706" s="32">
        <v>1</v>
      </c>
      <c r="C706" s="66" t="s">
        <v>62</v>
      </c>
      <c r="D706" s="64">
        <v>42340</v>
      </c>
      <c r="E706">
        <v>-1.7512296239863723E-2</v>
      </c>
      <c r="F706">
        <v>5.7082432765270634E-2</v>
      </c>
      <c r="G706" s="40">
        <f t="shared" si="27"/>
        <v>0</v>
      </c>
      <c r="H706" s="33">
        <f t="shared" si="28"/>
        <v>-5.7082432765270634E-2</v>
      </c>
      <c r="I706" s="43"/>
      <c r="K706"/>
      <c r="L706"/>
    </row>
    <row r="707" spans="2:12" ht="15">
      <c r="B707" s="32">
        <v>1</v>
      </c>
      <c r="C707" s="66" t="s">
        <v>62</v>
      </c>
      <c r="D707" s="64">
        <v>42341</v>
      </c>
      <c r="E707">
        <v>1.1376165973826069E-2</v>
      </c>
      <c r="F707">
        <v>6.0953819723948782E-2</v>
      </c>
      <c r="G707" s="40">
        <f t="shared" si="27"/>
        <v>0</v>
      </c>
      <c r="H707" s="33">
        <f t="shared" si="28"/>
        <v>-6.0953819723948782E-2</v>
      </c>
      <c r="I707" s="43"/>
      <c r="K707"/>
      <c r="L707"/>
    </row>
    <row r="708" spans="2:12" ht="15">
      <c r="B708" s="32">
        <v>1</v>
      </c>
      <c r="C708" s="66" t="s">
        <v>62</v>
      </c>
      <c r="D708" s="64">
        <v>42342</v>
      </c>
      <c r="E708">
        <v>-2.4096466577632647E-2</v>
      </c>
      <c r="F708">
        <v>7.0020423046539715E-2</v>
      </c>
      <c r="G708" s="40">
        <f t="shared" si="27"/>
        <v>0</v>
      </c>
      <c r="H708" s="33">
        <f t="shared" si="28"/>
        <v>-7.0020423046539715E-2</v>
      </c>
      <c r="I708" s="43"/>
      <c r="K708"/>
      <c r="L708"/>
    </row>
    <row r="709" spans="2:12" ht="15">
      <c r="B709" s="32">
        <v>1</v>
      </c>
      <c r="C709" s="66" t="s">
        <v>62</v>
      </c>
      <c r="D709" s="64">
        <v>42345</v>
      </c>
      <c r="E709">
        <v>-3.5039917732017756E-2</v>
      </c>
      <c r="F709">
        <v>7.085462863447986E-2</v>
      </c>
      <c r="G709" s="40">
        <f t="shared" si="27"/>
        <v>0</v>
      </c>
      <c r="H709" s="33">
        <f t="shared" si="28"/>
        <v>-7.085462863447986E-2</v>
      </c>
      <c r="I709" s="43"/>
      <c r="K709"/>
      <c r="L709"/>
    </row>
    <row r="710" spans="2:12" ht="15">
      <c r="B710" s="32">
        <v>1</v>
      </c>
      <c r="C710" s="66" t="s">
        <v>62</v>
      </c>
      <c r="D710" s="64">
        <v>42346</v>
      </c>
      <c r="E710">
        <v>-2.0780558895853396E-2</v>
      </c>
      <c r="F710">
        <v>7.1501651647413789E-2</v>
      </c>
      <c r="G710" s="40">
        <f t="shared" ref="G710:G773" si="29">--(E710&lt;-F710)</f>
        <v>0</v>
      </c>
      <c r="H710" s="33">
        <f t="shared" ref="H710:H773" si="30">-F710</f>
        <v>-7.1501651647413789E-2</v>
      </c>
      <c r="I710" s="43"/>
      <c r="K710"/>
      <c r="L710"/>
    </row>
    <row r="711" spans="2:12" ht="15">
      <c r="B711" s="32">
        <v>1</v>
      </c>
      <c r="C711" s="66" t="s">
        <v>62</v>
      </c>
      <c r="D711" s="64">
        <v>42347</v>
      </c>
      <c r="E711">
        <v>-4.2333764778934579E-3</v>
      </c>
      <c r="F711">
        <v>7.0857880629809203E-2</v>
      </c>
      <c r="G711" s="40">
        <f t="shared" si="29"/>
        <v>0</v>
      </c>
      <c r="H711" s="33">
        <f t="shared" si="30"/>
        <v>-7.0857880629809203E-2</v>
      </c>
      <c r="I711" s="43"/>
      <c r="K711"/>
      <c r="L711"/>
    </row>
    <row r="712" spans="2:12" ht="15">
      <c r="B712" s="32">
        <v>1</v>
      </c>
      <c r="C712" s="66" t="s">
        <v>62</v>
      </c>
      <c r="D712" s="64">
        <v>42348</v>
      </c>
      <c r="E712">
        <v>5.8593634663681726E-3</v>
      </c>
      <c r="F712">
        <v>7.093058523767154E-2</v>
      </c>
      <c r="G712" s="40">
        <f t="shared" si="29"/>
        <v>0</v>
      </c>
      <c r="H712" s="33">
        <f t="shared" si="30"/>
        <v>-7.093058523767154E-2</v>
      </c>
      <c r="I712" s="43"/>
      <c r="K712"/>
      <c r="L712"/>
    </row>
    <row r="713" spans="2:12" ht="15">
      <c r="B713" s="32">
        <v>1</v>
      </c>
      <c r="C713" s="66" t="s">
        <v>62</v>
      </c>
      <c r="D713" s="64">
        <v>42349</v>
      </c>
      <c r="E713">
        <v>2.3873315564700626E-2</v>
      </c>
      <c r="F713">
        <v>7.7130044506412698E-2</v>
      </c>
      <c r="G713" s="40">
        <f t="shared" si="29"/>
        <v>0</v>
      </c>
      <c r="H713" s="33">
        <f t="shared" si="30"/>
        <v>-7.7130044506412698E-2</v>
      </c>
      <c r="I713" s="43"/>
      <c r="K713"/>
      <c r="L713"/>
    </row>
    <row r="714" spans="2:12" ht="15">
      <c r="B714" s="32">
        <v>1</v>
      </c>
      <c r="C714" s="66" t="s">
        <v>62</v>
      </c>
      <c r="D714" s="64">
        <v>42352</v>
      </c>
      <c r="E714">
        <v>1.6948091300733381E-2</v>
      </c>
      <c r="F714">
        <v>7.4671644341192805E-2</v>
      </c>
      <c r="G714" s="40">
        <f t="shared" si="29"/>
        <v>0</v>
      </c>
      <c r="H714" s="33">
        <f t="shared" si="30"/>
        <v>-7.4671644341192805E-2</v>
      </c>
      <c r="I714" s="43"/>
      <c r="K714"/>
      <c r="L714"/>
    </row>
    <row r="715" spans="2:12" ht="15">
      <c r="B715" s="32">
        <v>1</v>
      </c>
      <c r="C715" s="66" t="s">
        <v>62</v>
      </c>
      <c r="D715" s="64">
        <v>42353</v>
      </c>
      <c r="E715">
        <v>1.6959175051870723E-2</v>
      </c>
      <c r="F715">
        <v>7.4424962761113198E-2</v>
      </c>
      <c r="G715" s="40">
        <f t="shared" si="29"/>
        <v>0</v>
      </c>
      <c r="H715" s="33">
        <f t="shared" si="30"/>
        <v>-7.4424962761113198E-2</v>
      </c>
      <c r="I715" s="43"/>
      <c r="K715"/>
      <c r="L715"/>
    </row>
    <row r="716" spans="2:12" ht="15">
      <c r="B716" s="32">
        <v>1</v>
      </c>
      <c r="C716" s="66" t="s">
        <v>62</v>
      </c>
      <c r="D716" s="64">
        <v>42354</v>
      </c>
      <c r="E716">
        <v>-4.6948592987350324E-3</v>
      </c>
      <c r="F716">
        <v>7.4228055465445586E-2</v>
      </c>
      <c r="G716" s="40">
        <f t="shared" si="29"/>
        <v>0</v>
      </c>
      <c r="H716" s="33">
        <f t="shared" si="30"/>
        <v>-7.4228055465445586E-2</v>
      </c>
      <c r="I716" s="43"/>
      <c r="K716"/>
      <c r="L716"/>
    </row>
    <row r="717" spans="2:12" ht="15">
      <c r="B717" s="32">
        <v>1</v>
      </c>
      <c r="C717" s="66" t="s">
        <v>62</v>
      </c>
      <c r="D717" s="64">
        <v>42355</v>
      </c>
      <c r="E717">
        <v>1.003431955846068E-3</v>
      </c>
      <c r="F717">
        <v>7.8333425002065402E-2</v>
      </c>
      <c r="G717" s="40">
        <f t="shared" si="29"/>
        <v>0</v>
      </c>
      <c r="H717" s="33">
        <f t="shared" si="30"/>
        <v>-7.8333425002065402E-2</v>
      </c>
      <c r="I717" s="43"/>
      <c r="K717"/>
      <c r="L717"/>
    </row>
    <row r="718" spans="2:12" ht="15">
      <c r="B718" s="32">
        <v>1</v>
      </c>
      <c r="C718" s="66" t="s">
        <v>62</v>
      </c>
      <c r="D718" s="64">
        <v>42356</v>
      </c>
      <c r="E718">
        <v>3.5388853611024729E-3</v>
      </c>
      <c r="F718">
        <v>7.8279221012808903E-2</v>
      </c>
      <c r="G718" s="40">
        <f t="shared" si="29"/>
        <v>0</v>
      </c>
      <c r="H718" s="33">
        <f t="shared" si="30"/>
        <v>-7.8279221012808903E-2</v>
      </c>
      <c r="I718" s="43"/>
      <c r="K718"/>
      <c r="L718"/>
    </row>
    <row r="719" spans="2:12" ht="15">
      <c r="B719" s="32">
        <v>1</v>
      </c>
      <c r="C719" s="66" t="s">
        <v>62</v>
      </c>
      <c r="D719" s="64">
        <v>42359</v>
      </c>
      <c r="E719">
        <v>-2.1992168158604386E-3</v>
      </c>
      <c r="F719">
        <v>7.9773443254079965E-2</v>
      </c>
      <c r="G719" s="40">
        <f t="shared" si="29"/>
        <v>0</v>
      </c>
      <c r="H719" s="33">
        <f t="shared" si="30"/>
        <v>-7.9773443254079965E-2</v>
      </c>
      <c r="I719" s="43"/>
      <c r="K719"/>
      <c r="L719"/>
    </row>
    <row r="720" spans="2:12" ht="15">
      <c r="B720" s="32">
        <v>1</v>
      </c>
      <c r="C720" s="66" t="s">
        <v>62</v>
      </c>
      <c r="D720" s="64">
        <v>42360</v>
      </c>
      <c r="E720">
        <v>-2.4179475673750339E-2</v>
      </c>
      <c r="F720">
        <v>8.1040409261594865E-2</v>
      </c>
      <c r="G720" s="40">
        <f t="shared" si="29"/>
        <v>0</v>
      </c>
      <c r="H720" s="33">
        <f t="shared" si="30"/>
        <v>-8.1040409261594865E-2</v>
      </c>
      <c r="I720" s="43"/>
      <c r="K720"/>
      <c r="L720"/>
    </row>
    <row r="721" spans="2:12" ht="15">
      <c r="B721" s="32">
        <v>1</v>
      </c>
      <c r="C721" s="66" t="s">
        <v>62</v>
      </c>
      <c r="D721" s="64">
        <v>42361</v>
      </c>
      <c r="E721">
        <v>-6.0506888570057704E-2</v>
      </c>
      <c r="F721">
        <v>8.3886363804045086E-2</v>
      </c>
      <c r="G721" s="40">
        <f t="shared" si="29"/>
        <v>0</v>
      </c>
      <c r="H721" s="33">
        <f t="shared" si="30"/>
        <v>-8.3886363804045086E-2</v>
      </c>
      <c r="I721" s="43"/>
      <c r="K721"/>
      <c r="L721"/>
    </row>
    <row r="722" spans="2:12" ht="15">
      <c r="B722" s="32">
        <v>1</v>
      </c>
      <c r="C722" s="66" t="s">
        <v>62</v>
      </c>
      <c r="D722" s="64">
        <v>42362</v>
      </c>
      <c r="E722">
        <v>-6.980451077553429E-2</v>
      </c>
      <c r="F722">
        <v>8.3850910870049755E-2</v>
      </c>
      <c r="G722" s="40">
        <f t="shared" si="29"/>
        <v>0</v>
      </c>
      <c r="H722" s="33">
        <f t="shared" si="30"/>
        <v>-8.3850910870049755E-2</v>
      </c>
      <c r="I722" s="43"/>
      <c r="K722"/>
      <c r="L722"/>
    </row>
    <row r="723" spans="2:12" ht="15">
      <c r="B723" s="32">
        <v>1</v>
      </c>
      <c r="C723" s="66" t="s">
        <v>62</v>
      </c>
      <c r="D723" s="64">
        <v>42366</v>
      </c>
      <c r="E723">
        <v>-6.6770665954236641E-2</v>
      </c>
      <c r="F723">
        <v>8.3881375812508263E-2</v>
      </c>
      <c r="G723" s="40">
        <f t="shared" si="29"/>
        <v>0</v>
      </c>
      <c r="H723" s="33">
        <f t="shared" si="30"/>
        <v>-8.3881375812508263E-2</v>
      </c>
      <c r="I723" s="43"/>
      <c r="K723"/>
      <c r="L723"/>
    </row>
    <row r="724" spans="2:12" ht="15">
      <c r="B724" s="32">
        <v>1</v>
      </c>
      <c r="C724" s="66" t="s">
        <v>62</v>
      </c>
      <c r="D724" s="64">
        <v>42367</v>
      </c>
      <c r="E724">
        <v>-6.9571815685826266E-2</v>
      </c>
      <c r="F724">
        <v>8.5819566076452442E-2</v>
      </c>
      <c r="G724" s="40">
        <f t="shared" si="29"/>
        <v>0</v>
      </c>
      <c r="H724" s="33">
        <f t="shared" si="30"/>
        <v>-8.5819566076452442E-2</v>
      </c>
      <c r="I724" s="43"/>
      <c r="K724"/>
      <c r="L724"/>
    </row>
    <row r="725" spans="2:12" ht="15">
      <c r="B725" s="32">
        <v>1</v>
      </c>
      <c r="C725" s="66" t="s">
        <v>62</v>
      </c>
      <c r="D725" s="64">
        <v>42368</v>
      </c>
      <c r="E725">
        <v>-8.761079228463764E-2</v>
      </c>
      <c r="F725">
        <v>8.6277372922633516E-2</v>
      </c>
      <c r="G725" s="40">
        <f t="shared" si="29"/>
        <v>1</v>
      </c>
      <c r="H725" s="33">
        <f t="shared" si="30"/>
        <v>-8.6277372922633516E-2</v>
      </c>
      <c r="I725" s="43">
        <f t="shared" ref="I686:I749" si="31">IF(G725=0,"",E725)</f>
        <v>-8.761079228463764E-2</v>
      </c>
      <c r="K725"/>
      <c r="L725"/>
    </row>
    <row r="726" spans="2:12" ht="15">
      <c r="B726" s="32">
        <v>1</v>
      </c>
      <c r="C726" s="66" t="s">
        <v>62</v>
      </c>
      <c r="D726" s="64">
        <v>42369</v>
      </c>
      <c r="E726">
        <v>-6.15962460639361E-2</v>
      </c>
      <c r="F726">
        <v>8.5356939870089785E-2</v>
      </c>
      <c r="G726" s="40">
        <f t="shared" si="29"/>
        <v>0</v>
      </c>
      <c r="H726" s="33">
        <f t="shared" si="30"/>
        <v>-8.5356939870089785E-2</v>
      </c>
      <c r="I726" s="43"/>
      <c r="K726"/>
      <c r="L726"/>
    </row>
    <row r="727" spans="2:12" ht="15">
      <c r="B727" s="32">
        <v>1</v>
      </c>
      <c r="C727" s="66" t="s">
        <v>62</v>
      </c>
      <c r="D727" s="64">
        <v>42373</v>
      </c>
      <c r="E727">
        <v>-6.8009977196354932E-2</v>
      </c>
      <c r="F727">
        <v>8.6972905604095277E-2</v>
      </c>
      <c r="G727" s="40">
        <f t="shared" si="29"/>
        <v>0</v>
      </c>
      <c r="H727" s="33">
        <f t="shared" si="30"/>
        <v>-8.6972905604095277E-2</v>
      </c>
      <c r="I727" s="43"/>
      <c r="K727"/>
      <c r="L727"/>
    </row>
    <row r="728" spans="2:12" ht="15">
      <c r="B728" s="32">
        <v>1</v>
      </c>
      <c r="C728" s="66" t="s">
        <v>62</v>
      </c>
      <c r="D728" s="64">
        <v>42374</v>
      </c>
      <c r="E728">
        <v>-6.9488501268539338E-2</v>
      </c>
      <c r="F728">
        <v>8.43317522278028E-2</v>
      </c>
      <c r="G728" s="40">
        <f t="shared" si="29"/>
        <v>0</v>
      </c>
      <c r="H728" s="33">
        <f t="shared" si="30"/>
        <v>-8.43317522278028E-2</v>
      </c>
      <c r="I728" s="43"/>
      <c r="K728"/>
      <c r="L728"/>
    </row>
    <row r="729" spans="2:12" ht="15">
      <c r="B729" s="32">
        <v>1</v>
      </c>
      <c r="C729" s="66" t="s">
        <v>62</v>
      </c>
      <c r="D729" s="64">
        <v>42375</v>
      </c>
      <c r="E729">
        <v>-6.8049104378926195E-2</v>
      </c>
      <c r="F729">
        <v>7.8624529354659134E-2</v>
      </c>
      <c r="G729" s="40">
        <f t="shared" si="29"/>
        <v>0</v>
      </c>
      <c r="H729" s="33">
        <f t="shared" si="30"/>
        <v>-7.8624529354659134E-2</v>
      </c>
      <c r="I729" s="43"/>
      <c r="K729"/>
      <c r="L729"/>
    </row>
    <row r="730" spans="2:12" ht="15">
      <c r="B730" s="32">
        <v>1</v>
      </c>
      <c r="C730" s="66" t="s">
        <v>62</v>
      </c>
      <c r="D730" s="64">
        <v>42376</v>
      </c>
      <c r="E730">
        <v>-3.8881299294336813E-2</v>
      </c>
      <c r="F730">
        <v>8.5737700858664986E-2</v>
      </c>
      <c r="G730" s="40">
        <f t="shared" si="29"/>
        <v>0</v>
      </c>
      <c r="H730" s="33">
        <f t="shared" si="30"/>
        <v>-8.5737700858664986E-2</v>
      </c>
      <c r="I730" s="43"/>
      <c r="K730"/>
      <c r="L730"/>
    </row>
    <row r="731" spans="2:12" ht="15">
      <c r="B731" s="32">
        <v>1</v>
      </c>
      <c r="C731" s="66" t="s">
        <v>62</v>
      </c>
      <c r="D731" s="64">
        <v>42377</v>
      </c>
      <c r="E731">
        <v>-7.9030348110773474E-3</v>
      </c>
      <c r="F731">
        <v>8.6485436547976899E-2</v>
      </c>
      <c r="G731" s="40">
        <f t="shared" si="29"/>
        <v>0</v>
      </c>
      <c r="H731" s="33">
        <f t="shared" si="30"/>
        <v>-8.6485436547976899E-2</v>
      </c>
      <c r="I731" s="43"/>
      <c r="K731"/>
      <c r="L731"/>
    </row>
    <row r="732" spans="2:12" ht="15">
      <c r="B732" s="32">
        <v>1</v>
      </c>
      <c r="C732" s="66" t="s">
        <v>62</v>
      </c>
      <c r="D732" s="64">
        <v>42380</v>
      </c>
      <c r="E732">
        <v>-2.4517488274605093E-2</v>
      </c>
      <c r="F732">
        <v>8.6410055077609696E-2</v>
      </c>
      <c r="G732" s="40">
        <f t="shared" si="29"/>
        <v>0</v>
      </c>
      <c r="H732" s="33">
        <f t="shared" si="30"/>
        <v>-8.6410055077609696E-2</v>
      </c>
      <c r="I732" s="43"/>
      <c r="K732"/>
      <c r="L732"/>
    </row>
    <row r="733" spans="2:12" ht="15">
      <c r="B733" s="32">
        <v>1</v>
      </c>
      <c r="C733" s="66" t="s">
        <v>62</v>
      </c>
      <c r="D733" s="64">
        <v>42381</v>
      </c>
      <c r="E733">
        <v>-1.8244764591991647E-2</v>
      </c>
      <c r="F733">
        <v>8.7757852883295837E-2</v>
      </c>
      <c r="G733" s="40">
        <f t="shared" si="29"/>
        <v>0</v>
      </c>
      <c r="H733" s="33">
        <f t="shared" si="30"/>
        <v>-8.7757852883295837E-2</v>
      </c>
      <c r="I733" s="43"/>
      <c r="K733"/>
      <c r="L733"/>
    </row>
    <row r="734" spans="2:12" ht="15">
      <c r="B734" s="32">
        <v>1</v>
      </c>
      <c r="C734" s="66" t="s">
        <v>62</v>
      </c>
      <c r="D734" s="64">
        <v>42382</v>
      </c>
      <c r="E734">
        <v>-3.885311661294466E-3</v>
      </c>
      <c r="F734">
        <v>9.1119700825203001E-2</v>
      </c>
      <c r="G734" s="40">
        <f t="shared" si="29"/>
        <v>0</v>
      </c>
      <c r="H734" s="33">
        <f t="shared" si="30"/>
        <v>-9.1119700825203001E-2</v>
      </c>
      <c r="I734" s="43"/>
      <c r="K734"/>
      <c r="L734"/>
    </row>
    <row r="735" spans="2:12" ht="15">
      <c r="B735" s="32">
        <v>1</v>
      </c>
      <c r="C735" s="66" t="s">
        <v>62</v>
      </c>
      <c r="D735" s="64">
        <v>42383</v>
      </c>
      <c r="E735">
        <v>-1.4930022223040851E-2</v>
      </c>
      <c r="F735">
        <v>9.5688812064300424E-2</v>
      </c>
      <c r="G735" s="40">
        <f t="shared" si="29"/>
        <v>0</v>
      </c>
      <c r="H735" s="33">
        <f t="shared" si="30"/>
        <v>-9.5688812064300424E-2</v>
      </c>
      <c r="I735" s="43"/>
      <c r="K735"/>
      <c r="L735"/>
    </row>
    <row r="736" spans="2:12" ht="15">
      <c r="B736" s="32">
        <v>1</v>
      </c>
      <c r="C736" s="66" t="s">
        <v>62</v>
      </c>
      <c r="D736" s="64">
        <v>42384</v>
      </c>
      <c r="E736">
        <v>3.1364401657145713E-2</v>
      </c>
      <c r="F736">
        <v>9.7905381066596062E-2</v>
      </c>
      <c r="G736" s="40">
        <f t="shared" si="29"/>
        <v>0</v>
      </c>
      <c r="H736" s="33">
        <f t="shared" si="30"/>
        <v>-9.7905381066596062E-2</v>
      </c>
      <c r="I736" s="43"/>
      <c r="K736"/>
      <c r="L736"/>
    </row>
    <row r="737" spans="2:12" ht="15">
      <c r="B737" s="32">
        <v>1</v>
      </c>
      <c r="C737" s="66" t="s">
        <v>62</v>
      </c>
      <c r="D737" s="64">
        <v>42388</v>
      </c>
      <c r="E737">
        <v>3.0389386805381058E-2</v>
      </c>
      <c r="F737">
        <v>9.3284439750103518E-2</v>
      </c>
      <c r="G737" s="40">
        <f t="shared" si="29"/>
        <v>0</v>
      </c>
      <c r="H737" s="33">
        <f t="shared" si="30"/>
        <v>-9.3284439750103518E-2</v>
      </c>
      <c r="I737" s="43"/>
      <c r="K737"/>
      <c r="L737"/>
    </row>
    <row r="738" spans="2:12" ht="15">
      <c r="B738" s="32">
        <v>1</v>
      </c>
      <c r="C738" s="66" t="s">
        <v>62</v>
      </c>
      <c r="D738" s="64">
        <v>42389</v>
      </c>
      <c r="E738">
        <v>2.3231183896966101E-2</v>
      </c>
      <c r="F738">
        <v>9.2402796091087161E-2</v>
      </c>
      <c r="G738" s="40">
        <f t="shared" si="29"/>
        <v>0</v>
      </c>
      <c r="H738" s="33">
        <f t="shared" si="30"/>
        <v>-9.2402796091087161E-2</v>
      </c>
      <c r="I738" s="43"/>
      <c r="K738"/>
      <c r="L738"/>
    </row>
    <row r="739" spans="2:12" ht="15">
      <c r="B739" s="32">
        <v>1</v>
      </c>
      <c r="C739" s="66" t="s">
        <v>62</v>
      </c>
      <c r="D739" s="64">
        <v>42390</v>
      </c>
      <c r="E739">
        <v>2.3028815379356082E-2</v>
      </c>
      <c r="F739">
        <v>9.0707617455609707E-2</v>
      </c>
      <c r="G739" s="40">
        <f t="shared" si="29"/>
        <v>0</v>
      </c>
      <c r="H739" s="33">
        <f t="shared" si="30"/>
        <v>-9.0707617455609707E-2</v>
      </c>
      <c r="I739" s="43"/>
      <c r="K739"/>
      <c r="L739"/>
    </row>
    <row r="740" spans="2:12" ht="15">
      <c r="B740" s="32">
        <v>1</v>
      </c>
      <c r="C740" s="66" t="s">
        <v>62</v>
      </c>
      <c r="D740" s="64">
        <v>42391</v>
      </c>
      <c r="E740">
        <v>4.4736569468977194E-3</v>
      </c>
      <c r="F740">
        <v>9.6752672366260548E-2</v>
      </c>
      <c r="G740" s="40">
        <f t="shared" si="29"/>
        <v>0</v>
      </c>
      <c r="H740" s="33">
        <f t="shared" si="30"/>
        <v>-9.6752672366260548E-2</v>
      </c>
      <c r="I740" s="43"/>
      <c r="K740"/>
      <c r="L740"/>
    </row>
    <row r="741" spans="2:12" ht="15">
      <c r="B741" s="32">
        <v>1</v>
      </c>
      <c r="C741" s="66" t="s">
        <v>62</v>
      </c>
      <c r="D741" s="64">
        <v>42394</v>
      </c>
      <c r="E741">
        <v>1.581043836514695E-3</v>
      </c>
      <c r="F741">
        <v>9.6846378687129558E-2</v>
      </c>
      <c r="G741" s="40">
        <f t="shared" si="29"/>
        <v>0</v>
      </c>
      <c r="H741" s="33">
        <f t="shared" si="30"/>
        <v>-9.6846378687129558E-2</v>
      </c>
      <c r="I741" s="43"/>
      <c r="K741"/>
      <c r="L741"/>
    </row>
    <row r="742" spans="2:12" ht="15">
      <c r="B742" s="32">
        <v>1</v>
      </c>
      <c r="C742" s="66" t="s">
        <v>62</v>
      </c>
      <c r="D742" s="64">
        <v>42395</v>
      </c>
      <c r="E742">
        <v>-2.6719252318212483E-2</v>
      </c>
      <c r="F742">
        <v>9.7656594390966911E-2</v>
      </c>
      <c r="G742" s="40">
        <f t="shared" si="29"/>
        <v>0</v>
      </c>
      <c r="H742" s="33">
        <f t="shared" si="30"/>
        <v>-9.7656594390966911E-2</v>
      </c>
      <c r="I742" s="43"/>
      <c r="K742"/>
      <c r="L742"/>
    </row>
    <row r="743" spans="2:12" ht="15">
      <c r="B743" s="32">
        <v>1</v>
      </c>
      <c r="C743" s="66" t="s">
        <v>62</v>
      </c>
      <c r="D743" s="64">
        <v>42396</v>
      </c>
      <c r="E743">
        <v>-1.6460170258674189E-2</v>
      </c>
      <c r="F743">
        <v>9.8218437876562495E-2</v>
      </c>
      <c r="G743" s="40">
        <f t="shared" si="29"/>
        <v>0</v>
      </c>
      <c r="H743" s="33">
        <f t="shared" si="30"/>
        <v>-9.8218437876562495E-2</v>
      </c>
      <c r="I743" s="43"/>
      <c r="K743"/>
      <c r="L743"/>
    </row>
    <row r="744" spans="2:12" ht="15">
      <c r="B744" s="32">
        <v>1</v>
      </c>
      <c r="C744" s="66" t="s">
        <v>62</v>
      </c>
      <c r="D744" s="64">
        <v>42397</v>
      </c>
      <c r="E744">
        <v>-2.2162489236210448E-2</v>
      </c>
      <c r="F744">
        <v>9.943722987747107E-2</v>
      </c>
      <c r="G744" s="40">
        <f t="shared" si="29"/>
        <v>0</v>
      </c>
      <c r="H744" s="33">
        <f t="shared" si="30"/>
        <v>-9.943722987747107E-2</v>
      </c>
      <c r="I744" s="43"/>
      <c r="K744"/>
      <c r="L744"/>
    </row>
    <row r="745" spans="2:12" ht="15">
      <c r="B745" s="32">
        <v>1</v>
      </c>
      <c r="C745" s="66" t="s">
        <v>62</v>
      </c>
      <c r="D745" s="64">
        <v>42398</v>
      </c>
      <c r="E745">
        <v>-5.8998587464964558E-2</v>
      </c>
      <c r="F745">
        <v>0.10712100913780195</v>
      </c>
      <c r="G745" s="40">
        <f t="shared" si="29"/>
        <v>0</v>
      </c>
      <c r="H745" s="33">
        <f t="shared" si="30"/>
        <v>-0.10712100913780195</v>
      </c>
      <c r="I745" s="43"/>
      <c r="K745"/>
      <c r="L745"/>
    </row>
    <row r="746" spans="2:12" ht="15">
      <c r="B746" s="32">
        <v>1</v>
      </c>
      <c r="C746" s="66" t="s">
        <v>62</v>
      </c>
      <c r="D746" s="64">
        <v>42401</v>
      </c>
      <c r="E746">
        <v>-3.9225237722900985E-2</v>
      </c>
      <c r="F746">
        <v>0.1069954322050117</v>
      </c>
      <c r="G746" s="40">
        <f t="shared" si="29"/>
        <v>0</v>
      </c>
      <c r="H746" s="33">
        <f t="shared" si="30"/>
        <v>-0.1069954322050117</v>
      </c>
      <c r="I746" s="43"/>
      <c r="K746"/>
      <c r="L746"/>
    </row>
    <row r="747" spans="2:12" ht="15">
      <c r="B747" s="32">
        <v>1</v>
      </c>
      <c r="C747" s="66" t="s">
        <v>62</v>
      </c>
      <c r="D747" s="64">
        <v>42402</v>
      </c>
      <c r="E747">
        <v>-3.9225309162072008E-3</v>
      </c>
      <c r="F747">
        <v>0.1095996993180543</v>
      </c>
      <c r="G747" s="40">
        <f t="shared" si="29"/>
        <v>0</v>
      </c>
      <c r="H747" s="33">
        <f t="shared" si="30"/>
        <v>-0.1095996993180543</v>
      </c>
      <c r="I747" s="43"/>
      <c r="K747"/>
      <c r="L747"/>
    </row>
    <row r="748" spans="2:12" ht="15">
      <c r="B748" s="32">
        <v>1</v>
      </c>
      <c r="C748" s="66" t="s">
        <v>62</v>
      </c>
      <c r="D748" s="64">
        <v>42403</v>
      </c>
      <c r="E748">
        <v>7.443959565915037E-3</v>
      </c>
      <c r="F748">
        <v>0.10843221923367269</v>
      </c>
      <c r="G748" s="40">
        <f t="shared" si="29"/>
        <v>0</v>
      </c>
      <c r="H748" s="33">
        <f t="shared" si="30"/>
        <v>-0.10843221923367269</v>
      </c>
      <c r="I748" s="43"/>
      <c r="K748"/>
      <c r="L748"/>
    </row>
    <row r="749" spans="2:12" ht="15">
      <c r="B749" s="32">
        <v>1</v>
      </c>
      <c r="C749" s="66" t="s">
        <v>62</v>
      </c>
      <c r="D749" s="64">
        <v>42404</v>
      </c>
      <c r="E749">
        <v>1.2417592054667637E-3</v>
      </c>
      <c r="F749">
        <v>0.10838129756562342</v>
      </c>
      <c r="G749" s="40">
        <f t="shared" si="29"/>
        <v>0</v>
      </c>
      <c r="H749" s="33">
        <f t="shared" si="30"/>
        <v>-0.10838129756562342</v>
      </c>
      <c r="I749" s="43"/>
      <c r="K749"/>
      <c r="L749"/>
    </row>
    <row r="750" spans="2:12" ht="15">
      <c r="B750" s="32">
        <v>1</v>
      </c>
      <c r="C750" s="66" t="s">
        <v>62</v>
      </c>
      <c r="D750" s="64">
        <v>42405</v>
      </c>
      <c r="E750">
        <v>1.9869883892578599E-2</v>
      </c>
      <c r="F750">
        <v>0.11018287475385451</v>
      </c>
      <c r="G750" s="40">
        <f t="shared" si="29"/>
        <v>0</v>
      </c>
      <c r="H750" s="33">
        <f t="shared" si="30"/>
        <v>-0.11018287475385451</v>
      </c>
      <c r="I750" s="43"/>
      <c r="K750"/>
      <c r="L750"/>
    </row>
    <row r="751" spans="2:12" ht="15">
      <c r="B751" s="32">
        <v>1</v>
      </c>
      <c r="C751" s="66" t="s">
        <v>62</v>
      </c>
      <c r="D751" s="64">
        <v>42408</v>
      </c>
      <c r="E751">
        <v>4.8475673380122153E-2</v>
      </c>
      <c r="F751">
        <v>0.1061320113621752</v>
      </c>
      <c r="G751" s="40">
        <f t="shared" si="29"/>
        <v>0</v>
      </c>
      <c r="H751" s="33">
        <f t="shared" si="30"/>
        <v>-0.1061320113621752</v>
      </c>
      <c r="I751" s="43"/>
      <c r="K751"/>
      <c r="L751"/>
    </row>
    <row r="752" spans="2:12" ht="15">
      <c r="B752" s="32">
        <v>1</v>
      </c>
      <c r="C752" s="66" t="s">
        <v>62</v>
      </c>
      <c r="D752" s="64">
        <v>42409</v>
      </c>
      <c r="E752">
        <v>3.6606936447141969E-2</v>
      </c>
      <c r="F752">
        <v>0.10514242681191599</v>
      </c>
      <c r="G752" s="40">
        <f t="shared" si="29"/>
        <v>0</v>
      </c>
      <c r="H752" s="33">
        <f t="shared" si="30"/>
        <v>-0.10514242681191599</v>
      </c>
      <c r="I752" s="43"/>
      <c r="K752"/>
      <c r="L752"/>
    </row>
    <row r="753" spans="2:12" ht="15">
      <c r="B753" s="32">
        <v>1</v>
      </c>
      <c r="C753" s="66" t="s">
        <v>62</v>
      </c>
      <c r="D753" s="64">
        <v>42410</v>
      </c>
      <c r="E753">
        <v>4.1225864681205593E-2</v>
      </c>
      <c r="F753">
        <v>0.1050855985324918</v>
      </c>
      <c r="G753" s="40">
        <f t="shared" si="29"/>
        <v>0</v>
      </c>
      <c r="H753" s="33">
        <f t="shared" si="30"/>
        <v>-0.1050855985324918</v>
      </c>
      <c r="I753" s="43"/>
      <c r="K753"/>
      <c r="L753"/>
    </row>
    <row r="754" spans="2:12" ht="15">
      <c r="B754" s="32">
        <v>1</v>
      </c>
      <c r="C754" s="66" t="s">
        <v>62</v>
      </c>
      <c r="D754" s="64">
        <v>42411</v>
      </c>
      <c r="E754">
        <v>6.4887678403841242E-2</v>
      </c>
      <c r="F754">
        <v>0.10509134298902953</v>
      </c>
      <c r="G754" s="40">
        <f t="shared" si="29"/>
        <v>0</v>
      </c>
      <c r="H754" s="33">
        <f t="shared" si="30"/>
        <v>-0.10509134298902953</v>
      </c>
      <c r="I754" s="43"/>
      <c r="K754"/>
      <c r="L754"/>
    </row>
    <row r="755" spans="2:12" ht="15">
      <c r="B755" s="32">
        <v>1</v>
      </c>
      <c r="C755" s="66" t="s">
        <v>62</v>
      </c>
      <c r="D755" s="64">
        <v>42412</v>
      </c>
      <c r="E755">
        <v>4.3685798172826473E-2</v>
      </c>
      <c r="F755">
        <v>0.10362545487441296</v>
      </c>
      <c r="G755" s="40">
        <f t="shared" si="29"/>
        <v>0</v>
      </c>
      <c r="H755" s="33">
        <f t="shared" si="30"/>
        <v>-0.10362545487441296</v>
      </c>
      <c r="I755" s="43"/>
      <c r="K755"/>
      <c r="L755"/>
    </row>
    <row r="756" spans="2:12" ht="15">
      <c r="B756" s="32">
        <v>1</v>
      </c>
      <c r="C756" s="66" t="s">
        <v>62</v>
      </c>
      <c r="D756" s="64">
        <v>42416</v>
      </c>
      <c r="E756">
        <v>1.9149928878393396E-2</v>
      </c>
      <c r="F756">
        <v>0.10354659550262303</v>
      </c>
      <c r="G756" s="40">
        <f t="shared" si="29"/>
        <v>0</v>
      </c>
      <c r="H756" s="33">
        <f t="shared" si="30"/>
        <v>-0.10354659550262303</v>
      </c>
      <c r="I756" s="43"/>
      <c r="K756"/>
      <c r="L756"/>
    </row>
    <row r="757" spans="2:12" ht="15">
      <c r="B757" s="32">
        <v>1</v>
      </c>
      <c r="C757" s="66" t="s">
        <v>62</v>
      </c>
      <c r="D757" s="64">
        <v>42417</v>
      </c>
      <c r="E757">
        <v>2.6392204227433602E-2</v>
      </c>
      <c r="F757">
        <v>0.10050991213736182</v>
      </c>
      <c r="G757" s="40">
        <f t="shared" si="29"/>
        <v>0</v>
      </c>
      <c r="H757" s="33">
        <f t="shared" si="30"/>
        <v>-0.10050991213736182</v>
      </c>
      <c r="I757" s="43"/>
      <c r="K757"/>
      <c r="L757"/>
    </row>
    <row r="758" spans="2:12" ht="15">
      <c r="B758" s="32">
        <v>1</v>
      </c>
      <c r="C758" s="66" t="s">
        <v>62</v>
      </c>
      <c r="D758" s="64">
        <v>42418</v>
      </c>
      <c r="E758">
        <v>3.5154785795144861E-2</v>
      </c>
      <c r="F758">
        <v>0.1009452613954815</v>
      </c>
      <c r="G758" s="40">
        <f t="shared" si="29"/>
        <v>0</v>
      </c>
      <c r="H758" s="33">
        <f t="shared" si="30"/>
        <v>-0.1009452613954815</v>
      </c>
      <c r="I758" s="43"/>
      <c r="K758"/>
      <c r="L758"/>
    </row>
    <row r="759" spans="2:12" ht="15">
      <c r="B759" s="32">
        <v>1</v>
      </c>
      <c r="C759" s="66" t="s">
        <v>62</v>
      </c>
      <c r="D759" s="64">
        <v>42419</v>
      </c>
      <c r="E759">
        <v>3.8673453402356728E-2</v>
      </c>
      <c r="F759">
        <v>9.8689795258156771E-2</v>
      </c>
      <c r="G759" s="40">
        <f t="shared" si="29"/>
        <v>0</v>
      </c>
      <c r="H759" s="33">
        <f t="shared" si="30"/>
        <v>-9.8689795258156771E-2</v>
      </c>
      <c r="I759" s="43"/>
      <c r="K759"/>
      <c r="L759"/>
    </row>
    <row r="760" spans="2:12" ht="15">
      <c r="B760" s="32">
        <v>1</v>
      </c>
      <c r="C760" s="66" t="s">
        <v>62</v>
      </c>
      <c r="D760" s="64">
        <v>42422</v>
      </c>
      <c r="E760">
        <v>2.7623162104948307E-2</v>
      </c>
      <c r="F760">
        <v>0.10069914114064486</v>
      </c>
      <c r="G760" s="40">
        <f t="shared" si="29"/>
        <v>0</v>
      </c>
      <c r="H760" s="33">
        <f t="shared" si="30"/>
        <v>-0.10069914114064486</v>
      </c>
      <c r="I760" s="43"/>
      <c r="K760"/>
      <c r="L760"/>
    </row>
    <row r="761" spans="2:12" ht="15">
      <c r="B761" s="32">
        <v>1</v>
      </c>
      <c r="C761" s="66" t="s">
        <v>62</v>
      </c>
      <c r="D761" s="64">
        <v>42423</v>
      </c>
      <c r="E761">
        <v>4.1040362466894464E-2</v>
      </c>
      <c r="F761">
        <v>9.8358253639257501E-2</v>
      </c>
      <c r="G761" s="40">
        <f t="shared" si="29"/>
        <v>0</v>
      </c>
      <c r="H761" s="33">
        <f t="shared" si="30"/>
        <v>-9.8358253639257501E-2</v>
      </c>
      <c r="I761" s="43"/>
      <c r="K761"/>
      <c r="L761"/>
    </row>
    <row r="762" spans="2:12" ht="15">
      <c r="B762" s="32">
        <v>1</v>
      </c>
      <c r="C762" s="66" t="s">
        <v>62</v>
      </c>
      <c r="D762" s="64">
        <v>42424</v>
      </c>
      <c r="E762">
        <v>2.5306646532503585E-2</v>
      </c>
      <c r="F762">
        <v>9.4676402580924621E-2</v>
      </c>
      <c r="G762" s="40">
        <f t="shared" si="29"/>
        <v>0</v>
      </c>
      <c r="H762" s="33">
        <f t="shared" si="30"/>
        <v>-9.4676402580924621E-2</v>
      </c>
      <c r="I762" s="43"/>
      <c r="K762"/>
      <c r="L762"/>
    </row>
    <row r="763" spans="2:12" ht="15">
      <c r="B763" s="32">
        <v>1</v>
      </c>
      <c r="C763" s="66" t="s">
        <v>62</v>
      </c>
      <c r="D763" s="64">
        <v>42425</v>
      </c>
      <c r="E763">
        <v>1.9061952761398437E-2</v>
      </c>
      <c r="F763">
        <v>9.3771612147061728E-2</v>
      </c>
      <c r="G763" s="40">
        <f t="shared" si="29"/>
        <v>0</v>
      </c>
      <c r="H763" s="33">
        <f t="shared" si="30"/>
        <v>-9.3771612147061728E-2</v>
      </c>
      <c r="I763" s="43"/>
      <c r="K763"/>
      <c r="L763"/>
    </row>
    <row r="764" spans="2:12" ht="15">
      <c r="B764" s="32">
        <v>1</v>
      </c>
      <c r="C764" s="66" t="s">
        <v>62</v>
      </c>
      <c r="D764" s="64">
        <v>42426</v>
      </c>
      <c r="E764">
        <v>2.1089610448683516E-2</v>
      </c>
      <c r="F764">
        <v>9.1711635387029727E-2</v>
      </c>
      <c r="G764" s="40">
        <f t="shared" si="29"/>
        <v>0</v>
      </c>
      <c r="H764" s="33">
        <f t="shared" si="30"/>
        <v>-9.1711635387029727E-2</v>
      </c>
      <c r="I764" s="43"/>
      <c r="K764"/>
      <c r="L764"/>
    </row>
    <row r="765" spans="2:12" ht="15">
      <c r="B765" s="32">
        <v>1</v>
      </c>
      <c r="C765" s="66" t="s">
        <v>62</v>
      </c>
      <c r="D765" s="64">
        <v>42429</v>
      </c>
      <c r="E765">
        <v>4.550628740432483E-2</v>
      </c>
      <c r="F765">
        <v>9.2759567659717324E-2</v>
      </c>
      <c r="G765" s="40">
        <f t="shared" si="29"/>
        <v>0</v>
      </c>
      <c r="H765" s="33">
        <f t="shared" si="30"/>
        <v>-9.2759567659717324E-2</v>
      </c>
      <c r="I765" s="43"/>
      <c r="K765"/>
      <c r="L765"/>
    </row>
    <row r="766" spans="2:12" ht="15">
      <c r="B766" s="32">
        <v>1</v>
      </c>
      <c r="C766" s="66" t="s">
        <v>62</v>
      </c>
      <c r="D766" s="64">
        <v>42430</v>
      </c>
      <c r="E766">
        <v>2.0656133309169711E-2</v>
      </c>
      <c r="F766">
        <v>9.217186068171776E-2</v>
      </c>
      <c r="G766" s="40">
        <f t="shared" si="29"/>
        <v>0</v>
      </c>
      <c r="H766" s="33">
        <f t="shared" si="30"/>
        <v>-9.217186068171776E-2</v>
      </c>
      <c r="I766" s="43"/>
      <c r="K766"/>
      <c r="L766"/>
    </row>
    <row r="767" spans="2:12" ht="15">
      <c r="B767" s="32">
        <v>1</v>
      </c>
      <c r="C767" s="66" t="s">
        <v>62</v>
      </c>
      <c r="D767" s="64">
        <v>42431</v>
      </c>
      <c r="E767">
        <v>1.4731552778887824E-2</v>
      </c>
      <c r="F767">
        <v>9.2276475392515017E-2</v>
      </c>
      <c r="G767" s="40">
        <f t="shared" si="29"/>
        <v>0</v>
      </c>
      <c r="H767" s="33">
        <f t="shared" si="30"/>
        <v>-9.2276475392515017E-2</v>
      </c>
      <c r="I767" s="43"/>
      <c r="K767"/>
      <c r="L767"/>
    </row>
    <row r="768" spans="2:12" ht="15">
      <c r="B768" s="32">
        <v>1</v>
      </c>
      <c r="C768" s="66" t="s">
        <v>62</v>
      </c>
      <c r="D768" s="64">
        <v>42432</v>
      </c>
      <c r="E768">
        <v>1.6823646464598774E-2</v>
      </c>
      <c r="F768">
        <v>8.5883460681402055E-2</v>
      </c>
      <c r="G768" s="40">
        <f t="shared" si="29"/>
        <v>0</v>
      </c>
      <c r="H768" s="33">
        <f t="shared" si="30"/>
        <v>-8.5883460681402055E-2</v>
      </c>
      <c r="I768" s="43"/>
      <c r="K768"/>
      <c r="L768"/>
    </row>
    <row r="769" spans="2:12" ht="15">
      <c r="B769" s="32">
        <v>1</v>
      </c>
      <c r="C769" s="66" t="s">
        <v>62</v>
      </c>
      <c r="D769" s="64">
        <v>42433</v>
      </c>
      <c r="E769">
        <v>2.0096789518337488E-2</v>
      </c>
      <c r="F769">
        <v>8.577913204607901E-2</v>
      </c>
      <c r="G769" s="40">
        <f t="shared" si="29"/>
        <v>0</v>
      </c>
      <c r="H769" s="33">
        <f t="shared" si="30"/>
        <v>-8.577913204607901E-2</v>
      </c>
      <c r="I769" s="43"/>
      <c r="K769"/>
      <c r="L769"/>
    </row>
    <row r="770" spans="2:12" ht="15">
      <c r="B770" s="32">
        <v>1</v>
      </c>
      <c r="C770" s="66" t="s">
        <v>62</v>
      </c>
      <c r="D770" s="64">
        <v>42436</v>
      </c>
      <c r="E770">
        <v>2.3608133585182323E-2</v>
      </c>
      <c r="F770">
        <v>8.5797507859190297E-2</v>
      </c>
      <c r="G770" s="40">
        <f t="shared" si="29"/>
        <v>0</v>
      </c>
      <c r="H770" s="33">
        <f t="shared" si="30"/>
        <v>-8.5797507859190297E-2</v>
      </c>
      <c r="I770" s="43"/>
      <c r="K770"/>
      <c r="L770"/>
    </row>
    <row r="771" spans="2:12" ht="15">
      <c r="B771" s="32">
        <v>1</v>
      </c>
      <c r="C771" s="66" t="s">
        <v>62</v>
      </c>
      <c r="D771" s="64">
        <v>42437</v>
      </c>
      <c r="E771">
        <v>3.5896981772689962E-2</v>
      </c>
      <c r="F771">
        <v>8.1700093375833518E-2</v>
      </c>
      <c r="G771" s="40">
        <f t="shared" si="29"/>
        <v>0</v>
      </c>
      <c r="H771" s="33">
        <f t="shared" si="30"/>
        <v>-8.1700093375833518E-2</v>
      </c>
      <c r="I771" s="43"/>
      <c r="K771"/>
      <c r="L771"/>
    </row>
    <row r="772" spans="2:12" ht="15">
      <c r="B772" s="32">
        <v>1</v>
      </c>
      <c r="C772" s="66" t="s">
        <v>62</v>
      </c>
      <c r="D772" s="64">
        <v>42438</v>
      </c>
      <c r="E772">
        <v>2.9979536009996366E-2</v>
      </c>
      <c r="F772">
        <v>7.6746914033131525E-2</v>
      </c>
      <c r="G772" s="40">
        <f t="shared" si="29"/>
        <v>0</v>
      </c>
      <c r="H772" s="33">
        <f t="shared" si="30"/>
        <v>-7.6746914033131525E-2</v>
      </c>
      <c r="I772" s="43"/>
      <c r="K772"/>
      <c r="L772"/>
    </row>
    <row r="773" spans="2:12" ht="15">
      <c r="B773" s="32">
        <v>1</v>
      </c>
      <c r="C773" s="66" t="s">
        <v>62</v>
      </c>
      <c r="D773" s="64">
        <v>42439</v>
      </c>
      <c r="E773">
        <v>2.3417233892153E-2</v>
      </c>
      <c r="F773">
        <v>7.6641618049927682E-2</v>
      </c>
      <c r="G773" s="40">
        <f t="shared" si="29"/>
        <v>0</v>
      </c>
      <c r="H773" s="33">
        <f t="shared" si="30"/>
        <v>-7.6641618049927682E-2</v>
      </c>
      <c r="I773" s="43"/>
      <c r="K773"/>
      <c r="L773"/>
    </row>
    <row r="774" spans="2:12" ht="15">
      <c r="B774" s="32">
        <v>1</v>
      </c>
      <c r="C774" s="66" t="s">
        <v>62</v>
      </c>
      <c r="D774" s="64">
        <v>42440</v>
      </c>
      <c r="E774">
        <v>6.7765463493048017E-3</v>
      </c>
      <c r="F774">
        <v>7.9065192276546847E-2</v>
      </c>
      <c r="G774" s="40">
        <f t="shared" ref="G774:G837" si="32">--(E774&lt;-F774)</f>
        <v>0</v>
      </c>
      <c r="H774" s="33">
        <f t="shared" ref="H774:H837" si="33">-F774</f>
        <v>-7.9065192276546847E-2</v>
      </c>
      <c r="I774" s="43"/>
      <c r="K774"/>
      <c r="L774"/>
    </row>
    <row r="775" spans="2:12" ht="15">
      <c r="B775" s="32">
        <v>1</v>
      </c>
      <c r="C775" s="66" t="s">
        <v>62</v>
      </c>
      <c r="D775" s="64">
        <v>42443</v>
      </c>
      <c r="E775">
        <v>8.5834217629354725E-3</v>
      </c>
      <c r="F775">
        <v>7.4653053612096801E-2</v>
      </c>
      <c r="G775" s="40">
        <f t="shared" si="32"/>
        <v>0</v>
      </c>
      <c r="H775" s="33">
        <f t="shared" si="33"/>
        <v>-7.4653053612096801E-2</v>
      </c>
      <c r="I775" s="43"/>
      <c r="K775"/>
      <c r="L775"/>
    </row>
    <row r="776" spans="2:12" ht="15">
      <c r="B776" s="32">
        <v>1</v>
      </c>
      <c r="C776" s="66" t="s">
        <v>62</v>
      </c>
      <c r="D776" s="64">
        <v>42444</v>
      </c>
      <c r="E776">
        <v>1.9200064811848883E-2</v>
      </c>
      <c r="F776">
        <v>7.1091973021003493E-2</v>
      </c>
      <c r="G776" s="40">
        <f t="shared" si="32"/>
        <v>0</v>
      </c>
      <c r="H776" s="33">
        <f t="shared" si="33"/>
        <v>-7.1091973021003493E-2</v>
      </c>
      <c r="I776" s="43"/>
      <c r="K776"/>
      <c r="L776"/>
    </row>
    <row r="777" spans="2:12" ht="15">
      <c r="B777" s="32">
        <v>1</v>
      </c>
      <c r="C777" s="66" t="s">
        <v>62</v>
      </c>
      <c r="D777" s="64">
        <v>42445</v>
      </c>
      <c r="E777">
        <v>1.7956216723255203E-2</v>
      </c>
      <c r="F777">
        <v>6.7927405729314466E-2</v>
      </c>
      <c r="G777" s="40">
        <f t="shared" si="32"/>
        <v>0</v>
      </c>
      <c r="H777" s="33">
        <f t="shared" si="33"/>
        <v>-6.7927405729314466E-2</v>
      </c>
      <c r="I777" s="43"/>
      <c r="K777"/>
      <c r="L777"/>
    </row>
    <row r="778" spans="2:12" ht="15">
      <c r="B778" s="32">
        <v>1</v>
      </c>
      <c r="C778" s="66" t="s">
        <v>62</v>
      </c>
      <c r="D778" s="64">
        <v>42446</v>
      </c>
      <c r="E778">
        <v>9.3407913229119899E-3</v>
      </c>
      <c r="F778">
        <v>6.4535501530016859E-2</v>
      </c>
      <c r="G778" s="40">
        <f t="shared" si="32"/>
        <v>0</v>
      </c>
      <c r="H778" s="33">
        <f t="shared" si="33"/>
        <v>-6.4535501530016859E-2</v>
      </c>
      <c r="I778" s="43"/>
      <c r="K778"/>
      <c r="L778"/>
    </row>
    <row r="779" spans="2:12" ht="15">
      <c r="B779" s="32">
        <v>1</v>
      </c>
      <c r="C779" s="66" t="s">
        <v>62</v>
      </c>
      <c r="D779" s="64">
        <v>42447</v>
      </c>
      <c r="E779">
        <v>1.1255783258093288E-2</v>
      </c>
      <c r="F779">
        <v>6.3349842970716913E-2</v>
      </c>
      <c r="G779" s="40">
        <f t="shared" si="32"/>
        <v>0</v>
      </c>
      <c r="H779" s="33">
        <f t="shared" si="33"/>
        <v>-6.3349842970716913E-2</v>
      </c>
      <c r="I779" s="43"/>
      <c r="K779"/>
      <c r="L779"/>
    </row>
    <row r="780" spans="2:12" ht="15">
      <c r="B780" s="32">
        <v>1</v>
      </c>
      <c r="C780" s="66" t="s">
        <v>62</v>
      </c>
      <c r="D780" s="64">
        <v>42450</v>
      </c>
      <c r="E780">
        <v>7.0572113133806624E-3</v>
      </c>
      <c r="F780">
        <v>6.3232760844142283E-2</v>
      </c>
      <c r="G780" s="40">
        <f t="shared" si="32"/>
        <v>0</v>
      </c>
      <c r="H780" s="33">
        <f t="shared" si="33"/>
        <v>-6.3232760844142283E-2</v>
      </c>
      <c r="I780" s="43"/>
      <c r="K780"/>
      <c r="L780"/>
    </row>
    <row r="781" spans="2:12" ht="15">
      <c r="B781" s="32">
        <v>1</v>
      </c>
      <c r="C781" s="66" t="s">
        <v>62</v>
      </c>
      <c r="D781" s="64">
        <v>42451</v>
      </c>
      <c r="E781">
        <v>-2.2613141819478599E-3</v>
      </c>
      <c r="F781">
        <v>6.0646752159841541E-2</v>
      </c>
      <c r="G781" s="40">
        <f t="shared" si="32"/>
        <v>0</v>
      </c>
      <c r="H781" s="33">
        <f t="shared" si="33"/>
        <v>-6.0646752159841541E-2</v>
      </c>
      <c r="I781" s="43"/>
      <c r="K781"/>
      <c r="L781"/>
    </row>
    <row r="782" spans="2:12" ht="15">
      <c r="B782" s="32">
        <v>1</v>
      </c>
      <c r="C782" s="66" t="s">
        <v>62</v>
      </c>
      <c r="D782" s="64">
        <v>42452</v>
      </c>
      <c r="E782">
        <v>1.4597993254231056E-2</v>
      </c>
      <c r="F782">
        <v>5.7243304402557524E-2</v>
      </c>
      <c r="G782" s="40">
        <f t="shared" si="32"/>
        <v>0</v>
      </c>
      <c r="H782" s="33">
        <f t="shared" si="33"/>
        <v>-5.7243304402557524E-2</v>
      </c>
      <c r="I782" s="43"/>
      <c r="K782"/>
      <c r="L782"/>
    </row>
    <row r="783" spans="2:12" ht="15">
      <c r="B783" s="32">
        <v>1</v>
      </c>
      <c r="C783" s="66" t="s">
        <v>62</v>
      </c>
      <c r="D783" s="64">
        <v>42453</v>
      </c>
      <c r="E783">
        <v>2.9280612587543331E-3</v>
      </c>
      <c r="F783">
        <v>5.7388162392568394E-2</v>
      </c>
      <c r="G783" s="40">
        <f t="shared" si="32"/>
        <v>0</v>
      </c>
      <c r="H783" s="33">
        <f t="shared" si="33"/>
        <v>-5.7388162392568394E-2</v>
      </c>
      <c r="I783" s="43"/>
      <c r="K783"/>
      <c r="L783"/>
    </row>
    <row r="784" spans="2:12" ht="15">
      <c r="B784" s="32">
        <v>1</v>
      </c>
      <c r="C784" s="66" t="s">
        <v>62</v>
      </c>
      <c r="D784" s="64">
        <v>42457</v>
      </c>
      <c r="E784">
        <v>5.1656569816023179E-3</v>
      </c>
      <c r="F784">
        <v>5.5524392754240648E-2</v>
      </c>
      <c r="G784" s="40">
        <f t="shared" si="32"/>
        <v>0</v>
      </c>
      <c r="H784" s="33">
        <f t="shared" si="33"/>
        <v>-5.5524392754240648E-2</v>
      </c>
      <c r="I784" s="43"/>
      <c r="K784"/>
      <c r="L784"/>
    </row>
    <row r="785" spans="2:12" ht="15">
      <c r="B785" s="32">
        <v>1</v>
      </c>
      <c r="C785" s="66" t="s">
        <v>62</v>
      </c>
      <c r="D785" s="64">
        <v>42458</v>
      </c>
      <c r="E785">
        <v>-6.3559013089111716E-3</v>
      </c>
      <c r="F785">
        <v>5.6123897567513868E-2</v>
      </c>
      <c r="G785" s="40">
        <f t="shared" si="32"/>
        <v>0</v>
      </c>
      <c r="H785" s="33">
        <f t="shared" si="33"/>
        <v>-5.6123897567513868E-2</v>
      </c>
      <c r="I785" s="43"/>
      <c r="K785"/>
      <c r="L785"/>
    </row>
    <row r="786" spans="2:12" ht="15">
      <c r="B786" s="32">
        <v>1</v>
      </c>
      <c r="C786" s="66" t="s">
        <v>62</v>
      </c>
      <c r="D786" s="64">
        <v>42459</v>
      </c>
      <c r="E786">
        <v>-1.0810269649912385E-3</v>
      </c>
      <c r="F786">
        <v>5.3185768964039967E-2</v>
      </c>
      <c r="G786" s="40">
        <f t="shared" si="32"/>
        <v>0</v>
      </c>
      <c r="H786" s="33">
        <f t="shared" si="33"/>
        <v>-5.3185768964039967E-2</v>
      </c>
      <c r="I786" s="43"/>
      <c r="K786"/>
      <c r="L786"/>
    </row>
    <row r="787" spans="2:12" ht="15">
      <c r="B787" s="32">
        <v>1</v>
      </c>
      <c r="C787" s="66" t="s">
        <v>62</v>
      </c>
      <c r="D787" s="64">
        <v>42460</v>
      </c>
      <c r="E787">
        <v>1.0950885109734187E-2</v>
      </c>
      <c r="F787">
        <v>4.1052757511982181E-2</v>
      </c>
      <c r="G787" s="40">
        <f t="shared" si="32"/>
        <v>0</v>
      </c>
      <c r="H787" s="33">
        <f t="shared" si="33"/>
        <v>-4.1052757511982181E-2</v>
      </c>
      <c r="I787" s="43"/>
      <c r="K787"/>
      <c r="L787"/>
    </row>
    <row r="788" spans="2:12" ht="15">
      <c r="B788" s="32">
        <v>1</v>
      </c>
      <c r="C788" s="66" t="s">
        <v>62</v>
      </c>
      <c r="D788" s="64">
        <v>42461</v>
      </c>
      <c r="E788">
        <v>4.8128383001397879E-3</v>
      </c>
      <c r="F788">
        <v>4.1523131999600449E-2</v>
      </c>
      <c r="G788" s="40">
        <f t="shared" si="32"/>
        <v>0</v>
      </c>
      <c r="H788" s="33">
        <f t="shared" si="33"/>
        <v>-4.1523131999600449E-2</v>
      </c>
      <c r="I788" s="43"/>
      <c r="K788"/>
      <c r="L788"/>
    </row>
    <row r="789" spans="2:12" ht="15">
      <c r="B789" s="32">
        <v>1</v>
      </c>
      <c r="C789" s="66" t="s">
        <v>62</v>
      </c>
      <c r="D789" s="64">
        <v>42464</v>
      </c>
      <c r="E789">
        <v>7.0415484531300976E-3</v>
      </c>
      <c r="F789">
        <v>4.2270930852419973E-2</v>
      </c>
      <c r="G789" s="40">
        <f t="shared" si="32"/>
        <v>0</v>
      </c>
      <c r="H789" s="33">
        <f t="shared" si="33"/>
        <v>-4.2270930852419973E-2</v>
      </c>
      <c r="I789" s="43"/>
      <c r="K789"/>
      <c r="L789"/>
    </row>
    <row r="790" spans="2:12" ht="15">
      <c r="B790" s="32">
        <v>1</v>
      </c>
      <c r="C790" s="66" t="s">
        <v>62</v>
      </c>
      <c r="D790" s="64">
        <v>42465</v>
      </c>
      <c r="E790">
        <v>2.3757572820237272E-2</v>
      </c>
      <c r="F790">
        <v>4.6258515854444827E-2</v>
      </c>
      <c r="G790" s="40">
        <f t="shared" si="32"/>
        <v>0</v>
      </c>
      <c r="H790" s="33">
        <f t="shared" si="33"/>
        <v>-4.6258515854444827E-2</v>
      </c>
      <c r="I790" s="43"/>
      <c r="K790"/>
      <c r="L790"/>
    </row>
    <row r="791" spans="2:12" ht="15">
      <c r="B791" s="32">
        <v>1</v>
      </c>
      <c r="C791" s="66" t="s">
        <v>62</v>
      </c>
      <c r="D791" s="64">
        <v>42466</v>
      </c>
      <c r="E791">
        <v>1.6384512900343928E-2</v>
      </c>
      <c r="F791">
        <v>4.8646762110269644E-2</v>
      </c>
      <c r="G791" s="40">
        <f t="shared" si="32"/>
        <v>0</v>
      </c>
      <c r="H791" s="33">
        <f t="shared" si="33"/>
        <v>-4.8646762110269644E-2</v>
      </c>
      <c r="I791" s="43"/>
      <c r="K791"/>
      <c r="L791"/>
    </row>
    <row r="792" spans="2:12" ht="15">
      <c r="B792" s="32">
        <v>1</v>
      </c>
      <c r="C792" s="66" t="s">
        <v>62</v>
      </c>
      <c r="D792" s="64">
        <v>42467</v>
      </c>
      <c r="E792">
        <v>2.9193841709341584E-2</v>
      </c>
      <c r="F792">
        <v>4.9189317566248787E-2</v>
      </c>
      <c r="G792" s="40">
        <f t="shared" si="32"/>
        <v>0</v>
      </c>
      <c r="H792" s="33">
        <f t="shared" si="33"/>
        <v>-4.9189317566248787E-2</v>
      </c>
      <c r="I792" s="43"/>
      <c r="K792"/>
      <c r="L792"/>
    </row>
    <row r="793" spans="2:12" ht="15">
      <c r="B793" s="32">
        <v>1</v>
      </c>
      <c r="C793" s="66" t="s">
        <v>62</v>
      </c>
      <c r="D793" s="64">
        <v>42468</v>
      </c>
      <c r="E793">
        <v>2.1203575896595162E-2</v>
      </c>
      <c r="F793">
        <v>4.8880312404579518E-2</v>
      </c>
      <c r="G793" s="40">
        <f t="shared" si="32"/>
        <v>0</v>
      </c>
      <c r="H793" s="33">
        <f t="shared" si="33"/>
        <v>-4.8880312404579518E-2</v>
      </c>
      <c r="I793" s="43"/>
      <c r="K793"/>
      <c r="L793"/>
    </row>
    <row r="794" spans="2:12" ht="15">
      <c r="B794" s="32">
        <v>1</v>
      </c>
      <c r="C794" s="66" t="s">
        <v>62</v>
      </c>
      <c r="D794" s="64">
        <v>42471</v>
      </c>
      <c r="E794">
        <v>2.3994980847096059E-2</v>
      </c>
      <c r="F794">
        <v>4.9296062598833672E-2</v>
      </c>
      <c r="G794" s="40">
        <f t="shared" si="32"/>
        <v>0</v>
      </c>
      <c r="H794" s="33">
        <f t="shared" si="33"/>
        <v>-4.9296062598833672E-2</v>
      </c>
      <c r="I794" s="43"/>
      <c r="K794"/>
      <c r="L794"/>
    </row>
    <row r="795" spans="2:12" ht="15">
      <c r="B795" s="32">
        <v>1</v>
      </c>
      <c r="C795" s="66" t="s">
        <v>62</v>
      </c>
      <c r="D795" s="64">
        <v>42472</v>
      </c>
      <c r="E795">
        <v>1.2565537116000058E-2</v>
      </c>
      <c r="F795">
        <v>4.4760614429425888E-2</v>
      </c>
      <c r="G795" s="40">
        <f t="shared" si="32"/>
        <v>0</v>
      </c>
      <c r="H795" s="33">
        <f t="shared" si="33"/>
        <v>-4.4760614429425888E-2</v>
      </c>
      <c r="I795" s="43"/>
      <c r="K795"/>
      <c r="L795"/>
    </row>
    <row r="796" spans="2:12" ht="15">
      <c r="B796" s="32">
        <v>1</v>
      </c>
      <c r="C796" s="66" t="s">
        <v>62</v>
      </c>
      <c r="D796" s="64">
        <v>42473</v>
      </c>
      <c r="E796">
        <v>4.4464675534117148E-3</v>
      </c>
      <c r="F796">
        <v>4.6870158986145369E-2</v>
      </c>
      <c r="G796" s="40">
        <f t="shared" si="32"/>
        <v>0</v>
      </c>
      <c r="H796" s="33">
        <f t="shared" si="33"/>
        <v>-4.6870158986145369E-2</v>
      </c>
      <c r="I796" s="43"/>
      <c r="K796"/>
      <c r="L796"/>
    </row>
    <row r="797" spans="2:12" ht="15">
      <c r="B797" s="32">
        <v>1</v>
      </c>
      <c r="C797" s="66" t="s">
        <v>62</v>
      </c>
      <c r="D797" s="64">
        <v>42474</v>
      </c>
      <c r="E797">
        <v>5.9215493556914467E-3</v>
      </c>
      <c r="F797">
        <v>4.6597800085425717E-2</v>
      </c>
      <c r="G797" s="40">
        <f t="shared" si="32"/>
        <v>0</v>
      </c>
      <c r="H797" s="33">
        <f t="shared" si="33"/>
        <v>-4.6597800085425717E-2</v>
      </c>
      <c r="I797" s="43"/>
      <c r="K797"/>
      <c r="L797"/>
    </row>
    <row r="798" spans="2:12" ht="15">
      <c r="B798" s="32">
        <v>1</v>
      </c>
      <c r="C798" s="66" t="s">
        <v>62</v>
      </c>
      <c r="D798" s="64">
        <v>42475</v>
      </c>
      <c r="E798">
        <v>-2.3673166872049123E-3</v>
      </c>
      <c r="F798">
        <v>4.6252058537651589E-2</v>
      </c>
      <c r="G798" s="40">
        <f t="shared" si="32"/>
        <v>0</v>
      </c>
      <c r="H798" s="33">
        <f t="shared" si="33"/>
        <v>-4.6252058537651589E-2</v>
      </c>
      <c r="I798" s="43"/>
      <c r="K798"/>
      <c r="L798"/>
    </row>
    <row r="799" spans="2:12" ht="15">
      <c r="B799" s="32">
        <v>1</v>
      </c>
      <c r="C799" s="66" t="s">
        <v>62</v>
      </c>
      <c r="D799" s="64">
        <v>42478</v>
      </c>
      <c r="E799">
        <v>-1.3962991921552259E-2</v>
      </c>
      <c r="F799">
        <v>4.6235332871523697E-2</v>
      </c>
      <c r="G799" s="40">
        <f t="shared" si="32"/>
        <v>0</v>
      </c>
      <c r="H799" s="33">
        <f t="shared" si="33"/>
        <v>-4.6235332871523697E-2</v>
      </c>
      <c r="I799" s="43"/>
      <c r="K799"/>
      <c r="L799"/>
    </row>
    <row r="800" spans="2:12" ht="15">
      <c r="B800" s="32">
        <v>1</v>
      </c>
      <c r="C800" s="66" t="s">
        <v>62</v>
      </c>
      <c r="D800" s="64">
        <v>42479</v>
      </c>
      <c r="E800">
        <v>-9.263123067326795E-3</v>
      </c>
      <c r="F800">
        <v>4.6039940395979424E-2</v>
      </c>
      <c r="G800" s="40">
        <f t="shared" si="32"/>
        <v>0</v>
      </c>
      <c r="H800" s="33">
        <f t="shared" si="33"/>
        <v>-4.6039940395979424E-2</v>
      </c>
      <c r="I800" s="43"/>
      <c r="K800"/>
      <c r="L800"/>
    </row>
    <row r="801" spans="2:12" ht="15">
      <c r="B801" s="32">
        <v>1</v>
      </c>
      <c r="C801" s="66" t="s">
        <v>62</v>
      </c>
      <c r="D801" s="64">
        <v>42480</v>
      </c>
      <c r="E801">
        <v>-1.8738877523168718E-2</v>
      </c>
      <c r="F801">
        <v>4.6043846094390842E-2</v>
      </c>
      <c r="G801" s="40">
        <f t="shared" si="32"/>
        <v>0</v>
      </c>
      <c r="H801" s="33">
        <f t="shared" si="33"/>
        <v>-4.6043846094390842E-2</v>
      </c>
      <c r="I801" s="43"/>
      <c r="K801"/>
      <c r="L801"/>
    </row>
    <row r="802" spans="2:12" ht="15">
      <c r="B802" s="32">
        <v>1</v>
      </c>
      <c r="C802" s="66" t="s">
        <v>62</v>
      </c>
      <c r="D802" s="64">
        <v>42481</v>
      </c>
      <c r="E802">
        <v>-1.9485897311271927E-2</v>
      </c>
      <c r="F802">
        <v>4.7076635069316294E-2</v>
      </c>
      <c r="G802" s="40">
        <f t="shared" si="32"/>
        <v>0</v>
      </c>
      <c r="H802" s="33">
        <f t="shared" si="33"/>
        <v>-4.7076635069316294E-2</v>
      </c>
      <c r="I802" s="43"/>
      <c r="K802"/>
      <c r="L802"/>
    </row>
    <row r="803" spans="2:12" ht="15">
      <c r="B803" s="32">
        <v>1</v>
      </c>
      <c r="C803" s="66" t="s">
        <v>62</v>
      </c>
      <c r="D803" s="64">
        <v>42482</v>
      </c>
      <c r="E803">
        <v>-1.9772792565117214E-2</v>
      </c>
      <c r="F803">
        <v>4.5456615830255301E-2</v>
      </c>
      <c r="G803" s="40">
        <f t="shared" si="32"/>
        <v>0</v>
      </c>
      <c r="H803" s="33">
        <f t="shared" si="33"/>
        <v>-4.5456615830255301E-2</v>
      </c>
      <c r="I803" s="43"/>
      <c r="K803"/>
      <c r="L803"/>
    </row>
    <row r="804" spans="2:12" ht="15">
      <c r="B804" s="32">
        <v>1</v>
      </c>
      <c r="C804" s="66" t="s">
        <v>62</v>
      </c>
      <c r="D804" s="64">
        <v>42485</v>
      </c>
      <c r="E804">
        <v>-1.4789492306986673E-2</v>
      </c>
      <c r="F804">
        <v>4.5655092377141111E-2</v>
      </c>
      <c r="G804" s="40">
        <f t="shared" si="32"/>
        <v>0</v>
      </c>
      <c r="H804" s="33">
        <f t="shared" si="33"/>
        <v>-4.5655092377141111E-2</v>
      </c>
      <c r="I804" s="43"/>
      <c r="K804"/>
      <c r="L804"/>
    </row>
    <row r="805" spans="2:12" ht="15">
      <c r="B805" s="32">
        <v>1</v>
      </c>
      <c r="C805" s="66" t="s">
        <v>62</v>
      </c>
      <c r="D805" s="64">
        <v>42486</v>
      </c>
      <c r="E805">
        <v>-1.5907279523792006E-2</v>
      </c>
      <c r="F805">
        <v>4.5653437092682013E-2</v>
      </c>
      <c r="G805" s="40">
        <f t="shared" si="32"/>
        <v>0</v>
      </c>
      <c r="H805" s="33">
        <f t="shared" si="33"/>
        <v>-4.5653437092682013E-2</v>
      </c>
      <c r="I805" s="43"/>
      <c r="K805"/>
      <c r="L805"/>
    </row>
    <row r="806" spans="2:12" ht="15">
      <c r="B806" s="32">
        <v>1</v>
      </c>
      <c r="C806" s="66" t="s">
        <v>62</v>
      </c>
      <c r="D806" s="64">
        <v>42487</v>
      </c>
      <c r="E806">
        <v>-5.1489079178717034E-3</v>
      </c>
      <c r="F806">
        <v>4.3876850678054108E-2</v>
      </c>
      <c r="G806" s="40">
        <f t="shared" si="32"/>
        <v>0</v>
      </c>
      <c r="H806" s="33">
        <f t="shared" si="33"/>
        <v>-4.3876850678054108E-2</v>
      </c>
      <c r="I806" s="43"/>
      <c r="K806"/>
      <c r="L806"/>
    </row>
    <row r="807" spans="2:12" ht="15">
      <c r="B807" s="32">
        <v>1</v>
      </c>
      <c r="C807" s="66" t="s">
        <v>62</v>
      </c>
      <c r="D807" s="64">
        <v>42488</v>
      </c>
      <c r="E807">
        <v>-5.4827952660776447E-3</v>
      </c>
      <c r="F807">
        <v>4.6377679312681039E-2</v>
      </c>
      <c r="G807" s="40">
        <f t="shared" si="32"/>
        <v>0</v>
      </c>
      <c r="H807" s="33">
        <f t="shared" si="33"/>
        <v>-4.6377679312681039E-2</v>
      </c>
      <c r="I807" s="43"/>
      <c r="K807"/>
      <c r="L807"/>
    </row>
    <row r="808" spans="2:12" ht="15">
      <c r="B808" s="32">
        <v>1</v>
      </c>
      <c r="C808" s="66" t="s">
        <v>62</v>
      </c>
      <c r="D808" s="64">
        <v>42489</v>
      </c>
      <c r="E808">
        <v>-5.7632542565766443E-4</v>
      </c>
      <c r="F808">
        <v>4.7038507956312758E-2</v>
      </c>
      <c r="G808" s="40">
        <f t="shared" si="32"/>
        <v>0</v>
      </c>
      <c r="H808" s="33">
        <f t="shared" si="33"/>
        <v>-4.7038507956312758E-2</v>
      </c>
      <c r="I808" s="43"/>
      <c r="K808"/>
      <c r="L808"/>
    </row>
    <row r="809" spans="2:12" ht="15">
      <c r="B809" s="32">
        <v>1</v>
      </c>
      <c r="C809" s="66" t="s">
        <v>62</v>
      </c>
      <c r="D809" s="64">
        <v>42492</v>
      </c>
      <c r="E809">
        <v>-1.68703663414842E-2</v>
      </c>
      <c r="F809">
        <v>4.7616384575173351E-2</v>
      </c>
      <c r="G809" s="40">
        <f t="shared" si="32"/>
        <v>0</v>
      </c>
      <c r="H809" s="33">
        <f t="shared" si="33"/>
        <v>-4.7616384575173351E-2</v>
      </c>
      <c r="I809" s="43"/>
      <c r="K809"/>
      <c r="L809"/>
    </row>
    <row r="810" spans="2:12" ht="15">
      <c r="B810" s="32">
        <v>1</v>
      </c>
      <c r="C810" s="66" t="s">
        <v>62</v>
      </c>
      <c r="D810" s="64">
        <v>42493</v>
      </c>
      <c r="E810">
        <v>1.5931098189074788E-3</v>
      </c>
      <c r="F810">
        <v>4.9465928540579768E-2</v>
      </c>
      <c r="G810" s="40">
        <f t="shared" si="32"/>
        <v>0</v>
      </c>
      <c r="H810" s="33">
        <f t="shared" si="33"/>
        <v>-4.9465928540579768E-2</v>
      </c>
      <c r="I810" s="43"/>
      <c r="K810"/>
      <c r="L810"/>
    </row>
    <row r="811" spans="2:12" ht="15">
      <c r="B811" s="32">
        <v>1</v>
      </c>
      <c r="C811" s="66" t="s">
        <v>62</v>
      </c>
      <c r="D811" s="64">
        <v>42494</v>
      </c>
      <c r="E811">
        <v>-1.9081709437873684E-3</v>
      </c>
      <c r="F811">
        <v>4.7546222414368775E-2</v>
      </c>
      <c r="G811" s="40">
        <f t="shared" si="32"/>
        <v>0</v>
      </c>
      <c r="H811" s="33">
        <f t="shared" si="33"/>
        <v>-4.7546222414368775E-2</v>
      </c>
      <c r="I811" s="43"/>
      <c r="K811"/>
      <c r="L811"/>
    </row>
    <row r="812" spans="2:12" ht="15">
      <c r="B812" s="32">
        <v>1</v>
      </c>
      <c r="C812" s="66" t="s">
        <v>62</v>
      </c>
      <c r="D812" s="64">
        <v>42495</v>
      </c>
      <c r="E812">
        <v>-1.4639767207391685E-3</v>
      </c>
      <c r="F812">
        <v>4.4254017346483036E-2</v>
      </c>
      <c r="G812" s="40">
        <f t="shared" si="32"/>
        <v>0</v>
      </c>
      <c r="H812" s="33">
        <f t="shared" si="33"/>
        <v>-4.4254017346483036E-2</v>
      </c>
      <c r="I812" s="43"/>
      <c r="K812"/>
      <c r="L812"/>
    </row>
    <row r="813" spans="2:12" ht="15">
      <c r="B813" s="32">
        <v>1</v>
      </c>
      <c r="C813" s="66" t="s">
        <v>62</v>
      </c>
      <c r="D813" s="64">
        <v>42496</v>
      </c>
      <c r="E813">
        <v>-8.3471819985234674E-3</v>
      </c>
      <c r="F813">
        <v>3.9918868726632813E-2</v>
      </c>
      <c r="G813" s="40">
        <f t="shared" si="32"/>
        <v>0</v>
      </c>
      <c r="H813" s="33">
        <f t="shared" si="33"/>
        <v>-3.9918868726632813E-2</v>
      </c>
      <c r="I813" s="43"/>
      <c r="K813"/>
      <c r="L813"/>
    </row>
    <row r="814" spans="2:12" ht="15">
      <c r="B814" s="32">
        <v>1</v>
      </c>
      <c r="C814" s="66" t="s">
        <v>62</v>
      </c>
      <c r="D814" s="64">
        <v>42499</v>
      </c>
      <c r="E814">
        <v>-3.0989358253856736E-3</v>
      </c>
      <c r="F814">
        <v>3.9717171514263253E-2</v>
      </c>
      <c r="G814" s="40">
        <f t="shared" si="32"/>
        <v>0</v>
      </c>
      <c r="H814" s="33">
        <f t="shared" si="33"/>
        <v>-3.9717171514263253E-2</v>
      </c>
      <c r="I814" s="43"/>
      <c r="K814"/>
      <c r="L814"/>
    </row>
    <row r="815" spans="2:12" ht="15">
      <c r="B815" s="32">
        <v>1</v>
      </c>
      <c r="C815" s="66" t="s">
        <v>62</v>
      </c>
      <c r="D815" s="64">
        <v>42500</v>
      </c>
      <c r="E815">
        <v>-1.7592937884665538E-2</v>
      </c>
      <c r="F815">
        <v>4.3851068098036246E-2</v>
      </c>
      <c r="G815" s="40">
        <f t="shared" si="32"/>
        <v>0</v>
      </c>
      <c r="H815" s="33">
        <f t="shared" si="33"/>
        <v>-4.3851068098036246E-2</v>
      </c>
      <c r="I815" s="43"/>
      <c r="K815"/>
      <c r="L815"/>
    </row>
    <row r="816" spans="2:12" ht="15">
      <c r="B816" s="32">
        <v>1</v>
      </c>
      <c r="C816" s="66" t="s">
        <v>62</v>
      </c>
      <c r="D816" s="64">
        <v>42501</v>
      </c>
      <c r="E816">
        <v>5.6032229255160715E-3</v>
      </c>
      <c r="F816">
        <v>4.4459910733464635E-2</v>
      </c>
      <c r="G816" s="40">
        <f t="shared" si="32"/>
        <v>0</v>
      </c>
      <c r="H816" s="33">
        <f t="shared" si="33"/>
        <v>-4.4459910733464635E-2</v>
      </c>
      <c r="I816" s="43"/>
      <c r="K816"/>
      <c r="L816"/>
    </row>
    <row r="817" spans="2:12" ht="15">
      <c r="B817" s="32">
        <v>1</v>
      </c>
      <c r="C817" s="66" t="s">
        <v>62</v>
      </c>
      <c r="D817" s="64">
        <v>42502</v>
      </c>
      <c r="E817">
        <v>1.2723231854144146E-2</v>
      </c>
      <c r="F817">
        <v>4.1193217223564317E-2</v>
      </c>
      <c r="G817" s="40">
        <f t="shared" si="32"/>
        <v>0</v>
      </c>
      <c r="H817" s="33">
        <f t="shared" si="33"/>
        <v>-4.1193217223564317E-2</v>
      </c>
      <c r="I817" s="43"/>
      <c r="K817"/>
      <c r="L817"/>
    </row>
    <row r="818" spans="2:12" ht="15">
      <c r="B818" s="32">
        <v>1</v>
      </c>
      <c r="C818" s="66" t="s">
        <v>62</v>
      </c>
      <c r="D818" s="64">
        <v>42503</v>
      </c>
      <c r="E818">
        <v>2.1027200127722523E-2</v>
      </c>
      <c r="F818">
        <v>4.3167961353537711E-2</v>
      </c>
      <c r="G818" s="40">
        <f t="shared" si="32"/>
        <v>0</v>
      </c>
      <c r="H818" s="33">
        <f t="shared" si="33"/>
        <v>-4.3167961353537711E-2</v>
      </c>
      <c r="I818" s="43"/>
      <c r="K818"/>
      <c r="L818"/>
    </row>
    <row r="819" spans="2:12" ht="15">
      <c r="B819" s="32">
        <v>1</v>
      </c>
      <c r="C819" s="66" t="s">
        <v>62</v>
      </c>
      <c r="D819" s="64">
        <v>42506</v>
      </c>
      <c r="E819">
        <v>1.5555918587768502E-2</v>
      </c>
      <c r="F819">
        <v>4.6385809426276951E-2</v>
      </c>
      <c r="G819" s="40">
        <f t="shared" si="32"/>
        <v>0</v>
      </c>
      <c r="H819" s="33">
        <f t="shared" si="33"/>
        <v>-4.6385809426276951E-2</v>
      </c>
      <c r="I819" s="43"/>
      <c r="K819"/>
      <c r="L819"/>
    </row>
    <row r="820" spans="2:12" ht="15">
      <c r="B820" s="32">
        <v>1</v>
      </c>
      <c r="C820" s="66" t="s">
        <v>62</v>
      </c>
      <c r="D820" s="64">
        <v>42507</v>
      </c>
      <c r="E820">
        <v>2.4006013160384754E-2</v>
      </c>
      <c r="F820">
        <v>4.709298526885692E-2</v>
      </c>
      <c r="G820" s="40">
        <f t="shared" si="32"/>
        <v>0</v>
      </c>
      <c r="H820" s="33">
        <f t="shared" si="33"/>
        <v>-4.709298526885692E-2</v>
      </c>
      <c r="I820" s="43"/>
      <c r="K820"/>
      <c r="L820"/>
    </row>
    <row r="821" spans="2:12" ht="15">
      <c r="B821" s="32">
        <v>1</v>
      </c>
      <c r="C821" s="66" t="s">
        <v>62</v>
      </c>
      <c r="D821" s="64">
        <v>42508</v>
      </c>
      <c r="E821">
        <v>2.4935254123628958E-2</v>
      </c>
      <c r="F821">
        <v>4.6629088081660684E-2</v>
      </c>
      <c r="G821" s="40">
        <f t="shared" si="32"/>
        <v>0</v>
      </c>
      <c r="H821" s="33">
        <f t="shared" si="33"/>
        <v>-4.6629088081660684E-2</v>
      </c>
      <c r="I821" s="43"/>
      <c r="K821"/>
      <c r="L821"/>
    </row>
    <row r="822" spans="2:12" ht="15">
      <c r="B822" s="32">
        <v>1</v>
      </c>
      <c r="C822" s="66" t="s">
        <v>62</v>
      </c>
      <c r="D822" s="64">
        <v>42509</v>
      </c>
      <c r="E822">
        <v>3.1469545072075E-2</v>
      </c>
      <c r="F822">
        <v>4.6667738925773666E-2</v>
      </c>
      <c r="G822" s="40">
        <f t="shared" si="32"/>
        <v>0</v>
      </c>
      <c r="H822" s="33">
        <f t="shared" si="33"/>
        <v>-4.6667738925773666E-2</v>
      </c>
      <c r="I822" s="43"/>
      <c r="K822"/>
      <c r="L822"/>
    </row>
    <row r="823" spans="2:12" ht="15">
      <c r="B823" s="32">
        <v>1</v>
      </c>
      <c r="C823" s="66" t="s">
        <v>62</v>
      </c>
      <c r="D823" s="64">
        <v>42510</v>
      </c>
      <c r="E823">
        <v>2.2552023735039839E-2</v>
      </c>
      <c r="F823">
        <v>4.7673325614228254E-2</v>
      </c>
      <c r="G823" s="40">
        <f t="shared" si="32"/>
        <v>0</v>
      </c>
      <c r="H823" s="33">
        <f t="shared" si="33"/>
        <v>-4.7673325614228254E-2</v>
      </c>
      <c r="I823" s="43"/>
      <c r="K823"/>
      <c r="L823"/>
    </row>
    <row r="824" spans="2:12" ht="15">
      <c r="B824" s="32">
        <v>1</v>
      </c>
      <c r="C824" s="66" t="s">
        <v>62</v>
      </c>
      <c r="D824" s="64">
        <v>42513</v>
      </c>
      <c r="E824">
        <v>2.9524988536741681E-2</v>
      </c>
      <c r="F824">
        <v>4.768168770921271E-2</v>
      </c>
      <c r="G824" s="40">
        <f t="shared" si="32"/>
        <v>0</v>
      </c>
      <c r="H824" s="33">
        <f t="shared" si="33"/>
        <v>-4.768168770921271E-2</v>
      </c>
      <c r="I824" s="43"/>
      <c r="K824"/>
      <c r="L824"/>
    </row>
    <row r="825" spans="2:12" ht="15">
      <c r="B825" s="32">
        <v>1</v>
      </c>
      <c r="C825" s="66" t="s">
        <v>62</v>
      </c>
      <c r="D825" s="64">
        <v>42514</v>
      </c>
      <c r="E825">
        <v>1.7224966546373288E-2</v>
      </c>
      <c r="F825">
        <v>5.3077591209570105E-2</v>
      </c>
      <c r="G825" s="40">
        <f t="shared" si="32"/>
        <v>0</v>
      </c>
      <c r="H825" s="33">
        <f t="shared" si="33"/>
        <v>-5.3077591209570105E-2</v>
      </c>
      <c r="I825" s="43"/>
      <c r="K825"/>
      <c r="L825"/>
    </row>
    <row r="826" spans="2:12" ht="15">
      <c r="B826" s="32">
        <v>1</v>
      </c>
      <c r="C826" s="66" t="s">
        <v>62</v>
      </c>
      <c r="D826" s="64">
        <v>42515</v>
      </c>
      <c r="E826">
        <v>1.3578538915070659E-2</v>
      </c>
      <c r="F826">
        <v>5.4245118029702478E-2</v>
      </c>
      <c r="G826" s="40">
        <f t="shared" si="32"/>
        <v>0</v>
      </c>
      <c r="H826" s="33">
        <f t="shared" si="33"/>
        <v>-5.4245118029702478E-2</v>
      </c>
      <c r="I826" s="43"/>
      <c r="K826"/>
      <c r="L826"/>
    </row>
    <row r="827" spans="2:12" ht="15">
      <c r="B827" s="32">
        <v>1</v>
      </c>
      <c r="C827" s="66" t="s">
        <v>62</v>
      </c>
      <c r="D827" s="64">
        <v>42516</v>
      </c>
      <c r="E827">
        <v>1.2069769039642964E-2</v>
      </c>
      <c r="F827">
        <v>5.417188332773315E-2</v>
      </c>
      <c r="G827" s="40">
        <f t="shared" si="32"/>
        <v>0</v>
      </c>
      <c r="H827" s="33">
        <f t="shared" si="33"/>
        <v>-5.417188332773315E-2</v>
      </c>
      <c r="I827" s="43"/>
      <c r="K827"/>
      <c r="L827"/>
    </row>
    <row r="828" spans="2:12" ht="15">
      <c r="B828" s="32">
        <v>1</v>
      </c>
      <c r="C828" s="66" t="s">
        <v>62</v>
      </c>
      <c r="D828" s="64">
        <v>42517</v>
      </c>
      <c r="E828">
        <v>-1.4254582889074996E-3</v>
      </c>
      <c r="F828">
        <v>5.2308322659501756E-2</v>
      </c>
      <c r="G828" s="40">
        <f t="shared" si="32"/>
        <v>0</v>
      </c>
      <c r="H828" s="33">
        <f t="shared" si="33"/>
        <v>-5.2308322659501756E-2</v>
      </c>
      <c r="I828" s="43"/>
      <c r="K828"/>
      <c r="L828"/>
    </row>
    <row r="829" spans="2:12" ht="15">
      <c r="B829" s="32">
        <v>1</v>
      </c>
      <c r="C829" s="66" t="s">
        <v>62</v>
      </c>
      <c r="D829" s="64">
        <v>42521</v>
      </c>
      <c r="E829">
        <v>-8.5679878156703637E-3</v>
      </c>
      <c r="F829">
        <v>5.1530191966126362E-2</v>
      </c>
      <c r="G829" s="40">
        <f t="shared" si="32"/>
        <v>0</v>
      </c>
      <c r="H829" s="33">
        <f t="shared" si="33"/>
        <v>-5.1530191966126362E-2</v>
      </c>
      <c r="I829" s="43"/>
      <c r="K829"/>
      <c r="L829"/>
    </row>
    <row r="830" spans="2:12" ht="15">
      <c r="B830" s="32">
        <v>1</v>
      </c>
      <c r="C830" s="66" t="s">
        <v>62</v>
      </c>
      <c r="D830" s="64">
        <v>42522</v>
      </c>
      <c r="E830">
        <v>-1.1502891932556381E-2</v>
      </c>
      <c r="F830">
        <v>5.0154037775212747E-2</v>
      </c>
      <c r="G830" s="40">
        <f t="shared" si="32"/>
        <v>0</v>
      </c>
      <c r="H830" s="33">
        <f t="shared" si="33"/>
        <v>-5.0154037775212747E-2</v>
      </c>
      <c r="I830" s="43"/>
      <c r="K830"/>
      <c r="L830"/>
    </row>
    <row r="831" spans="2:12" ht="15">
      <c r="B831" s="32">
        <v>1</v>
      </c>
      <c r="C831" s="66" t="s">
        <v>62</v>
      </c>
      <c r="D831" s="64">
        <v>42523</v>
      </c>
      <c r="E831">
        <v>-1.6165997161058598E-2</v>
      </c>
      <c r="F831">
        <v>4.784202207751808E-2</v>
      </c>
      <c r="G831" s="40">
        <f t="shared" si="32"/>
        <v>0</v>
      </c>
      <c r="H831" s="33">
        <f t="shared" si="33"/>
        <v>-4.784202207751808E-2</v>
      </c>
      <c r="I831" s="43"/>
      <c r="K831"/>
      <c r="L831"/>
    </row>
    <row r="832" spans="2:12" ht="15">
      <c r="B832" s="32">
        <v>1</v>
      </c>
      <c r="C832" s="66" t="s">
        <v>62</v>
      </c>
      <c r="D832" s="64">
        <v>42524</v>
      </c>
      <c r="E832">
        <v>-1.0121841904101814E-2</v>
      </c>
      <c r="F832">
        <v>4.6893455639173902E-2</v>
      </c>
      <c r="G832" s="40">
        <f t="shared" si="32"/>
        <v>0</v>
      </c>
      <c r="H832" s="33">
        <f t="shared" si="33"/>
        <v>-4.6893455639173902E-2</v>
      </c>
      <c r="I832" s="43"/>
      <c r="K832"/>
      <c r="L832"/>
    </row>
    <row r="833" spans="2:12" ht="15">
      <c r="B833" s="32">
        <v>1</v>
      </c>
      <c r="C833" s="66" t="s">
        <v>62</v>
      </c>
      <c r="D833" s="64">
        <v>42527</v>
      </c>
      <c r="E833">
        <v>-1.8270454170778549E-2</v>
      </c>
      <c r="F833">
        <v>4.7217420487795356E-2</v>
      </c>
      <c r="G833" s="40">
        <f t="shared" si="32"/>
        <v>0</v>
      </c>
      <c r="H833" s="33">
        <f t="shared" si="33"/>
        <v>-4.7217420487795356E-2</v>
      </c>
      <c r="I833" s="43"/>
      <c r="K833"/>
      <c r="L833"/>
    </row>
    <row r="834" spans="2:12" ht="15">
      <c r="B834" s="32">
        <v>1</v>
      </c>
      <c r="C834" s="66" t="s">
        <v>62</v>
      </c>
      <c r="D834" s="64">
        <v>42528</v>
      </c>
      <c r="E834">
        <v>-1.3767687305509924E-2</v>
      </c>
      <c r="F834">
        <v>4.7117265582884406E-2</v>
      </c>
      <c r="G834" s="40">
        <f t="shared" si="32"/>
        <v>0</v>
      </c>
      <c r="H834" s="33">
        <f t="shared" si="33"/>
        <v>-4.7117265582884406E-2</v>
      </c>
      <c r="I834" s="43"/>
      <c r="K834"/>
      <c r="L834"/>
    </row>
    <row r="835" spans="2:12" ht="15">
      <c r="B835" s="32">
        <v>1</v>
      </c>
      <c r="C835" s="66" t="s">
        <v>62</v>
      </c>
      <c r="D835" s="64">
        <v>42529</v>
      </c>
      <c r="E835">
        <v>-1.4363398660561799E-2</v>
      </c>
      <c r="F835">
        <v>4.7221415776130773E-2</v>
      </c>
      <c r="G835" s="40">
        <f t="shared" si="32"/>
        <v>0</v>
      </c>
      <c r="H835" s="33">
        <f t="shared" si="33"/>
        <v>-4.7221415776130773E-2</v>
      </c>
      <c r="I835" s="43"/>
      <c r="K835"/>
      <c r="L835"/>
    </row>
    <row r="836" spans="2:12" ht="15">
      <c r="B836" s="32">
        <v>1</v>
      </c>
      <c r="C836" s="66" t="s">
        <v>62</v>
      </c>
      <c r="D836" s="64">
        <v>42530</v>
      </c>
      <c r="E836">
        <v>-1.4297091843999965E-2</v>
      </c>
      <c r="F836">
        <v>4.3600158133874301E-2</v>
      </c>
      <c r="G836" s="40">
        <f t="shared" si="32"/>
        <v>0</v>
      </c>
      <c r="H836" s="33">
        <f t="shared" si="33"/>
        <v>-4.3600158133874301E-2</v>
      </c>
      <c r="I836" s="43"/>
      <c r="K836"/>
      <c r="L836"/>
    </row>
    <row r="837" spans="2:12" ht="15">
      <c r="B837" s="32">
        <v>1</v>
      </c>
      <c r="C837" s="66" t="s">
        <v>62</v>
      </c>
      <c r="D837" s="64">
        <v>42531</v>
      </c>
      <c r="E837">
        <v>8.1960075003566502E-3</v>
      </c>
      <c r="F837">
        <v>4.3354356192673131E-2</v>
      </c>
      <c r="G837" s="40">
        <f t="shared" si="32"/>
        <v>0</v>
      </c>
      <c r="H837" s="33">
        <f t="shared" si="33"/>
        <v>-4.3354356192673131E-2</v>
      </c>
      <c r="I837" s="43"/>
      <c r="K837"/>
      <c r="L837"/>
    </row>
    <row r="838" spans="2:12" ht="15">
      <c r="B838" s="32">
        <v>1</v>
      </c>
      <c r="C838" s="66" t="s">
        <v>62</v>
      </c>
      <c r="D838" s="64">
        <v>42534</v>
      </c>
      <c r="E838">
        <v>-2.0236486800510711E-2</v>
      </c>
      <c r="F838">
        <v>4.5631408014144136E-2</v>
      </c>
      <c r="G838" s="40">
        <f t="shared" ref="G838:G901" si="34">--(E838&lt;-F838)</f>
        <v>0</v>
      </c>
      <c r="H838" s="33">
        <f t="shared" ref="H838:H901" si="35">-F838</f>
        <v>-4.5631408014144136E-2</v>
      </c>
      <c r="I838" s="43"/>
      <c r="K838"/>
      <c r="L838"/>
    </row>
    <row r="839" spans="2:12" ht="15">
      <c r="B839" s="32">
        <v>1</v>
      </c>
      <c r="C839" s="66" t="s">
        <v>62</v>
      </c>
      <c r="D839" s="64">
        <v>42535</v>
      </c>
      <c r="E839">
        <v>-3.6698227814722983E-2</v>
      </c>
      <c r="F839">
        <v>4.3318972213858539E-2</v>
      </c>
      <c r="G839" s="40">
        <f t="shared" si="34"/>
        <v>0</v>
      </c>
      <c r="H839" s="33">
        <f t="shared" si="35"/>
        <v>-4.3318972213858539E-2</v>
      </c>
      <c r="I839" s="43"/>
      <c r="K839"/>
      <c r="L839"/>
    </row>
    <row r="840" spans="2:12" ht="15">
      <c r="B840" s="32">
        <v>1</v>
      </c>
      <c r="C840" s="66" t="s">
        <v>62</v>
      </c>
      <c r="D840" s="64">
        <v>42536</v>
      </c>
      <c r="E840">
        <v>-1.7241697200497619E-2</v>
      </c>
      <c r="F840">
        <v>4.0655125881250136E-2</v>
      </c>
      <c r="G840" s="40">
        <f t="shared" si="34"/>
        <v>0</v>
      </c>
      <c r="H840" s="33">
        <f t="shared" si="35"/>
        <v>-4.0655125881250136E-2</v>
      </c>
      <c r="I840" s="43"/>
      <c r="K840"/>
      <c r="L840"/>
    </row>
    <row r="841" spans="2:12" ht="15">
      <c r="B841" s="32">
        <v>1</v>
      </c>
      <c r="C841" s="66" t="s">
        <v>62</v>
      </c>
      <c r="D841" s="64">
        <v>42537</v>
      </c>
      <c r="E841">
        <v>-3.4805470893859436E-3</v>
      </c>
      <c r="F841">
        <v>3.7541682994002082E-2</v>
      </c>
      <c r="G841" s="40">
        <f t="shared" si="34"/>
        <v>0</v>
      </c>
      <c r="H841" s="33">
        <f t="shared" si="35"/>
        <v>-3.7541682994002082E-2</v>
      </c>
      <c r="I841" s="43"/>
      <c r="K841"/>
      <c r="L841"/>
    </row>
    <row r="842" spans="2:12" ht="15">
      <c r="B842" s="32">
        <v>1</v>
      </c>
      <c r="C842" s="66" t="s">
        <v>62</v>
      </c>
      <c r="D842" s="64">
        <v>42538</v>
      </c>
      <c r="E842">
        <v>1.3256599521199952E-2</v>
      </c>
      <c r="F842">
        <v>3.8077141784759197E-2</v>
      </c>
      <c r="G842" s="40">
        <f t="shared" si="34"/>
        <v>0</v>
      </c>
      <c r="H842" s="33">
        <f t="shared" si="35"/>
        <v>-3.8077141784759197E-2</v>
      </c>
      <c r="I842" s="43"/>
      <c r="K842"/>
      <c r="L842"/>
    </row>
    <row r="843" spans="2:12" ht="15">
      <c r="B843" s="32">
        <v>1</v>
      </c>
      <c r="C843" s="66" t="s">
        <v>62</v>
      </c>
      <c r="D843" s="64">
        <v>42541</v>
      </c>
      <c r="E843">
        <v>9.4119232984128942E-3</v>
      </c>
      <c r="F843">
        <v>3.8257147951859555E-2</v>
      </c>
      <c r="G843" s="40">
        <f t="shared" si="34"/>
        <v>0</v>
      </c>
      <c r="H843" s="33">
        <f t="shared" si="35"/>
        <v>-3.8257147951859555E-2</v>
      </c>
      <c r="I843" s="43"/>
      <c r="K843"/>
      <c r="L843"/>
    </row>
    <row r="844" spans="2:12" ht="15">
      <c r="B844" s="32">
        <v>1</v>
      </c>
      <c r="C844" s="66" t="s">
        <v>62</v>
      </c>
      <c r="D844" s="64">
        <v>42542</v>
      </c>
      <c r="E844">
        <v>-1.6749596281062651E-4</v>
      </c>
      <c r="F844">
        <v>3.7448461486567552E-2</v>
      </c>
      <c r="G844" s="40">
        <f t="shared" si="34"/>
        <v>0</v>
      </c>
      <c r="H844" s="33">
        <f t="shared" si="35"/>
        <v>-3.7448461486567552E-2</v>
      </c>
      <c r="I844" s="43"/>
      <c r="K844"/>
      <c r="L844"/>
    </row>
    <row r="845" spans="2:12" ht="15">
      <c r="B845" s="32">
        <v>1</v>
      </c>
      <c r="C845" s="66" t="s">
        <v>62</v>
      </c>
      <c r="D845" s="64">
        <v>42543</v>
      </c>
      <c r="E845">
        <v>6.8241197043610313E-3</v>
      </c>
      <c r="F845">
        <v>3.7362865830298964E-2</v>
      </c>
      <c r="G845" s="40">
        <f t="shared" si="34"/>
        <v>0</v>
      </c>
      <c r="H845" s="33">
        <f t="shared" si="35"/>
        <v>-3.7362865830298964E-2</v>
      </c>
      <c r="I845" s="43"/>
      <c r="K845"/>
      <c r="L845"/>
    </row>
    <row r="846" spans="2:12" ht="15">
      <c r="B846" s="32">
        <v>1</v>
      </c>
      <c r="C846" s="66" t="s">
        <v>62</v>
      </c>
      <c r="D846" s="64">
        <v>42544</v>
      </c>
      <c r="E846">
        <v>-7.3234051073027828E-3</v>
      </c>
      <c r="F846">
        <v>3.7076589159710474E-2</v>
      </c>
      <c r="G846" s="40">
        <f t="shared" si="34"/>
        <v>0</v>
      </c>
      <c r="H846" s="33">
        <f t="shared" si="35"/>
        <v>-3.7076589159710474E-2</v>
      </c>
      <c r="I846" s="43"/>
      <c r="K846"/>
      <c r="L846"/>
    </row>
    <row r="847" spans="2:12" ht="15">
      <c r="B847" s="32">
        <v>1</v>
      </c>
      <c r="C847" s="66" t="s">
        <v>62</v>
      </c>
      <c r="D847" s="64">
        <v>42545</v>
      </c>
      <c r="E847">
        <v>4.4395574184875386E-2</v>
      </c>
      <c r="F847">
        <v>6.9428416790634245E-2</v>
      </c>
      <c r="G847" s="40">
        <f t="shared" si="34"/>
        <v>0</v>
      </c>
      <c r="H847" s="33">
        <f t="shared" si="35"/>
        <v>-6.9428416790634245E-2</v>
      </c>
      <c r="I847" s="43"/>
      <c r="K847"/>
      <c r="L847"/>
    </row>
    <row r="848" spans="2:12" ht="15">
      <c r="B848" s="32">
        <v>1</v>
      </c>
      <c r="C848" s="66" t="s">
        <v>62</v>
      </c>
      <c r="D848" s="64">
        <v>42548</v>
      </c>
      <c r="E848">
        <v>6.6060640061839315E-2</v>
      </c>
      <c r="F848">
        <v>7.4571414688932858E-2</v>
      </c>
      <c r="G848" s="40">
        <f t="shared" si="34"/>
        <v>0</v>
      </c>
      <c r="H848" s="33">
        <f t="shared" si="35"/>
        <v>-7.4571414688932858E-2</v>
      </c>
      <c r="I848" s="43"/>
      <c r="K848"/>
      <c r="L848"/>
    </row>
    <row r="849" spans="2:12" ht="15">
      <c r="B849" s="32">
        <v>1</v>
      </c>
      <c r="C849" s="66" t="s">
        <v>62</v>
      </c>
      <c r="D849" s="64">
        <v>42549</v>
      </c>
      <c r="E849">
        <v>5.5431360892807646E-2</v>
      </c>
      <c r="F849">
        <v>8.0489263825560584E-2</v>
      </c>
      <c r="G849" s="40">
        <f t="shared" si="34"/>
        <v>0</v>
      </c>
      <c r="H849" s="33">
        <f t="shared" si="35"/>
        <v>-8.0489263825560584E-2</v>
      </c>
      <c r="I849" s="43"/>
      <c r="K849"/>
      <c r="L849"/>
    </row>
    <row r="850" spans="2:12" ht="15">
      <c r="B850" s="32">
        <v>1</v>
      </c>
      <c r="C850" s="66" t="s">
        <v>62</v>
      </c>
      <c r="D850" s="64">
        <v>42550</v>
      </c>
      <c r="E850">
        <v>3.8676876429358131E-2</v>
      </c>
      <c r="F850">
        <v>8.5713757699126564E-2</v>
      </c>
      <c r="G850" s="40">
        <f t="shared" si="34"/>
        <v>0</v>
      </c>
      <c r="H850" s="33">
        <f t="shared" si="35"/>
        <v>-8.5713757699126564E-2</v>
      </c>
      <c r="I850" s="43"/>
      <c r="K850"/>
      <c r="L850"/>
    </row>
    <row r="851" spans="2:12" ht="15">
      <c r="B851" s="32">
        <v>1</v>
      </c>
      <c r="C851" s="66" t="s">
        <v>62</v>
      </c>
      <c r="D851" s="64">
        <v>42551</v>
      </c>
      <c r="E851">
        <v>3.0448436341992569E-2</v>
      </c>
      <c r="F851">
        <v>8.8628149559013242E-2</v>
      </c>
      <c r="G851" s="40">
        <f t="shared" si="34"/>
        <v>0</v>
      </c>
      <c r="H851" s="33">
        <f t="shared" si="35"/>
        <v>-8.8628149559013242E-2</v>
      </c>
      <c r="I851" s="43"/>
      <c r="K851"/>
      <c r="L851"/>
    </row>
    <row r="852" spans="2:12" ht="15">
      <c r="B852" s="32">
        <v>1</v>
      </c>
      <c r="C852" s="66" t="s">
        <v>62</v>
      </c>
      <c r="D852" s="64">
        <v>42552</v>
      </c>
      <c r="E852">
        <v>2.7572350761398745E-2</v>
      </c>
      <c r="F852">
        <v>8.8563679190583069E-2</v>
      </c>
      <c r="G852" s="40">
        <f t="shared" si="34"/>
        <v>0</v>
      </c>
      <c r="H852" s="33">
        <f t="shared" si="35"/>
        <v>-8.8563679190583069E-2</v>
      </c>
      <c r="I852" s="43"/>
      <c r="K852"/>
      <c r="L852"/>
    </row>
    <row r="853" spans="2:12" ht="15">
      <c r="B853" s="32">
        <v>1</v>
      </c>
      <c r="C853" s="66" t="s">
        <v>62</v>
      </c>
      <c r="D853" s="64">
        <v>42556</v>
      </c>
      <c r="E853">
        <v>3.6822841707953025E-2</v>
      </c>
      <c r="F853">
        <v>8.9135467315471881E-2</v>
      </c>
      <c r="G853" s="40">
        <f t="shared" si="34"/>
        <v>0</v>
      </c>
      <c r="H853" s="33">
        <f t="shared" si="35"/>
        <v>-8.9135467315471881E-2</v>
      </c>
      <c r="I853" s="43"/>
      <c r="K853"/>
      <c r="L853"/>
    </row>
    <row r="854" spans="2:12" ht="15">
      <c r="B854" s="32">
        <v>1</v>
      </c>
      <c r="C854" s="66" t="s">
        <v>62</v>
      </c>
      <c r="D854" s="64">
        <v>42557</v>
      </c>
      <c r="E854">
        <v>3.004795012290451E-2</v>
      </c>
      <c r="F854">
        <v>8.9208956105016557E-2</v>
      </c>
      <c r="G854" s="40">
        <f t="shared" si="34"/>
        <v>0</v>
      </c>
      <c r="H854" s="33">
        <f t="shared" si="35"/>
        <v>-8.9208956105016557E-2</v>
      </c>
      <c r="I854" s="43"/>
      <c r="K854"/>
      <c r="L854"/>
    </row>
    <row r="855" spans="2:12" ht="15">
      <c r="B855" s="32">
        <v>1</v>
      </c>
      <c r="C855" s="66" t="s">
        <v>62</v>
      </c>
      <c r="D855" s="64">
        <v>42558</v>
      </c>
      <c r="E855">
        <v>3.5181116618928421E-2</v>
      </c>
      <c r="F855">
        <v>8.9177572305320113E-2</v>
      </c>
      <c r="G855" s="40">
        <f t="shared" si="34"/>
        <v>0</v>
      </c>
      <c r="H855" s="33">
        <f t="shared" si="35"/>
        <v>-8.9177572305320113E-2</v>
      </c>
      <c r="I855" s="43"/>
      <c r="K855"/>
      <c r="L855"/>
    </row>
    <row r="856" spans="2:12" ht="15">
      <c r="B856" s="32">
        <v>1</v>
      </c>
      <c r="C856" s="66" t="s">
        <v>62</v>
      </c>
      <c r="D856" s="64">
        <v>42559</v>
      </c>
      <c r="E856">
        <v>1.6423860035968296E-2</v>
      </c>
      <c r="F856">
        <v>9.2443371346729433E-2</v>
      </c>
      <c r="G856" s="40">
        <f t="shared" si="34"/>
        <v>0</v>
      </c>
      <c r="H856" s="33">
        <f t="shared" si="35"/>
        <v>-9.2443371346729433E-2</v>
      </c>
      <c r="I856" s="43"/>
      <c r="K856"/>
      <c r="L856"/>
    </row>
    <row r="857" spans="2:12" ht="15">
      <c r="B857" s="32">
        <v>1</v>
      </c>
      <c r="C857" s="66" t="s">
        <v>62</v>
      </c>
      <c r="D857" s="64">
        <v>42562</v>
      </c>
      <c r="E857">
        <v>1.7564667209041041E-2</v>
      </c>
      <c r="F857">
        <v>9.2515042681528853E-2</v>
      </c>
      <c r="G857" s="40">
        <f t="shared" si="34"/>
        <v>0</v>
      </c>
      <c r="H857" s="33">
        <f t="shared" si="35"/>
        <v>-9.2515042681528853E-2</v>
      </c>
      <c r="I857" s="43"/>
      <c r="K857"/>
      <c r="L857"/>
    </row>
    <row r="858" spans="2:12" ht="15">
      <c r="B858" s="32">
        <v>1</v>
      </c>
      <c r="C858" s="66" t="s">
        <v>62</v>
      </c>
      <c r="D858" s="64">
        <v>42563</v>
      </c>
      <c r="E858">
        <v>7.5638058348896919E-3</v>
      </c>
      <c r="F858">
        <v>9.1568256252461899E-2</v>
      </c>
      <c r="G858" s="40">
        <f t="shared" si="34"/>
        <v>0</v>
      </c>
      <c r="H858" s="33">
        <f t="shared" si="35"/>
        <v>-9.1568256252461899E-2</v>
      </c>
      <c r="I858" s="43"/>
      <c r="K858"/>
      <c r="L858"/>
    </row>
    <row r="859" spans="2:12" ht="15">
      <c r="B859" s="32">
        <v>1</v>
      </c>
      <c r="C859" s="66" t="s">
        <v>62</v>
      </c>
      <c r="D859" s="64">
        <v>42564</v>
      </c>
      <c r="E859">
        <v>7.7517797315280745E-3</v>
      </c>
      <c r="F859">
        <v>9.022163095006859E-2</v>
      </c>
      <c r="G859" s="40">
        <f t="shared" si="34"/>
        <v>0</v>
      </c>
      <c r="H859" s="33">
        <f t="shared" si="35"/>
        <v>-9.022163095006859E-2</v>
      </c>
      <c r="I859" s="43"/>
      <c r="K859"/>
      <c r="L859"/>
    </row>
    <row r="860" spans="2:12" ht="15">
      <c r="B860" s="32">
        <v>1</v>
      </c>
      <c r="C860" s="66" t="s">
        <v>62</v>
      </c>
      <c r="D860" s="64">
        <v>42565</v>
      </c>
      <c r="E860">
        <v>1.3070959266183735E-3</v>
      </c>
      <c r="F860">
        <v>9.0201172142349184E-2</v>
      </c>
      <c r="G860" s="40">
        <f t="shared" si="34"/>
        <v>0</v>
      </c>
      <c r="H860" s="33">
        <f t="shared" si="35"/>
        <v>-9.0201172142349184E-2</v>
      </c>
      <c r="I860" s="43"/>
      <c r="K860"/>
      <c r="L860"/>
    </row>
    <row r="861" spans="2:12" ht="15">
      <c r="B861" s="32">
        <v>1</v>
      </c>
      <c r="C861" s="66" t="s">
        <v>62</v>
      </c>
      <c r="D861" s="64">
        <v>42566</v>
      </c>
      <c r="E861">
        <v>3.8413957879024352E-3</v>
      </c>
      <c r="F861">
        <v>9.010814460417213E-2</v>
      </c>
      <c r="G861" s="40">
        <f t="shared" si="34"/>
        <v>0</v>
      </c>
      <c r="H861" s="33">
        <f t="shared" si="35"/>
        <v>-9.010814460417213E-2</v>
      </c>
      <c r="I861" s="43"/>
      <c r="K861"/>
      <c r="L861"/>
    </row>
    <row r="862" spans="2:12" ht="15">
      <c r="B862" s="32">
        <v>1</v>
      </c>
      <c r="C862" s="66" t="s">
        <v>62</v>
      </c>
      <c r="D862" s="64">
        <v>42569</v>
      </c>
      <c r="E862">
        <v>3.0919137515210693E-3</v>
      </c>
      <c r="F862">
        <v>9.0091482027355993E-2</v>
      </c>
      <c r="G862" s="40">
        <f t="shared" si="34"/>
        <v>0</v>
      </c>
      <c r="H862" s="33">
        <f t="shared" si="35"/>
        <v>-9.0091482027355993E-2</v>
      </c>
      <c r="I862" s="43"/>
      <c r="K862"/>
      <c r="L862"/>
    </row>
    <row r="863" spans="2:12" ht="15">
      <c r="B863" s="32">
        <v>1</v>
      </c>
      <c r="C863" s="66" t="s">
        <v>62</v>
      </c>
      <c r="D863" s="64">
        <v>42570</v>
      </c>
      <c r="E863">
        <v>3.2575243285748456E-3</v>
      </c>
      <c r="F863">
        <v>8.985035239429974E-2</v>
      </c>
      <c r="G863" s="40">
        <f t="shared" si="34"/>
        <v>0</v>
      </c>
      <c r="H863" s="33">
        <f t="shared" si="35"/>
        <v>-8.985035239429974E-2</v>
      </c>
      <c r="I863" s="43"/>
      <c r="K863"/>
      <c r="L863"/>
    </row>
    <row r="864" spans="2:12" ht="15">
      <c r="B864" s="32">
        <v>1</v>
      </c>
      <c r="C864" s="66" t="s">
        <v>62</v>
      </c>
      <c r="D864" s="64">
        <v>42571</v>
      </c>
      <c r="E864">
        <v>-7.3856253407864614E-3</v>
      </c>
      <c r="F864">
        <v>8.9712879675347537E-2</v>
      </c>
      <c r="G864" s="40">
        <f t="shared" si="34"/>
        <v>0</v>
      </c>
      <c r="H864" s="33">
        <f t="shared" si="35"/>
        <v>-8.9712879675347537E-2</v>
      </c>
      <c r="I864" s="43"/>
      <c r="K864"/>
      <c r="L864"/>
    </row>
    <row r="865" spans="2:12" ht="15">
      <c r="B865" s="32">
        <v>1</v>
      </c>
      <c r="C865" s="66" t="s">
        <v>62</v>
      </c>
      <c r="D865" s="64">
        <v>42572</v>
      </c>
      <c r="E865">
        <v>-6.3751250146282246E-4</v>
      </c>
      <c r="F865">
        <v>9.0153364730156255E-2</v>
      </c>
      <c r="G865" s="40">
        <f t="shared" si="34"/>
        <v>0</v>
      </c>
      <c r="H865" s="33">
        <f t="shared" si="35"/>
        <v>-9.0153364730156255E-2</v>
      </c>
      <c r="I865" s="43"/>
      <c r="K865"/>
      <c r="L865"/>
    </row>
    <row r="866" spans="2:12" ht="15">
      <c r="B866" s="32">
        <v>1</v>
      </c>
      <c r="C866" s="66" t="s">
        <v>62</v>
      </c>
      <c r="D866" s="64">
        <v>42573</v>
      </c>
      <c r="E866">
        <v>-4.9685897683753311E-3</v>
      </c>
      <c r="F866">
        <v>9.0077101419798078E-2</v>
      </c>
      <c r="G866" s="40">
        <f t="shared" si="34"/>
        <v>0</v>
      </c>
      <c r="H866" s="33">
        <f t="shared" si="35"/>
        <v>-9.0077101419798078E-2</v>
      </c>
      <c r="I866" s="43"/>
      <c r="K866"/>
      <c r="L866"/>
    </row>
    <row r="867" spans="2:12" ht="15">
      <c r="B867" s="32">
        <v>1</v>
      </c>
      <c r="C867" s="66" t="s">
        <v>62</v>
      </c>
      <c r="D867" s="64">
        <v>42576</v>
      </c>
      <c r="E867">
        <v>6.6141262547114721E-3</v>
      </c>
      <c r="F867">
        <v>8.8340137970991051E-2</v>
      </c>
      <c r="G867" s="40">
        <f t="shared" si="34"/>
        <v>0</v>
      </c>
      <c r="H867" s="33">
        <f t="shared" si="35"/>
        <v>-8.8340137970991051E-2</v>
      </c>
      <c r="I867" s="43"/>
      <c r="K867"/>
      <c r="L867"/>
    </row>
    <row r="868" spans="2:12" ht="15">
      <c r="B868" s="32">
        <v>1</v>
      </c>
      <c r="C868" s="66" t="s">
        <v>62</v>
      </c>
      <c r="D868" s="64">
        <v>42577</v>
      </c>
      <c r="E868">
        <v>5.3838166999504722E-3</v>
      </c>
      <c r="F868">
        <v>6.1341311963809486E-2</v>
      </c>
      <c r="G868" s="40">
        <f t="shared" si="34"/>
        <v>0</v>
      </c>
      <c r="H868" s="33">
        <f t="shared" si="35"/>
        <v>-6.1341311963809486E-2</v>
      </c>
      <c r="I868" s="43"/>
      <c r="K868"/>
      <c r="L868"/>
    </row>
    <row r="869" spans="2:12" ht="15">
      <c r="B869" s="32">
        <v>1</v>
      </c>
      <c r="C869" s="66" t="s">
        <v>62</v>
      </c>
      <c r="D869" s="64">
        <v>42578</v>
      </c>
      <c r="E869">
        <v>6.9727955558152033E-3</v>
      </c>
      <c r="F869">
        <v>5.0508378062615891E-2</v>
      </c>
      <c r="G869" s="40">
        <f t="shared" si="34"/>
        <v>0</v>
      </c>
      <c r="H869" s="33">
        <f t="shared" si="35"/>
        <v>-5.0508378062615891E-2</v>
      </c>
      <c r="I869" s="43"/>
      <c r="K869"/>
      <c r="L869"/>
    </row>
    <row r="870" spans="2:12" ht="15">
      <c r="B870" s="32">
        <v>1</v>
      </c>
      <c r="C870" s="66" t="s">
        <v>62</v>
      </c>
      <c r="D870" s="64">
        <v>42579</v>
      </c>
      <c r="E870">
        <v>2.4990777990243629E-3</v>
      </c>
      <c r="F870">
        <v>4.4882697920515587E-2</v>
      </c>
      <c r="G870" s="40">
        <f t="shared" si="34"/>
        <v>0</v>
      </c>
      <c r="H870" s="33">
        <f t="shared" si="35"/>
        <v>-4.4882697920515587E-2</v>
      </c>
      <c r="I870" s="43"/>
      <c r="K870"/>
      <c r="L870"/>
    </row>
    <row r="871" spans="2:12" ht="15">
      <c r="B871" s="32">
        <v>1</v>
      </c>
      <c r="C871" s="66" t="s">
        <v>62</v>
      </c>
      <c r="D871" s="64">
        <v>42580</v>
      </c>
      <c r="E871">
        <v>5.5925128920097933E-3</v>
      </c>
      <c r="F871">
        <v>3.8345410674246343E-2</v>
      </c>
      <c r="G871" s="40">
        <f t="shared" si="34"/>
        <v>0</v>
      </c>
      <c r="H871" s="33">
        <f t="shared" si="35"/>
        <v>-3.8345410674246343E-2</v>
      </c>
      <c r="I871" s="43"/>
      <c r="K871"/>
      <c r="L871"/>
    </row>
    <row r="872" spans="2:12" ht="15">
      <c r="B872" s="32">
        <v>1</v>
      </c>
      <c r="C872" s="66" t="s">
        <v>62</v>
      </c>
      <c r="D872" s="64">
        <v>42583</v>
      </c>
      <c r="E872">
        <v>6.0667438676409446E-3</v>
      </c>
      <c r="F872">
        <v>3.3758389255780216E-2</v>
      </c>
      <c r="G872" s="40">
        <f t="shared" si="34"/>
        <v>0</v>
      </c>
      <c r="H872" s="33">
        <f t="shared" si="35"/>
        <v>-3.3758389255780216E-2</v>
      </c>
      <c r="I872" s="43"/>
      <c r="K872"/>
      <c r="L872"/>
    </row>
    <row r="873" spans="2:12" ht="15">
      <c r="B873" s="32">
        <v>1</v>
      </c>
      <c r="C873" s="66" t="s">
        <v>62</v>
      </c>
      <c r="D873" s="64">
        <v>42584</v>
      </c>
      <c r="E873">
        <v>1.5237700927196229E-2</v>
      </c>
      <c r="F873">
        <v>3.6097399541854515E-2</v>
      </c>
      <c r="G873" s="40">
        <f t="shared" si="34"/>
        <v>0</v>
      </c>
      <c r="H873" s="33">
        <f t="shared" si="35"/>
        <v>-3.6097399541854515E-2</v>
      </c>
      <c r="I873" s="43"/>
      <c r="K873"/>
      <c r="L873"/>
    </row>
    <row r="874" spans="2:12" ht="15">
      <c r="B874" s="32">
        <v>1</v>
      </c>
      <c r="C874" s="66" t="s">
        <v>62</v>
      </c>
      <c r="D874" s="64">
        <v>42585</v>
      </c>
      <c r="E874">
        <v>6.6145158850359209E-3</v>
      </c>
      <c r="F874">
        <v>3.3517813098076221E-2</v>
      </c>
      <c r="G874" s="40">
        <f t="shared" si="34"/>
        <v>0</v>
      </c>
      <c r="H874" s="33">
        <f t="shared" si="35"/>
        <v>-3.3517813098076221E-2</v>
      </c>
      <c r="I874" s="43"/>
      <c r="K874"/>
      <c r="L874"/>
    </row>
    <row r="875" spans="2:12" ht="15">
      <c r="B875" s="32">
        <v>1</v>
      </c>
      <c r="C875" s="66" t="s">
        <v>62</v>
      </c>
      <c r="D875" s="64">
        <v>42586</v>
      </c>
      <c r="E875">
        <v>8.2688128566781316E-3</v>
      </c>
      <c r="F875">
        <v>3.3012271479289999E-2</v>
      </c>
      <c r="G875" s="40">
        <f t="shared" si="34"/>
        <v>0</v>
      </c>
      <c r="H875" s="33">
        <f t="shared" si="35"/>
        <v>-3.3012271479289999E-2</v>
      </c>
      <c r="I875" s="43"/>
      <c r="K875"/>
      <c r="L875"/>
    </row>
    <row r="876" spans="2:12" ht="15">
      <c r="B876" s="32">
        <v>1</v>
      </c>
      <c r="C876" s="66" t="s">
        <v>62</v>
      </c>
      <c r="D876" s="64">
        <v>42587</v>
      </c>
      <c r="E876">
        <v>1.8993174278660874E-3</v>
      </c>
      <c r="F876">
        <v>3.4658914956551198E-2</v>
      </c>
      <c r="G876" s="40">
        <f t="shared" si="34"/>
        <v>0</v>
      </c>
      <c r="H876" s="33">
        <f t="shared" si="35"/>
        <v>-3.4658914956551198E-2</v>
      </c>
      <c r="I876" s="43"/>
      <c r="K876"/>
      <c r="L876"/>
    </row>
    <row r="877" spans="2:12" ht="15">
      <c r="B877" s="32">
        <v>1</v>
      </c>
      <c r="C877" s="66" t="s">
        <v>62</v>
      </c>
      <c r="D877" s="64">
        <v>42590</v>
      </c>
      <c r="E877">
        <v>1.3655845711122439E-3</v>
      </c>
      <c r="F877">
        <v>2.6727639484086116E-2</v>
      </c>
      <c r="G877" s="40">
        <f t="shared" si="34"/>
        <v>0</v>
      </c>
      <c r="H877" s="33">
        <f t="shared" si="35"/>
        <v>-2.6727639484086116E-2</v>
      </c>
      <c r="I877" s="43"/>
      <c r="K877"/>
      <c r="L877"/>
    </row>
    <row r="878" spans="2:12" ht="15">
      <c r="B878" s="32">
        <v>1</v>
      </c>
      <c r="C878" s="66" t="s">
        <v>62</v>
      </c>
      <c r="D878" s="64">
        <v>42591</v>
      </c>
      <c r="E878">
        <v>4.1238528124409868E-4</v>
      </c>
      <c r="F878">
        <v>2.6469713792099357E-2</v>
      </c>
      <c r="G878" s="40">
        <f t="shared" si="34"/>
        <v>0</v>
      </c>
      <c r="H878" s="33">
        <f t="shared" si="35"/>
        <v>-2.6469713792099357E-2</v>
      </c>
      <c r="I878" s="43"/>
      <c r="K878"/>
      <c r="L878"/>
    </row>
    <row r="879" spans="2:12" ht="15">
      <c r="B879" s="32">
        <v>1</v>
      </c>
      <c r="C879" s="66" t="s">
        <v>62</v>
      </c>
      <c r="D879" s="64">
        <v>42592</v>
      </c>
      <c r="E879">
        <v>5.2310491729308239E-3</v>
      </c>
      <c r="F879">
        <v>2.5115970783683165E-2</v>
      </c>
      <c r="G879" s="40">
        <f t="shared" si="34"/>
        <v>0</v>
      </c>
      <c r="H879" s="33">
        <f t="shared" si="35"/>
        <v>-2.5115970783683165E-2</v>
      </c>
      <c r="I879" s="43"/>
      <c r="K879"/>
      <c r="L879"/>
    </row>
    <row r="880" spans="2:12" ht="15">
      <c r="B880" s="32">
        <v>1</v>
      </c>
      <c r="C880" s="66" t="s">
        <v>62</v>
      </c>
      <c r="D880" s="64">
        <v>42593</v>
      </c>
      <c r="E880">
        <v>-4.7464212978836073E-3</v>
      </c>
      <c r="F880">
        <v>2.5993461715821297E-2</v>
      </c>
      <c r="G880" s="40">
        <f t="shared" si="34"/>
        <v>0</v>
      </c>
      <c r="H880" s="33">
        <f t="shared" si="35"/>
        <v>-2.5993461715821297E-2</v>
      </c>
      <c r="I880" s="43"/>
      <c r="K880"/>
      <c r="L880"/>
    </row>
    <row r="881" spans="2:12" ht="15">
      <c r="B881" s="32">
        <v>1</v>
      </c>
      <c r="C881" s="66" t="s">
        <v>62</v>
      </c>
      <c r="D881" s="64">
        <v>42594</v>
      </c>
      <c r="E881">
        <v>-5.3162180915080626E-3</v>
      </c>
      <c r="F881">
        <v>2.494327161615132E-2</v>
      </c>
      <c r="G881" s="40">
        <f t="shared" si="34"/>
        <v>0</v>
      </c>
      <c r="H881" s="33">
        <f t="shared" si="35"/>
        <v>-2.494327161615132E-2</v>
      </c>
      <c r="I881" s="43"/>
      <c r="K881"/>
      <c r="L881"/>
    </row>
    <row r="882" spans="2:12" ht="15">
      <c r="B882" s="32">
        <v>1</v>
      </c>
      <c r="C882" s="66" t="s">
        <v>62</v>
      </c>
      <c r="D882" s="64">
        <v>42597</v>
      </c>
      <c r="E882">
        <v>-9.6852985545625714E-3</v>
      </c>
      <c r="F882">
        <v>2.510274959106484E-2</v>
      </c>
      <c r="G882" s="40">
        <f t="shared" si="34"/>
        <v>0</v>
      </c>
      <c r="H882" s="33">
        <f t="shared" si="35"/>
        <v>-2.510274959106484E-2</v>
      </c>
      <c r="I882" s="43"/>
      <c r="K882"/>
      <c r="L882"/>
    </row>
    <row r="883" spans="2:12" ht="15">
      <c r="B883" s="32">
        <v>1</v>
      </c>
      <c r="C883" s="66" t="s">
        <v>62</v>
      </c>
      <c r="D883" s="64">
        <v>42598</v>
      </c>
      <c r="E883">
        <v>1.0232722062637478E-3</v>
      </c>
      <c r="F883">
        <v>2.6739725194880767E-2</v>
      </c>
      <c r="G883" s="40">
        <f t="shared" si="34"/>
        <v>0</v>
      </c>
      <c r="H883" s="33">
        <f t="shared" si="35"/>
        <v>-2.6739725194880767E-2</v>
      </c>
      <c r="I883" s="43"/>
      <c r="K883"/>
      <c r="L883"/>
    </row>
    <row r="884" spans="2:12" ht="15">
      <c r="B884" s="32">
        <v>1</v>
      </c>
      <c r="C884" s="66" t="s">
        <v>62</v>
      </c>
      <c r="D884" s="64">
        <v>42599</v>
      </c>
      <c r="E884">
        <v>-2.7991656730312897E-3</v>
      </c>
      <c r="F884">
        <v>2.6702888380322025E-2</v>
      </c>
      <c r="G884" s="40">
        <f t="shared" si="34"/>
        <v>0</v>
      </c>
      <c r="H884" s="33">
        <f t="shared" si="35"/>
        <v>-2.6702888380322025E-2</v>
      </c>
      <c r="I884" s="43"/>
      <c r="K884"/>
      <c r="L884"/>
    </row>
    <row r="885" spans="2:12" ht="15">
      <c r="B885" s="32">
        <v>1</v>
      </c>
      <c r="C885" s="66" t="s">
        <v>62</v>
      </c>
      <c r="D885" s="64">
        <v>42600</v>
      </c>
      <c r="E885">
        <v>-7.3750585462741824E-3</v>
      </c>
      <c r="F885">
        <v>2.6094794440753643E-2</v>
      </c>
      <c r="G885" s="40">
        <f t="shared" si="34"/>
        <v>0</v>
      </c>
      <c r="H885" s="33">
        <f t="shared" si="35"/>
        <v>-2.6094794440753643E-2</v>
      </c>
      <c r="I885" s="43"/>
      <c r="K885"/>
      <c r="L885"/>
    </row>
    <row r="886" spans="2:12" ht="15">
      <c r="B886" s="32">
        <v>1</v>
      </c>
      <c r="C886" s="66" t="s">
        <v>62</v>
      </c>
      <c r="D886" s="64">
        <v>42601</v>
      </c>
      <c r="E886">
        <v>-5.9751341818934378E-3</v>
      </c>
      <c r="F886">
        <v>2.5434281021818748E-2</v>
      </c>
      <c r="G886" s="40">
        <f t="shared" si="34"/>
        <v>0</v>
      </c>
      <c r="H886" s="33">
        <f t="shared" si="35"/>
        <v>-2.5434281021818748E-2</v>
      </c>
      <c r="I886" s="43"/>
      <c r="K886"/>
      <c r="L886"/>
    </row>
    <row r="887" spans="2:12" ht="15">
      <c r="B887" s="32">
        <v>1</v>
      </c>
      <c r="C887" s="66" t="s">
        <v>62</v>
      </c>
      <c r="D887" s="64">
        <v>42604</v>
      </c>
      <c r="E887">
        <v>-1.2194109993686197E-3</v>
      </c>
      <c r="F887">
        <v>2.4491967292729396E-2</v>
      </c>
      <c r="G887" s="40">
        <f t="shared" si="34"/>
        <v>0</v>
      </c>
      <c r="H887" s="33">
        <f t="shared" si="35"/>
        <v>-2.4491967292729396E-2</v>
      </c>
      <c r="I887" s="43"/>
      <c r="K887"/>
      <c r="L887"/>
    </row>
    <row r="888" spans="2:12" ht="15">
      <c r="B888" s="32">
        <v>1</v>
      </c>
      <c r="C888" s="66" t="s">
        <v>62</v>
      </c>
      <c r="D888" s="64">
        <v>42605</v>
      </c>
      <c r="E888">
        <v>-1.9203545661294896E-4</v>
      </c>
      <c r="F888">
        <v>2.4039194105489832E-2</v>
      </c>
      <c r="G888" s="40">
        <f t="shared" si="34"/>
        <v>0</v>
      </c>
      <c r="H888" s="33">
        <f t="shared" si="35"/>
        <v>-2.4039194105489832E-2</v>
      </c>
      <c r="I888" s="43"/>
      <c r="K888"/>
      <c r="L888"/>
    </row>
    <row r="889" spans="2:12" ht="15">
      <c r="B889" s="32">
        <v>1</v>
      </c>
      <c r="C889" s="66" t="s">
        <v>62</v>
      </c>
      <c r="D889" s="64">
        <v>42606</v>
      </c>
      <c r="E889">
        <v>4.9156240586780697E-3</v>
      </c>
      <c r="F889">
        <v>2.5699182738701167E-2</v>
      </c>
      <c r="G889" s="40">
        <f t="shared" si="34"/>
        <v>0</v>
      </c>
      <c r="H889" s="33">
        <f t="shared" si="35"/>
        <v>-2.5699182738701167E-2</v>
      </c>
      <c r="I889" s="43"/>
      <c r="K889"/>
      <c r="L889"/>
    </row>
    <row r="890" spans="2:12" ht="15">
      <c r="B890" s="32">
        <v>1</v>
      </c>
      <c r="C890" s="66" t="s">
        <v>62</v>
      </c>
      <c r="D890" s="64">
        <v>42607</v>
      </c>
      <c r="E890">
        <v>4.0562960682821725E-3</v>
      </c>
      <c r="F890">
        <v>2.5724053840803479E-2</v>
      </c>
      <c r="G890" s="40">
        <f t="shared" si="34"/>
        <v>0</v>
      </c>
      <c r="H890" s="33">
        <f t="shared" si="35"/>
        <v>-2.5724053840803479E-2</v>
      </c>
      <c r="I890" s="43"/>
      <c r="K890"/>
      <c r="L890"/>
    </row>
    <row r="891" spans="2:12" ht="15">
      <c r="B891" s="32">
        <v>1</v>
      </c>
      <c r="C891" s="66" t="s">
        <v>62</v>
      </c>
      <c r="D891" s="64">
        <v>42608</v>
      </c>
      <c r="E891">
        <v>-1.9191381826243692E-2</v>
      </c>
      <c r="F891">
        <v>2.5737792080180899E-2</v>
      </c>
      <c r="G891" s="40">
        <f t="shared" si="34"/>
        <v>0</v>
      </c>
      <c r="H891" s="33">
        <f t="shared" si="35"/>
        <v>-2.5737792080180899E-2</v>
      </c>
      <c r="I891" s="43"/>
      <c r="K891"/>
      <c r="L891"/>
    </row>
    <row r="892" spans="2:12" ht="15">
      <c r="B892" s="32">
        <v>1</v>
      </c>
      <c r="C892" s="66" t="s">
        <v>62</v>
      </c>
      <c r="D892" s="64">
        <v>42611</v>
      </c>
      <c r="E892">
        <v>-9.8354233561650517E-3</v>
      </c>
      <c r="F892">
        <v>2.6974040298110378E-2</v>
      </c>
      <c r="G892" s="40">
        <f t="shared" si="34"/>
        <v>0</v>
      </c>
      <c r="H892" s="33">
        <f t="shared" si="35"/>
        <v>-2.6974040298110378E-2</v>
      </c>
      <c r="I892" s="43"/>
      <c r="K892"/>
      <c r="L892"/>
    </row>
    <row r="893" spans="2:12" ht="15">
      <c r="B893" s="32">
        <v>1</v>
      </c>
      <c r="C893" s="66" t="s">
        <v>62</v>
      </c>
      <c r="D893" s="64">
        <v>42612</v>
      </c>
      <c r="E893">
        <v>-2.2821579805770043E-2</v>
      </c>
      <c r="F893">
        <v>2.7093691259486248E-2</v>
      </c>
      <c r="G893" s="40">
        <f t="shared" si="34"/>
        <v>0</v>
      </c>
      <c r="H893" s="33">
        <f t="shared" si="35"/>
        <v>-2.7093691259486248E-2</v>
      </c>
      <c r="I893" s="43"/>
      <c r="K893"/>
      <c r="L893"/>
    </row>
    <row r="894" spans="2:12" ht="15">
      <c r="B894" s="32">
        <v>1</v>
      </c>
      <c r="C894" s="66" t="s">
        <v>62</v>
      </c>
      <c r="D894" s="64">
        <v>42613</v>
      </c>
      <c r="E894">
        <v>-2.1030738106882829E-2</v>
      </c>
      <c r="F894">
        <v>2.5191200080898264E-2</v>
      </c>
      <c r="G894" s="40">
        <f t="shared" si="34"/>
        <v>0</v>
      </c>
      <c r="H894" s="33">
        <f t="shared" si="35"/>
        <v>-2.5191200080898264E-2</v>
      </c>
      <c r="I894" s="43"/>
      <c r="K894"/>
      <c r="L894"/>
    </row>
    <row r="895" spans="2:12" ht="15">
      <c r="B895" s="32">
        <v>1</v>
      </c>
      <c r="C895" s="66" t="s">
        <v>62</v>
      </c>
      <c r="D895" s="64">
        <v>42614</v>
      </c>
      <c r="E895">
        <v>-1.0930836264223309E-2</v>
      </c>
      <c r="F895">
        <v>2.4740008516138903E-2</v>
      </c>
      <c r="G895" s="40">
        <f t="shared" si="34"/>
        <v>0</v>
      </c>
      <c r="H895" s="33">
        <f t="shared" si="35"/>
        <v>-2.4740008516138903E-2</v>
      </c>
      <c r="I895" s="43"/>
      <c r="K895"/>
      <c r="L895"/>
    </row>
    <row r="896" spans="2:12" ht="15">
      <c r="B896" s="32">
        <v>1</v>
      </c>
      <c r="C896" s="66" t="s">
        <v>62</v>
      </c>
      <c r="D896" s="64">
        <v>42615</v>
      </c>
      <c r="E896">
        <v>-1.8902505798421565E-2</v>
      </c>
      <c r="F896">
        <v>2.5575692804600238E-2</v>
      </c>
      <c r="G896" s="40">
        <f t="shared" si="34"/>
        <v>0</v>
      </c>
      <c r="H896" s="33">
        <f t="shared" si="35"/>
        <v>-2.5575692804600238E-2</v>
      </c>
      <c r="I896" s="43"/>
      <c r="K896"/>
      <c r="L896"/>
    </row>
    <row r="897" spans="2:12" ht="15">
      <c r="B897" s="32">
        <v>1</v>
      </c>
      <c r="C897" s="66" t="s">
        <v>62</v>
      </c>
      <c r="D897" s="64">
        <v>42619</v>
      </c>
      <c r="E897">
        <v>-2.1898351439413766E-2</v>
      </c>
      <c r="F897">
        <v>2.2043648895688526E-2</v>
      </c>
      <c r="G897" s="40">
        <f t="shared" si="34"/>
        <v>0</v>
      </c>
      <c r="H897" s="33">
        <f t="shared" si="35"/>
        <v>-2.2043648895688526E-2</v>
      </c>
      <c r="I897" s="43"/>
      <c r="K897"/>
      <c r="L897"/>
    </row>
    <row r="898" spans="2:12" ht="15">
      <c r="B898" s="32">
        <v>1</v>
      </c>
      <c r="C898" s="66" t="s">
        <v>62</v>
      </c>
      <c r="D898" s="64">
        <v>42620</v>
      </c>
      <c r="E898">
        <v>-2.1452861984054827E-2</v>
      </c>
      <c r="F898">
        <v>2.1985285571753353E-2</v>
      </c>
      <c r="G898" s="40">
        <f t="shared" si="34"/>
        <v>0</v>
      </c>
      <c r="H898" s="33">
        <f t="shared" si="35"/>
        <v>-2.1985285571753353E-2</v>
      </c>
      <c r="I898" s="43"/>
      <c r="K898"/>
      <c r="L898"/>
    </row>
    <row r="899" spans="2:12" ht="15">
      <c r="B899" s="32">
        <v>1</v>
      </c>
      <c r="C899" s="66" t="s">
        <v>62</v>
      </c>
      <c r="D899" s="64">
        <v>42621</v>
      </c>
      <c r="E899">
        <v>-8.3693737829877435E-3</v>
      </c>
      <c r="F899">
        <v>2.2295496625319156E-2</v>
      </c>
      <c r="G899" s="40">
        <f t="shared" si="34"/>
        <v>0</v>
      </c>
      <c r="H899" s="33">
        <f t="shared" si="35"/>
        <v>-2.2295496625319156E-2</v>
      </c>
      <c r="I899" s="43"/>
      <c r="K899"/>
      <c r="L899"/>
    </row>
    <row r="900" spans="2:12" ht="15">
      <c r="B900" s="32">
        <v>1</v>
      </c>
      <c r="C900" s="66" t="s">
        <v>62</v>
      </c>
      <c r="D900" s="64">
        <v>42622</v>
      </c>
      <c r="E900">
        <v>2.2937120685106116E-2</v>
      </c>
      <c r="F900">
        <v>4.5601931874554628E-2</v>
      </c>
      <c r="G900" s="40">
        <f t="shared" si="34"/>
        <v>0</v>
      </c>
      <c r="H900" s="33">
        <f t="shared" si="35"/>
        <v>-4.5601931874554628E-2</v>
      </c>
      <c r="I900" s="43"/>
      <c r="K900"/>
      <c r="L900"/>
    </row>
    <row r="901" spans="2:12" ht="15">
      <c r="B901" s="32">
        <v>1</v>
      </c>
      <c r="C901" s="66" t="s">
        <v>62</v>
      </c>
      <c r="D901" s="64">
        <v>42625</v>
      </c>
      <c r="E901">
        <v>2.6134403590898359E-3</v>
      </c>
      <c r="F901">
        <v>5.1355319997182E-2</v>
      </c>
      <c r="G901" s="40">
        <f t="shared" si="34"/>
        <v>0</v>
      </c>
      <c r="H901" s="33">
        <f t="shared" si="35"/>
        <v>-5.1355319997182E-2</v>
      </c>
      <c r="I901" s="43"/>
      <c r="K901"/>
      <c r="L901"/>
    </row>
    <row r="902" spans="2:12" ht="15">
      <c r="B902" s="32">
        <v>1</v>
      </c>
      <c r="C902" s="66" t="s">
        <v>62</v>
      </c>
      <c r="D902" s="64">
        <v>42626</v>
      </c>
      <c r="E902">
        <v>8.9303386179029332E-3</v>
      </c>
      <c r="F902">
        <v>5.6294763748016063E-2</v>
      </c>
      <c r="G902" s="40">
        <f t="shared" ref="G902:G965" si="36">--(E902&lt;-F902)</f>
        <v>0</v>
      </c>
      <c r="H902" s="33">
        <f t="shared" ref="H902:H965" si="37">-F902</f>
        <v>-5.6294763748016063E-2</v>
      </c>
      <c r="I902" s="43"/>
      <c r="K902"/>
      <c r="L902"/>
    </row>
    <row r="903" spans="2:12" ht="15">
      <c r="B903" s="32">
        <v>1</v>
      </c>
      <c r="C903" s="66" t="s">
        <v>62</v>
      </c>
      <c r="D903" s="64">
        <v>42627</v>
      </c>
      <c r="E903">
        <v>1.5941683189093503E-2</v>
      </c>
      <c r="F903">
        <v>5.5897152794364753E-2</v>
      </c>
      <c r="G903" s="40">
        <f t="shared" si="36"/>
        <v>0</v>
      </c>
      <c r="H903" s="33">
        <f t="shared" si="37"/>
        <v>-5.5897152794364753E-2</v>
      </c>
      <c r="I903" s="43"/>
      <c r="K903"/>
      <c r="L903"/>
    </row>
    <row r="904" spans="2:12" ht="15">
      <c r="B904" s="32">
        <v>1</v>
      </c>
      <c r="C904" s="66" t="s">
        <v>62</v>
      </c>
      <c r="D904" s="64">
        <v>42628</v>
      </c>
      <c r="E904">
        <v>1.1165743201919653E-2</v>
      </c>
      <c r="F904">
        <v>5.8352360878220745E-2</v>
      </c>
      <c r="G904" s="40">
        <f t="shared" si="36"/>
        <v>0</v>
      </c>
      <c r="H904" s="33">
        <f t="shared" si="37"/>
        <v>-5.8352360878220745E-2</v>
      </c>
      <c r="I904" s="43"/>
      <c r="K904"/>
      <c r="L904"/>
    </row>
    <row r="905" spans="2:12" ht="15">
      <c r="B905" s="32">
        <v>1</v>
      </c>
      <c r="C905" s="66" t="s">
        <v>62</v>
      </c>
      <c r="D905" s="64">
        <v>42629</v>
      </c>
      <c r="E905">
        <v>5.5800436012054533E-3</v>
      </c>
      <c r="F905">
        <v>5.8389451170382703E-2</v>
      </c>
      <c r="G905" s="40">
        <f t="shared" si="36"/>
        <v>0</v>
      </c>
      <c r="H905" s="33">
        <f t="shared" si="37"/>
        <v>-5.8389451170382703E-2</v>
      </c>
      <c r="I905" s="43"/>
      <c r="K905"/>
      <c r="L905"/>
    </row>
    <row r="906" spans="2:12" ht="15">
      <c r="B906" s="32">
        <v>1</v>
      </c>
      <c r="C906" s="66" t="s">
        <v>62</v>
      </c>
      <c r="D906" s="64">
        <v>42632</v>
      </c>
      <c r="E906">
        <v>1.3535039588603581E-2</v>
      </c>
      <c r="F906">
        <v>5.8174327586153027E-2</v>
      </c>
      <c r="G906" s="40">
        <f t="shared" si="36"/>
        <v>0</v>
      </c>
      <c r="H906" s="33">
        <f t="shared" si="37"/>
        <v>-5.8174327586153027E-2</v>
      </c>
      <c r="I906" s="43"/>
      <c r="K906"/>
      <c r="L906"/>
    </row>
    <row r="907" spans="2:12" ht="15">
      <c r="B907" s="32">
        <v>1</v>
      </c>
      <c r="C907" s="66" t="s">
        <v>62</v>
      </c>
      <c r="D907" s="64">
        <v>42633</v>
      </c>
      <c r="E907">
        <v>9.9699224299421019E-3</v>
      </c>
      <c r="F907">
        <v>5.8210097606272306E-2</v>
      </c>
      <c r="G907" s="40">
        <f t="shared" si="36"/>
        <v>0</v>
      </c>
      <c r="H907" s="33">
        <f t="shared" si="37"/>
        <v>-5.8210097606272306E-2</v>
      </c>
      <c r="I907" s="43"/>
      <c r="K907"/>
      <c r="L907"/>
    </row>
    <row r="908" spans="2:12" ht="15">
      <c r="B908" s="32">
        <v>1</v>
      </c>
      <c r="C908" s="66" t="s">
        <v>62</v>
      </c>
      <c r="D908" s="64">
        <v>42634</v>
      </c>
      <c r="E908">
        <v>-5.8559595233012018E-3</v>
      </c>
      <c r="F908">
        <v>6.1235841036708399E-2</v>
      </c>
      <c r="G908" s="40">
        <f t="shared" si="36"/>
        <v>0</v>
      </c>
      <c r="H908" s="33">
        <f t="shared" si="37"/>
        <v>-6.1235841036708399E-2</v>
      </c>
      <c r="I908" s="43"/>
      <c r="K908"/>
      <c r="L908"/>
    </row>
    <row r="909" spans="2:12" ht="15">
      <c r="B909" s="32">
        <v>1</v>
      </c>
      <c r="C909" s="66" t="s">
        <v>62</v>
      </c>
      <c r="D909" s="64">
        <v>42635</v>
      </c>
      <c r="E909">
        <v>-8.0472255695447359E-3</v>
      </c>
      <c r="F909">
        <v>6.2136642039362408E-2</v>
      </c>
      <c r="G909" s="40">
        <f t="shared" si="36"/>
        <v>0</v>
      </c>
      <c r="H909" s="33">
        <f t="shared" si="37"/>
        <v>-6.2136642039362408E-2</v>
      </c>
      <c r="I909" s="43"/>
      <c r="K909"/>
      <c r="L909"/>
    </row>
    <row r="910" spans="2:12" ht="15">
      <c r="B910" s="32">
        <v>1</v>
      </c>
      <c r="C910" s="66" t="s">
        <v>62</v>
      </c>
      <c r="D910" s="64">
        <v>42636</v>
      </c>
      <c r="E910">
        <v>-1.8124879705094799E-3</v>
      </c>
      <c r="F910">
        <v>6.2251321362146977E-2</v>
      </c>
      <c r="G910" s="40">
        <f t="shared" si="36"/>
        <v>0</v>
      </c>
      <c r="H910" s="33">
        <f t="shared" si="37"/>
        <v>-6.2251321362146977E-2</v>
      </c>
      <c r="I910" s="43"/>
      <c r="K910"/>
      <c r="L910"/>
    </row>
    <row r="911" spans="2:12" ht="15">
      <c r="B911" s="32">
        <v>1</v>
      </c>
      <c r="C911" s="66" t="s">
        <v>62</v>
      </c>
      <c r="D911" s="64">
        <v>42639</v>
      </c>
      <c r="E911">
        <v>3.553574032189033E-3</v>
      </c>
      <c r="F911">
        <v>6.3682108002720367E-2</v>
      </c>
      <c r="G911" s="40">
        <f t="shared" si="36"/>
        <v>0</v>
      </c>
      <c r="H911" s="33">
        <f t="shared" si="37"/>
        <v>-6.3682108002720367E-2</v>
      </c>
      <c r="I911" s="43"/>
      <c r="K911"/>
      <c r="L911"/>
    </row>
    <row r="912" spans="2:12" ht="15">
      <c r="B912" s="32">
        <v>1</v>
      </c>
      <c r="C912" s="66" t="s">
        <v>62</v>
      </c>
      <c r="D912" s="64">
        <v>42640</v>
      </c>
      <c r="E912">
        <v>1.7254092362772866E-3</v>
      </c>
      <c r="F912">
        <v>6.463158184607444E-2</v>
      </c>
      <c r="G912" s="40">
        <f t="shared" si="36"/>
        <v>0</v>
      </c>
      <c r="H912" s="33">
        <f t="shared" si="37"/>
        <v>-6.463158184607444E-2</v>
      </c>
      <c r="I912" s="43"/>
      <c r="K912"/>
      <c r="L912"/>
    </row>
    <row r="913" spans="2:12" ht="15">
      <c r="B913" s="32">
        <v>1</v>
      </c>
      <c r="C913" s="66" t="s">
        <v>62</v>
      </c>
      <c r="D913" s="64">
        <v>42641</v>
      </c>
      <c r="E913">
        <v>-1.6081744981213397E-2</v>
      </c>
      <c r="F913">
        <v>6.4647122018634984E-2</v>
      </c>
      <c r="G913" s="40">
        <f t="shared" si="36"/>
        <v>0</v>
      </c>
      <c r="H913" s="33">
        <f t="shared" si="37"/>
        <v>-6.4647122018634984E-2</v>
      </c>
      <c r="I913" s="43"/>
      <c r="K913"/>
      <c r="L913"/>
    </row>
    <row r="914" spans="2:12" ht="15">
      <c r="B914" s="32">
        <v>1</v>
      </c>
      <c r="C914" s="66" t="s">
        <v>62</v>
      </c>
      <c r="D914" s="64">
        <v>42642</v>
      </c>
      <c r="E914">
        <v>-5.570684830873418E-3</v>
      </c>
      <c r="F914">
        <v>6.6266489302280449E-2</v>
      </c>
      <c r="G914" s="40">
        <f t="shared" si="36"/>
        <v>0</v>
      </c>
      <c r="H914" s="33">
        <f t="shared" si="37"/>
        <v>-6.6266489302280449E-2</v>
      </c>
      <c r="I914" s="43"/>
      <c r="K914"/>
      <c r="L914"/>
    </row>
    <row r="915" spans="2:12" ht="15">
      <c r="B915" s="32">
        <v>1</v>
      </c>
      <c r="C915" s="66" t="s">
        <v>62</v>
      </c>
      <c r="D915" s="64">
        <v>42643</v>
      </c>
      <c r="E915">
        <v>-1.6611154047558863E-2</v>
      </c>
      <c r="F915">
        <v>6.7552708222314267E-2</v>
      </c>
      <c r="G915" s="40">
        <f t="shared" si="36"/>
        <v>0</v>
      </c>
      <c r="H915" s="33">
        <f t="shared" si="37"/>
        <v>-6.7552708222314267E-2</v>
      </c>
      <c r="I915" s="43"/>
      <c r="K915"/>
      <c r="L915"/>
    </row>
    <row r="916" spans="2:12" ht="15">
      <c r="B916" s="32">
        <v>1</v>
      </c>
      <c r="C916" s="66" t="s">
        <v>62</v>
      </c>
      <c r="D916" s="64">
        <v>42646</v>
      </c>
      <c r="E916">
        <v>-1.3143546711555487E-2</v>
      </c>
      <c r="F916">
        <v>6.7748516540951195E-2</v>
      </c>
      <c r="G916" s="40">
        <f t="shared" si="36"/>
        <v>0</v>
      </c>
      <c r="H916" s="33">
        <f t="shared" si="37"/>
        <v>-6.7748516540951195E-2</v>
      </c>
      <c r="I916" s="43"/>
      <c r="K916"/>
      <c r="L916"/>
    </row>
    <row r="917" spans="2:12" ht="15">
      <c r="B917" s="32">
        <v>1</v>
      </c>
      <c r="C917" s="66" t="s">
        <v>62</v>
      </c>
      <c r="D917" s="64">
        <v>42647</v>
      </c>
      <c r="E917">
        <v>-1.121828278781134E-2</v>
      </c>
      <c r="F917">
        <v>6.7732909894464829E-2</v>
      </c>
      <c r="G917" s="40">
        <f t="shared" si="36"/>
        <v>0</v>
      </c>
      <c r="H917" s="33">
        <f t="shared" si="37"/>
        <v>-6.7732909894464829E-2</v>
      </c>
      <c r="I917" s="43"/>
      <c r="K917"/>
      <c r="L917"/>
    </row>
    <row r="918" spans="2:12" ht="15">
      <c r="B918" s="32">
        <v>1</v>
      </c>
      <c r="C918" s="66" t="s">
        <v>62</v>
      </c>
      <c r="D918" s="64">
        <v>42648</v>
      </c>
      <c r="E918">
        <v>-9.3642631445955971E-3</v>
      </c>
      <c r="F918">
        <v>6.7954996541981089E-2</v>
      </c>
      <c r="G918" s="40">
        <f t="shared" si="36"/>
        <v>0</v>
      </c>
      <c r="H918" s="33">
        <f t="shared" si="37"/>
        <v>-6.7954996541981089E-2</v>
      </c>
      <c r="I918" s="43"/>
      <c r="K918"/>
      <c r="L918"/>
    </row>
    <row r="919" spans="2:12" ht="15">
      <c r="B919" s="32">
        <v>1</v>
      </c>
      <c r="C919" s="66" t="s">
        <v>62</v>
      </c>
      <c r="D919" s="64">
        <v>42649</v>
      </c>
      <c r="E919">
        <v>-7.6561354656341507E-3</v>
      </c>
      <c r="F919">
        <v>6.7973463161780823E-2</v>
      </c>
      <c r="G919" s="40">
        <f t="shared" si="36"/>
        <v>0</v>
      </c>
      <c r="H919" s="33">
        <f t="shared" si="37"/>
        <v>-6.7973463161780823E-2</v>
      </c>
      <c r="I919" s="43"/>
      <c r="K919"/>
      <c r="L919"/>
    </row>
    <row r="920" spans="2:12" ht="15">
      <c r="B920" s="32">
        <v>1</v>
      </c>
      <c r="C920" s="66" t="s">
        <v>62</v>
      </c>
      <c r="D920" s="64">
        <v>42650</v>
      </c>
      <c r="E920">
        <v>-5.774018749417742E-3</v>
      </c>
      <c r="F920">
        <v>6.8062307246104931E-2</v>
      </c>
      <c r="G920" s="40">
        <f t="shared" si="36"/>
        <v>0</v>
      </c>
      <c r="H920" s="33">
        <f t="shared" si="37"/>
        <v>-6.8062307246104931E-2</v>
      </c>
      <c r="I920" s="43"/>
      <c r="K920"/>
      <c r="L920"/>
    </row>
    <row r="921" spans="2:12" ht="15">
      <c r="B921" s="32">
        <v>1</v>
      </c>
      <c r="C921" s="66" t="s">
        <v>62</v>
      </c>
      <c r="D921" s="64">
        <v>42653</v>
      </c>
      <c r="E921">
        <v>-1.0453494367327565E-2</v>
      </c>
      <c r="F921">
        <v>5.4831474022089238E-2</v>
      </c>
      <c r="G921" s="40">
        <f t="shared" si="36"/>
        <v>0</v>
      </c>
      <c r="H921" s="33">
        <f t="shared" si="37"/>
        <v>-5.4831474022089238E-2</v>
      </c>
      <c r="I921" s="43"/>
      <c r="K921"/>
      <c r="L921"/>
    </row>
    <row r="922" spans="2:12" ht="15">
      <c r="B922" s="32">
        <v>1</v>
      </c>
      <c r="C922" s="66" t="s">
        <v>62</v>
      </c>
      <c r="D922" s="64">
        <v>42654</v>
      </c>
      <c r="E922">
        <v>6.8096781396604911E-3</v>
      </c>
      <c r="F922">
        <v>5.3652257356233357E-2</v>
      </c>
      <c r="G922" s="40">
        <f t="shared" si="36"/>
        <v>0</v>
      </c>
      <c r="H922" s="33">
        <f t="shared" si="37"/>
        <v>-5.3652257356233357E-2</v>
      </c>
      <c r="I922" s="43"/>
      <c r="K922"/>
      <c r="L922"/>
    </row>
    <row r="923" spans="2:12" ht="15">
      <c r="B923" s="32">
        <v>1</v>
      </c>
      <c r="C923" s="66" t="s">
        <v>62</v>
      </c>
      <c r="D923" s="64">
        <v>42655</v>
      </c>
      <c r="E923">
        <v>1.8587880882501295E-3</v>
      </c>
      <c r="F923">
        <v>4.7830058701201758E-2</v>
      </c>
      <c r="G923" s="40">
        <f t="shared" si="36"/>
        <v>0</v>
      </c>
      <c r="H923" s="33">
        <f t="shared" si="37"/>
        <v>-4.7830058701201758E-2</v>
      </c>
      <c r="I923" s="43"/>
      <c r="K923"/>
      <c r="L923"/>
    </row>
    <row r="924" spans="2:12" ht="15">
      <c r="B924" s="32">
        <v>1</v>
      </c>
      <c r="C924" s="66" t="s">
        <v>62</v>
      </c>
      <c r="D924" s="64">
        <v>42656</v>
      </c>
      <c r="E924">
        <v>3.2209368857092358E-3</v>
      </c>
      <c r="F924">
        <v>4.8122061150088241E-2</v>
      </c>
      <c r="G924" s="40">
        <f t="shared" si="36"/>
        <v>0</v>
      </c>
      <c r="H924" s="33">
        <f t="shared" si="37"/>
        <v>-4.8122061150088241E-2</v>
      </c>
      <c r="I924" s="43"/>
      <c r="K924"/>
      <c r="L924"/>
    </row>
    <row r="925" spans="2:12" ht="15">
      <c r="B925" s="32">
        <v>1</v>
      </c>
      <c r="C925" s="66" t="s">
        <v>62</v>
      </c>
      <c r="D925" s="64">
        <v>42657</v>
      </c>
      <c r="E925">
        <v>2.815692366020528E-5</v>
      </c>
      <c r="F925">
        <v>4.5140242660417648E-2</v>
      </c>
      <c r="G925" s="40">
        <f t="shared" si="36"/>
        <v>0</v>
      </c>
      <c r="H925" s="33">
        <f t="shared" si="37"/>
        <v>-4.5140242660417648E-2</v>
      </c>
      <c r="I925" s="43"/>
      <c r="K925"/>
      <c r="L925"/>
    </row>
    <row r="926" spans="2:12" ht="15">
      <c r="B926" s="32">
        <v>1</v>
      </c>
      <c r="C926" s="66" t="s">
        <v>62</v>
      </c>
      <c r="D926" s="64">
        <v>42660</v>
      </c>
      <c r="E926">
        <v>-4.2365346023309769E-5</v>
      </c>
      <c r="F926">
        <v>4.5002632964561307E-2</v>
      </c>
      <c r="G926" s="40">
        <f t="shared" si="36"/>
        <v>0</v>
      </c>
      <c r="H926" s="33">
        <f t="shared" si="37"/>
        <v>-4.5002632964561307E-2</v>
      </c>
      <c r="I926" s="43"/>
      <c r="K926"/>
      <c r="L926"/>
    </row>
    <row r="927" spans="2:12" ht="15">
      <c r="B927" s="32">
        <v>1</v>
      </c>
      <c r="C927" s="66" t="s">
        <v>62</v>
      </c>
      <c r="D927" s="64">
        <v>42661</v>
      </c>
      <c r="E927">
        <v>-6.3061551068219757E-3</v>
      </c>
      <c r="F927">
        <v>4.6171773568987814E-2</v>
      </c>
      <c r="G927" s="40">
        <f t="shared" si="36"/>
        <v>0</v>
      </c>
      <c r="H927" s="33">
        <f t="shared" si="37"/>
        <v>-4.6171773568987814E-2</v>
      </c>
      <c r="I927" s="43"/>
      <c r="K927"/>
      <c r="L927"/>
    </row>
    <row r="928" spans="2:12" ht="15">
      <c r="B928" s="32">
        <v>1</v>
      </c>
      <c r="C928" s="66" t="s">
        <v>62</v>
      </c>
      <c r="D928" s="64">
        <v>42662</v>
      </c>
      <c r="E928">
        <v>-1.5305745878838373E-2</v>
      </c>
      <c r="F928">
        <v>4.6303279681709379E-2</v>
      </c>
      <c r="G928" s="40">
        <f t="shared" si="36"/>
        <v>0</v>
      </c>
      <c r="H928" s="33">
        <f t="shared" si="37"/>
        <v>-4.6303279681709379E-2</v>
      </c>
      <c r="I928" s="43"/>
      <c r="K928"/>
      <c r="L928"/>
    </row>
    <row r="929" spans="2:12" ht="15">
      <c r="B929" s="32">
        <v>1</v>
      </c>
      <c r="C929" s="66" t="s">
        <v>62</v>
      </c>
      <c r="D929" s="64">
        <v>42663</v>
      </c>
      <c r="E929">
        <v>-2.0475959615362527E-2</v>
      </c>
      <c r="F929">
        <v>4.2631929860791999E-2</v>
      </c>
      <c r="G929" s="40">
        <f t="shared" si="36"/>
        <v>0</v>
      </c>
      <c r="H929" s="33">
        <f t="shared" si="37"/>
        <v>-4.2631929860791999E-2</v>
      </c>
      <c r="I929" s="43"/>
      <c r="K929"/>
      <c r="L929"/>
    </row>
    <row r="930" spans="2:12" ht="15">
      <c r="B930" s="32">
        <v>1</v>
      </c>
      <c r="C930" s="66" t="s">
        <v>62</v>
      </c>
      <c r="D930" s="64">
        <v>42664</v>
      </c>
      <c r="E930">
        <v>-2.4825027254380849E-2</v>
      </c>
      <c r="F930">
        <v>4.1003105985536352E-2</v>
      </c>
      <c r="G930" s="40">
        <f t="shared" si="36"/>
        <v>0</v>
      </c>
      <c r="H930" s="33">
        <f t="shared" si="37"/>
        <v>-4.1003105985536352E-2</v>
      </c>
      <c r="I930" s="43"/>
      <c r="K930"/>
      <c r="L930"/>
    </row>
    <row r="931" spans="2:12" ht="15">
      <c r="B931" s="32">
        <v>1</v>
      </c>
      <c r="C931" s="66" t="s">
        <v>62</v>
      </c>
      <c r="D931" s="64">
        <v>42667</v>
      </c>
      <c r="E931">
        <v>-3.1231141941766793E-2</v>
      </c>
      <c r="F931">
        <v>4.1028896417593441E-2</v>
      </c>
      <c r="G931" s="40">
        <f t="shared" si="36"/>
        <v>0</v>
      </c>
      <c r="H931" s="33">
        <f t="shared" si="37"/>
        <v>-4.1028896417593441E-2</v>
      </c>
      <c r="I931" s="43"/>
      <c r="K931"/>
      <c r="L931"/>
    </row>
    <row r="932" spans="2:12" ht="15">
      <c r="B932" s="32">
        <v>1</v>
      </c>
      <c r="C932" s="66" t="s">
        <v>62</v>
      </c>
      <c r="D932" s="64">
        <v>42668</v>
      </c>
      <c r="E932">
        <v>-5.4459847070980061E-3</v>
      </c>
      <c r="F932">
        <v>3.9063442189213052E-2</v>
      </c>
      <c r="G932" s="40">
        <f t="shared" si="36"/>
        <v>0</v>
      </c>
      <c r="H932" s="33">
        <f t="shared" si="37"/>
        <v>-3.9063442189213052E-2</v>
      </c>
      <c r="I932" s="43"/>
      <c r="K932"/>
      <c r="L932"/>
    </row>
    <row r="933" spans="2:12" ht="15">
      <c r="B933" s="32">
        <v>1</v>
      </c>
      <c r="C933" s="66" t="s">
        <v>62</v>
      </c>
      <c r="D933" s="64">
        <v>42669</v>
      </c>
      <c r="E933">
        <v>6.0821362196428197E-5</v>
      </c>
      <c r="F933">
        <v>3.7563761225986862E-2</v>
      </c>
      <c r="G933" s="40">
        <f t="shared" si="36"/>
        <v>0</v>
      </c>
      <c r="H933" s="33">
        <f t="shared" si="37"/>
        <v>-3.7563761225986862E-2</v>
      </c>
      <c r="I933" s="43"/>
      <c r="K933"/>
      <c r="L933"/>
    </row>
    <row r="934" spans="2:12" ht="15">
      <c r="B934" s="32">
        <v>1</v>
      </c>
      <c r="C934" s="66" t="s">
        <v>62</v>
      </c>
      <c r="D934" s="64">
        <v>42670</v>
      </c>
      <c r="E934">
        <v>1.4068137263607561E-2</v>
      </c>
      <c r="F934">
        <v>3.6477134354131094E-2</v>
      </c>
      <c r="G934" s="40">
        <f t="shared" si="36"/>
        <v>0</v>
      </c>
      <c r="H934" s="33">
        <f t="shared" si="37"/>
        <v>-3.6477134354131094E-2</v>
      </c>
      <c r="I934" s="43"/>
      <c r="K934"/>
      <c r="L934"/>
    </row>
    <row r="935" spans="2:12" ht="15">
      <c r="B935" s="32">
        <v>1</v>
      </c>
      <c r="C935" s="66" t="s">
        <v>62</v>
      </c>
      <c r="D935" s="64">
        <v>42671</v>
      </c>
      <c r="E935">
        <v>1.9130122816855E-2</v>
      </c>
      <c r="F935">
        <v>3.3810333860657467E-2</v>
      </c>
      <c r="G935" s="40">
        <f t="shared" si="36"/>
        <v>0</v>
      </c>
      <c r="H935" s="33">
        <f t="shared" si="37"/>
        <v>-3.3810333860657467E-2</v>
      </c>
      <c r="I935" s="43"/>
      <c r="K935"/>
      <c r="L935"/>
    </row>
    <row r="936" spans="2:12" ht="15">
      <c r="B936" s="32">
        <v>1</v>
      </c>
      <c r="C936" s="66" t="s">
        <v>62</v>
      </c>
      <c r="D936" s="64">
        <v>42674</v>
      </c>
      <c r="E936">
        <v>1.7853478600354578E-2</v>
      </c>
      <c r="F936">
        <v>3.0665443202091067E-2</v>
      </c>
      <c r="G936" s="40">
        <f t="shared" si="36"/>
        <v>0</v>
      </c>
      <c r="H936" s="33">
        <f t="shared" si="37"/>
        <v>-3.0665443202091067E-2</v>
      </c>
      <c r="I936" s="43"/>
      <c r="K936"/>
      <c r="L936"/>
    </row>
    <row r="937" spans="2:12" ht="15">
      <c r="B937" s="32">
        <v>1</v>
      </c>
      <c r="C937" s="66" t="s">
        <v>62</v>
      </c>
      <c r="D937" s="64">
        <v>42675</v>
      </c>
      <c r="E937">
        <v>2.4547987949635086E-2</v>
      </c>
      <c r="F937">
        <v>3.1897686832843559E-2</v>
      </c>
      <c r="G937" s="40">
        <f t="shared" si="36"/>
        <v>0</v>
      </c>
      <c r="H937" s="33">
        <f t="shared" si="37"/>
        <v>-3.1897686832843559E-2</v>
      </c>
      <c r="I937" s="43"/>
      <c r="K937"/>
      <c r="L937"/>
    </row>
    <row r="938" spans="2:12" ht="15">
      <c r="B938" s="32">
        <v>1</v>
      </c>
      <c r="C938" s="66" t="s">
        <v>62</v>
      </c>
      <c r="D938" s="64">
        <v>42676</v>
      </c>
      <c r="E938">
        <v>3.8547828032308828E-2</v>
      </c>
      <c r="F938">
        <v>3.2510238314353984E-2</v>
      </c>
      <c r="G938" s="40">
        <f t="shared" si="36"/>
        <v>0</v>
      </c>
      <c r="H938" s="33">
        <f t="shared" si="37"/>
        <v>-3.2510238314353984E-2</v>
      </c>
      <c r="I938" s="43"/>
    </row>
    <row r="939" spans="2:12" ht="15">
      <c r="B939" s="32">
        <v>1</v>
      </c>
      <c r="C939" s="66" t="s">
        <v>62</v>
      </c>
      <c r="D939" s="64">
        <v>42677</v>
      </c>
      <c r="E939">
        <v>4.1397524011164144E-2</v>
      </c>
      <c r="F939">
        <v>3.1542899690690573E-2</v>
      </c>
      <c r="G939" s="40">
        <f t="shared" si="36"/>
        <v>0</v>
      </c>
      <c r="H939" s="33">
        <f t="shared" si="37"/>
        <v>-3.1542899690690573E-2</v>
      </c>
      <c r="I939" s="43"/>
    </row>
    <row r="940" spans="2:12" ht="15">
      <c r="B940" s="32">
        <v>1</v>
      </c>
      <c r="C940" s="66" t="s">
        <v>62</v>
      </c>
      <c r="D940" s="64">
        <v>42678</v>
      </c>
      <c r="E940">
        <v>4.7730513520227724E-2</v>
      </c>
      <c r="F940">
        <v>3.1348457118583202E-2</v>
      </c>
      <c r="G940" s="40">
        <f t="shared" si="36"/>
        <v>0</v>
      </c>
      <c r="H940" s="33">
        <f t="shared" si="37"/>
        <v>-3.1348457118583202E-2</v>
      </c>
      <c r="I940" s="43"/>
    </row>
    <row r="941" spans="2:12" ht="15">
      <c r="B941" s="32">
        <v>1</v>
      </c>
      <c r="C941" s="66" t="s">
        <v>62</v>
      </c>
      <c r="D941" s="64">
        <v>42681</v>
      </c>
      <c r="E941">
        <v>2.3360662305830893E-2</v>
      </c>
      <c r="F941">
        <v>4.9100365136526013E-2</v>
      </c>
      <c r="G941" s="40">
        <f t="shared" si="36"/>
        <v>0</v>
      </c>
      <c r="H941" s="33">
        <f t="shared" si="37"/>
        <v>-4.9100365136526013E-2</v>
      </c>
      <c r="I941" s="43"/>
    </row>
    <row r="942" spans="2:12" ht="15">
      <c r="B942" s="32">
        <v>1</v>
      </c>
      <c r="C942" s="66" t="s">
        <v>62</v>
      </c>
      <c r="D942" s="64">
        <v>42682</v>
      </c>
      <c r="E942">
        <v>2.7029486330619967E-2</v>
      </c>
      <c r="F942">
        <v>4.888507772572296E-2</v>
      </c>
      <c r="G942" s="40">
        <f t="shared" si="36"/>
        <v>0</v>
      </c>
      <c r="H942" s="33">
        <f t="shared" si="37"/>
        <v>-4.888507772572296E-2</v>
      </c>
      <c r="I942" s="43"/>
    </row>
    <row r="943" spans="2:12" ht="15">
      <c r="B943" s="32">
        <v>1</v>
      </c>
      <c r="C943" s="66" t="s">
        <v>62</v>
      </c>
      <c r="D943" s="64">
        <v>42683</v>
      </c>
      <c r="E943">
        <v>1.8176457288189063E-2</v>
      </c>
      <c r="F943">
        <v>4.7856117202149565E-2</v>
      </c>
      <c r="G943" s="40">
        <f t="shared" si="36"/>
        <v>0</v>
      </c>
      <c r="H943" s="33">
        <f t="shared" si="37"/>
        <v>-4.7856117202149565E-2</v>
      </c>
      <c r="I943" s="43"/>
    </row>
    <row r="944" spans="2:12" ht="15">
      <c r="B944" s="32">
        <v>1</v>
      </c>
      <c r="C944" s="66" t="s">
        <v>62</v>
      </c>
      <c r="D944" s="64">
        <v>42684</v>
      </c>
      <c r="E944">
        <v>1.7035310372677692E-2</v>
      </c>
      <c r="F944">
        <v>4.7898803832356403E-2</v>
      </c>
      <c r="G944" s="40">
        <f t="shared" si="36"/>
        <v>0</v>
      </c>
      <c r="H944" s="33">
        <f t="shared" si="37"/>
        <v>-4.7898803832356403E-2</v>
      </c>
      <c r="I944" s="43"/>
    </row>
    <row r="945" spans="2:9" ht="15">
      <c r="B945" s="32">
        <v>1</v>
      </c>
      <c r="C945" s="66" t="s">
        <v>62</v>
      </c>
      <c r="D945" s="64">
        <v>42685</v>
      </c>
      <c r="E945">
        <v>2.2340984217694704E-2</v>
      </c>
      <c r="F945">
        <v>4.7616892002922212E-2</v>
      </c>
      <c r="G945" s="40">
        <f t="shared" si="36"/>
        <v>0</v>
      </c>
      <c r="H945" s="33">
        <f t="shared" si="37"/>
        <v>-4.7616892002922212E-2</v>
      </c>
      <c r="I945" s="43"/>
    </row>
    <row r="946" spans="2:9" ht="15">
      <c r="B946" s="32">
        <v>1</v>
      </c>
      <c r="C946" s="66" t="s">
        <v>62</v>
      </c>
      <c r="D946" s="64">
        <v>42688</v>
      </c>
      <c r="E946">
        <v>1.7188104399682658E-2</v>
      </c>
      <c r="F946">
        <v>4.7628719521221857E-2</v>
      </c>
      <c r="G946" s="40">
        <f t="shared" si="36"/>
        <v>0</v>
      </c>
      <c r="H946" s="33">
        <f t="shared" si="37"/>
        <v>-4.7628719521221857E-2</v>
      </c>
      <c r="I946" s="43"/>
    </row>
    <row r="947" spans="2:9" ht="15">
      <c r="B947" s="32">
        <v>1</v>
      </c>
      <c r="C947" s="66" t="s">
        <v>62</v>
      </c>
      <c r="D947" s="64">
        <v>42689</v>
      </c>
      <c r="E947">
        <v>1.1069551273502398E-2</v>
      </c>
      <c r="F947">
        <v>4.8376167513491081E-2</v>
      </c>
      <c r="G947" s="40">
        <f t="shared" si="36"/>
        <v>0</v>
      </c>
      <c r="H947" s="33">
        <f t="shared" si="37"/>
        <v>-4.8376167513491081E-2</v>
      </c>
      <c r="I947" s="43"/>
    </row>
    <row r="948" spans="2:9" ht="15">
      <c r="B948" s="32">
        <v>1</v>
      </c>
      <c r="C948" s="66" t="s">
        <v>62</v>
      </c>
      <c r="D948" s="64">
        <v>42690</v>
      </c>
      <c r="E948">
        <v>9.9961378551931546E-3</v>
      </c>
      <c r="F948">
        <v>4.7823725037197118E-2</v>
      </c>
      <c r="G948" s="40">
        <f t="shared" si="36"/>
        <v>0</v>
      </c>
      <c r="H948" s="33">
        <f t="shared" si="37"/>
        <v>-4.7823725037197118E-2</v>
      </c>
      <c r="I948" s="43"/>
    </row>
    <row r="949" spans="2:9" ht="15">
      <c r="B949" s="32">
        <v>1</v>
      </c>
      <c r="C949" s="66" t="s">
        <v>62</v>
      </c>
      <c r="D949" s="64">
        <v>42691</v>
      </c>
      <c r="E949">
        <v>1.8089451845373361E-3</v>
      </c>
      <c r="F949">
        <v>4.817889461389914E-2</v>
      </c>
      <c r="G949" s="40">
        <f t="shared" si="36"/>
        <v>0</v>
      </c>
      <c r="H949" s="33">
        <f t="shared" si="37"/>
        <v>-4.817889461389914E-2</v>
      </c>
      <c r="I949" s="43"/>
    </row>
    <row r="950" spans="2:9" ht="15">
      <c r="B950" s="32">
        <v>1</v>
      </c>
      <c r="C950" s="66" t="s">
        <v>62</v>
      </c>
      <c r="D950" s="64">
        <v>42692</v>
      </c>
      <c r="E950">
        <v>4.5955243206252661E-3</v>
      </c>
      <c r="F950">
        <v>4.8337980266714972E-2</v>
      </c>
      <c r="G950" s="40">
        <f t="shared" si="36"/>
        <v>0</v>
      </c>
      <c r="H950" s="33">
        <f t="shared" si="37"/>
        <v>-4.8337980266714972E-2</v>
      </c>
      <c r="I950" s="43"/>
    </row>
    <row r="951" spans="2:9" ht="15">
      <c r="B951" s="32">
        <v>1</v>
      </c>
      <c r="C951" s="66" t="s">
        <v>62</v>
      </c>
      <c r="D951" s="64">
        <v>42695</v>
      </c>
      <c r="E951">
        <v>2.9662489622213073E-3</v>
      </c>
      <c r="F951">
        <v>4.9420997222398809E-2</v>
      </c>
      <c r="G951" s="40">
        <f t="shared" si="36"/>
        <v>0</v>
      </c>
      <c r="H951" s="33">
        <f t="shared" si="37"/>
        <v>-4.9420997222398809E-2</v>
      </c>
      <c r="I951" s="43"/>
    </row>
    <row r="952" spans="2:9" ht="15">
      <c r="B952" s="32">
        <v>1</v>
      </c>
      <c r="C952" s="66" t="s">
        <v>62</v>
      </c>
      <c r="D952" s="64">
        <v>42696</v>
      </c>
      <c r="E952">
        <v>4.2082424351637115E-3</v>
      </c>
      <c r="F952">
        <v>4.9101174823041556E-2</v>
      </c>
      <c r="G952" s="40">
        <f t="shared" si="36"/>
        <v>0</v>
      </c>
      <c r="H952" s="33">
        <f t="shared" si="37"/>
        <v>-4.9101174823041556E-2</v>
      </c>
      <c r="I952" s="43"/>
    </row>
    <row r="953" spans="2:9" ht="15">
      <c r="B953" s="32">
        <v>1</v>
      </c>
      <c r="C953" s="66" t="s">
        <v>62</v>
      </c>
      <c r="D953" s="64">
        <v>42697</v>
      </c>
      <c r="E953">
        <v>1.6477903069168853E-2</v>
      </c>
      <c r="F953">
        <v>4.8400337586561704E-2</v>
      </c>
      <c r="G953" s="40">
        <f t="shared" si="36"/>
        <v>0</v>
      </c>
      <c r="H953" s="33">
        <f t="shared" si="37"/>
        <v>-4.8400337586561704E-2</v>
      </c>
      <c r="I953" s="43"/>
    </row>
    <row r="954" spans="2:9" ht="15">
      <c r="B954" s="32">
        <v>1</v>
      </c>
      <c r="C954" s="66" t="s">
        <v>62</v>
      </c>
      <c r="D954" s="64">
        <v>42699</v>
      </c>
      <c r="E954">
        <v>1.472817211773414E-2</v>
      </c>
      <c r="F954">
        <v>4.8273656010573401E-2</v>
      </c>
      <c r="G954" s="40">
        <f t="shared" si="36"/>
        <v>0</v>
      </c>
      <c r="H954" s="33">
        <f t="shared" si="37"/>
        <v>-4.8273656010573401E-2</v>
      </c>
      <c r="I954" s="43"/>
    </row>
    <row r="955" spans="2:9" ht="15">
      <c r="B955" s="32">
        <v>1</v>
      </c>
      <c r="C955" s="66" t="s">
        <v>62</v>
      </c>
      <c r="D955" s="64">
        <v>42702</v>
      </c>
      <c r="E955">
        <v>2.5917979975383254E-2</v>
      </c>
      <c r="F955">
        <v>4.899497018340683E-2</v>
      </c>
      <c r="G955" s="40">
        <f t="shared" si="36"/>
        <v>0</v>
      </c>
      <c r="H955" s="33">
        <f t="shared" si="37"/>
        <v>-4.899497018340683E-2</v>
      </c>
      <c r="I955" s="43"/>
    </row>
    <row r="956" spans="2:9" ht="15">
      <c r="B956" s="32">
        <v>1</v>
      </c>
      <c r="C956" s="66" t="s">
        <v>62</v>
      </c>
      <c r="D956" s="64">
        <v>42703</v>
      </c>
      <c r="E956">
        <v>2.3445495675050942E-2</v>
      </c>
      <c r="F956">
        <v>4.8375908605080217E-2</v>
      </c>
      <c r="G956" s="40">
        <f t="shared" si="36"/>
        <v>0</v>
      </c>
      <c r="H956" s="33">
        <f t="shared" si="37"/>
        <v>-4.8375908605080217E-2</v>
      </c>
      <c r="I956" s="43"/>
    </row>
    <row r="957" spans="2:9" ht="15">
      <c r="B957" s="32">
        <v>1</v>
      </c>
      <c r="C957" s="66" t="s">
        <v>62</v>
      </c>
      <c r="D957" s="64">
        <v>42704</v>
      </c>
      <c r="E957">
        <v>3.2620909300065115E-2</v>
      </c>
      <c r="F957">
        <v>4.8806432167752517E-2</v>
      </c>
      <c r="G957" s="40">
        <f t="shared" si="36"/>
        <v>0</v>
      </c>
      <c r="H957" s="33">
        <f t="shared" si="37"/>
        <v>-4.8806432167752517E-2</v>
      </c>
      <c r="I957" s="43"/>
    </row>
    <row r="958" spans="2:9" ht="15">
      <c r="B958" s="32">
        <v>1</v>
      </c>
      <c r="C958" s="66" t="s">
        <v>62</v>
      </c>
      <c r="D958" s="64">
        <v>42705</v>
      </c>
      <c r="E958">
        <v>2.7992336784343763E-2</v>
      </c>
      <c r="F958">
        <v>4.7542262288928112E-2</v>
      </c>
      <c r="G958" s="40">
        <f t="shared" si="36"/>
        <v>0</v>
      </c>
      <c r="H958" s="33">
        <f t="shared" si="37"/>
        <v>-4.7542262288928112E-2</v>
      </c>
      <c r="I958" s="43"/>
    </row>
    <row r="959" spans="2:9" ht="15">
      <c r="B959" s="32">
        <v>1</v>
      </c>
      <c r="C959" s="66" t="s">
        <v>62</v>
      </c>
      <c r="D959" s="64">
        <v>42706</v>
      </c>
      <c r="E959">
        <v>3.147111677368386E-2</v>
      </c>
      <c r="F959">
        <v>4.5524512299400223E-2</v>
      </c>
      <c r="G959" s="40">
        <f t="shared" si="36"/>
        <v>0</v>
      </c>
      <c r="H959" s="33">
        <f t="shared" si="37"/>
        <v>-4.5524512299400223E-2</v>
      </c>
      <c r="I959" s="43"/>
    </row>
    <row r="960" spans="2:9" ht="15">
      <c r="B960" s="32">
        <v>1</v>
      </c>
      <c r="C960" s="66" t="s">
        <v>62</v>
      </c>
      <c r="D960" s="64">
        <v>42709</v>
      </c>
      <c r="E960">
        <v>2.3914532961290647E-2</v>
      </c>
      <c r="F960">
        <v>4.4511897483296772E-2</v>
      </c>
      <c r="G960" s="40">
        <f t="shared" si="36"/>
        <v>0</v>
      </c>
      <c r="H960" s="33">
        <f t="shared" si="37"/>
        <v>-4.4511897483296772E-2</v>
      </c>
      <c r="I960" s="43"/>
    </row>
    <row r="961" spans="2:9" ht="15">
      <c r="B961" s="32">
        <v>1</v>
      </c>
      <c r="C961" s="66" t="s">
        <v>62</v>
      </c>
      <c r="D961" s="64">
        <v>42710</v>
      </c>
      <c r="E961">
        <v>2.2482621475804265E-2</v>
      </c>
      <c r="F961">
        <v>4.3944918648951739E-2</v>
      </c>
      <c r="G961" s="40">
        <f t="shared" si="36"/>
        <v>0</v>
      </c>
      <c r="H961" s="33">
        <f t="shared" si="37"/>
        <v>-4.3944918648951739E-2</v>
      </c>
      <c r="I961" s="43"/>
    </row>
    <row r="962" spans="2:9" ht="15">
      <c r="B962" s="32">
        <v>1</v>
      </c>
      <c r="C962" s="66" t="s">
        <v>62</v>
      </c>
      <c r="D962" s="64">
        <v>42711</v>
      </c>
      <c r="E962">
        <v>1.3036175001404082E-2</v>
      </c>
      <c r="F962">
        <v>3.4815020113369136E-2</v>
      </c>
      <c r="G962" s="40">
        <f t="shared" si="36"/>
        <v>0</v>
      </c>
      <c r="H962" s="33">
        <f t="shared" si="37"/>
        <v>-3.4815020113369136E-2</v>
      </c>
      <c r="I962" s="43"/>
    </row>
    <row r="963" spans="2:9" ht="15">
      <c r="B963" s="32">
        <v>1</v>
      </c>
      <c r="C963" s="66" t="s">
        <v>62</v>
      </c>
      <c r="D963" s="64">
        <v>42712</v>
      </c>
      <c r="E963">
        <v>8.4187746495221205E-3</v>
      </c>
      <c r="F963">
        <v>3.4739118443736249E-2</v>
      </c>
      <c r="G963" s="40">
        <f t="shared" si="36"/>
        <v>0</v>
      </c>
      <c r="H963" s="33">
        <f t="shared" si="37"/>
        <v>-3.4739118443736249E-2</v>
      </c>
      <c r="I963" s="43"/>
    </row>
    <row r="964" spans="2:9" ht="15">
      <c r="B964" s="32">
        <v>1</v>
      </c>
      <c r="C964" s="66" t="s">
        <v>62</v>
      </c>
      <c r="D964" s="64">
        <v>42713</v>
      </c>
      <c r="E964">
        <v>6.3264471367308062E-4</v>
      </c>
      <c r="F964">
        <v>3.215301979907198E-2</v>
      </c>
      <c r="G964" s="40">
        <f t="shared" si="36"/>
        <v>0</v>
      </c>
      <c r="H964" s="33">
        <f t="shared" si="37"/>
        <v>-3.215301979907198E-2</v>
      </c>
      <c r="I964" s="43"/>
    </row>
    <row r="965" spans="2:9" ht="15">
      <c r="B965" s="32">
        <v>1</v>
      </c>
      <c r="C965" s="66" t="s">
        <v>62</v>
      </c>
      <c r="D965" s="64">
        <v>42716</v>
      </c>
      <c r="E965">
        <v>3.0216593250198542E-3</v>
      </c>
      <c r="F965">
        <v>3.2564615971302203E-2</v>
      </c>
      <c r="G965" s="40">
        <f t="shared" si="36"/>
        <v>0</v>
      </c>
      <c r="H965" s="33">
        <f t="shared" si="37"/>
        <v>-3.2564615971302203E-2</v>
      </c>
      <c r="I965" s="43"/>
    </row>
    <row r="966" spans="2:9" ht="15">
      <c r="B966" s="32">
        <v>1</v>
      </c>
      <c r="C966" s="66" t="s">
        <v>62</v>
      </c>
      <c r="D966" s="64">
        <v>42717</v>
      </c>
      <c r="E966">
        <v>-1.2509749644102897E-3</v>
      </c>
      <c r="F966">
        <v>3.2856014641497996E-2</v>
      </c>
      <c r="G966" s="40">
        <f t="shared" ref="G966:G1029" si="38">--(E966&lt;-F966)</f>
        <v>0</v>
      </c>
      <c r="H966" s="33">
        <f t="shared" ref="H966:H1029" si="39">-F966</f>
        <v>-3.2856014641497996E-2</v>
      </c>
      <c r="I966" s="43"/>
    </row>
    <row r="967" spans="2:9" ht="15">
      <c r="B967" s="32">
        <v>1</v>
      </c>
      <c r="C967" s="66" t="s">
        <v>62</v>
      </c>
      <c r="D967" s="64">
        <v>42718</v>
      </c>
      <c r="E967">
        <v>-1.4923199769709683E-3</v>
      </c>
      <c r="F967">
        <v>3.6756913188914539E-2</v>
      </c>
      <c r="G967" s="40">
        <f t="shared" si="38"/>
        <v>0</v>
      </c>
      <c r="H967" s="33">
        <f t="shared" si="39"/>
        <v>-3.6756913188914539E-2</v>
      </c>
      <c r="I967" s="43"/>
    </row>
    <row r="968" spans="2:9" ht="15">
      <c r="B968" s="32">
        <v>1</v>
      </c>
      <c r="C968" s="66" t="s">
        <v>62</v>
      </c>
      <c r="D968" s="64">
        <v>42719</v>
      </c>
      <c r="E968">
        <v>-5.6613753482590568E-3</v>
      </c>
      <c r="F968">
        <v>3.5734403518968026E-2</v>
      </c>
      <c r="G968" s="40">
        <f t="shared" si="38"/>
        <v>0</v>
      </c>
      <c r="H968" s="33">
        <f t="shared" si="39"/>
        <v>-3.5734403518968026E-2</v>
      </c>
      <c r="I968" s="43"/>
    </row>
    <row r="969" spans="2:9" ht="15">
      <c r="B969" s="32">
        <v>1</v>
      </c>
      <c r="C969" s="66" t="s">
        <v>62</v>
      </c>
      <c r="D969" s="64">
        <v>42720</v>
      </c>
      <c r="E969">
        <v>-8.557053426257788E-3</v>
      </c>
      <c r="F969">
        <v>3.5777977109335057E-2</v>
      </c>
      <c r="G969" s="40">
        <f t="shared" si="38"/>
        <v>0</v>
      </c>
      <c r="H969" s="33">
        <f t="shared" si="39"/>
        <v>-3.5777977109335057E-2</v>
      </c>
      <c r="I969" s="43"/>
    </row>
    <row r="970" spans="2:9" ht="15">
      <c r="B970" s="32">
        <v>1</v>
      </c>
      <c r="C970" s="66" t="s">
        <v>62</v>
      </c>
      <c r="D970" s="64">
        <v>42723</v>
      </c>
      <c r="E970">
        <v>-2.0794594157793611E-3</v>
      </c>
      <c r="F970">
        <v>3.5442251181423384E-2</v>
      </c>
      <c r="G970" s="40">
        <f t="shared" si="38"/>
        <v>0</v>
      </c>
      <c r="H970" s="33">
        <f t="shared" si="39"/>
        <v>-3.5442251181423384E-2</v>
      </c>
      <c r="I970" s="43"/>
    </row>
    <row r="971" spans="2:9" ht="15">
      <c r="B971" s="32">
        <v>1</v>
      </c>
      <c r="C971" s="66" t="s">
        <v>62</v>
      </c>
      <c r="D971" s="64">
        <v>42724</v>
      </c>
      <c r="E971">
        <v>-4.4082254477828542E-6</v>
      </c>
      <c r="F971">
        <v>3.491575175715364E-2</v>
      </c>
      <c r="G971" s="40">
        <f t="shared" si="38"/>
        <v>0</v>
      </c>
      <c r="H971" s="33">
        <f t="shared" si="39"/>
        <v>-3.491575175715364E-2</v>
      </c>
      <c r="I971" s="43"/>
    </row>
    <row r="972" spans="2:9" ht="15">
      <c r="B972" s="32">
        <v>1</v>
      </c>
      <c r="C972" s="66" t="s">
        <v>62</v>
      </c>
      <c r="D972" s="64">
        <v>42725</v>
      </c>
      <c r="E972">
        <v>1.6850098413101477E-3</v>
      </c>
      <c r="F972">
        <v>3.4280169754674197E-2</v>
      </c>
      <c r="G972" s="40">
        <f t="shared" si="38"/>
        <v>0</v>
      </c>
      <c r="H972" s="33">
        <f t="shared" si="39"/>
        <v>-3.4280169754674197E-2</v>
      </c>
      <c r="I972" s="43"/>
    </row>
    <row r="973" spans="2:9" ht="15">
      <c r="B973" s="32">
        <v>1</v>
      </c>
      <c r="C973" s="66" t="s">
        <v>62</v>
      </c>
      <c r="D973" s="64">
        <v>42726</v>
      </c>
      <c r="E973">
        <v>7.0605101694294348E-3</v>
      </c>
      <c r="F973">
        <v>3.4654769240285363E-2</v>
      </c>
      <c r="G973" s="40">
        <f t="shared" si="38"/>
        <v>0</v>
      </c>
      <c r="H973" s="33">
        <f t="shared" si="39"/>
        <v>-3.4654769240285363E-2</v>
      </c>
      <c r="I973" s="43"/>
    </row>
    <row r="974" spans="2:9" ht="15">
      <c r="B974" s="32">
        <v>1</v>
      </c>
      <c r="C974" s="66" t="s">
        <v>62</v>
      </c>
      <c r="D974" s="64">
        <v>42727</v>
      </c>
      <c r="E974">
        <v>2.2546722724028356E-3</v>
      </c>
      <c r="F974">
        <v>3.4647182982388496E-2</v>
      </c>
      <c r="G974" s="40">
        <f t="shared" si="38"/>
        <v>0</v>
      </c>
      <c r="H974" s="33">
        <f t="shared" si="39"/>
        <v>-3.4647182982388496E-2</v>
      </c>
      <c r="I974" s="43"/>
    </row>
    <row r="975" spans="2:9" ht="15">
      <c r="B975" s="32">
        <v>1</v>
      </c>
      <c r="C975" s="66" t="s">
        <v>62</v>
      </c>
      <c r="D975" s="64">
        <v>42731</v>
      </c>
      <c r="E975">
        <v>8.8232576054281253E-6</v>
      </c>
      <c r="F975">
        <v>3.440548314676177E-2</v>
      </c>
      <c r="G975" s="40">
        <f t="shared" si="38"/>
        <v>0</v>
      </c>
      <c r="H975" s="33">
        <f t="shared" si="39"/>
        <v>-3.440548314676177E-2</v>
      </c>
      <c r="I975" s="43"/>
    </row>
    <row r="976" spans="2:9" ht="15">
      <c r="B976" s="32">
        <v>1</v>
      </c>
      <c r="C976" s="66" t="s">
        <v>62</v>
      </c>
      <c r="D976" s="64">
        <v>42732</v>
      </c>
      <c r="E976">
        <v>1.1226106377121958E-2</v>
      </c>
      <c r="F976">
        <v>3.6302485855915265E-2</v>
      </c>
      <c r="G976" s="40">
        <f t="shared" si="38"/>
        <v>0</v>
      </c>
      <c r="H976" s="33">
        <f t="shared" si="39"/>
        <v>-3.6302485855915265E-2</v>
      </c>
      <c r="I976" s="43"/>
    </row>
    <row r="977" spans="2:9" ht="15">
      <c r="B977" s="32">
        <v>1</v>
      </c>
      <c r="C977" s="66" t="s">
        <v>62</v>
      </c>
      <c r="D977" s="64">
        <v>42733</v>
      </c>
      <c r="E977">
        <v>9.3723416456326092E-3</v>
      </c>
      <c r="F977">
        <v>3.6359702019584085E-2</v>
      </c>
      <c r="G977" s="40">
        <f t="shared" si="38"/>
        <v>0</v>
      </c>
      <c r="H977" s="33">
        <f t="shared" si="39"/>
        <v>-3.6359702019584085E-2</v>
      </c>
      <c r="I977" s="43"/>
    </row>
    <row r="978" spans="2:9" ht="15">
      <c r="B978" s="32">
        <v>1</v>
      </c>
      <c r="C978" s="66" t="s">
        <v>62</v>
      </c>
      <c r="D978" s="64">
        <v>42734</v>
      </c>
      <c r="E978">
        <v>1.5868308262065867E-2</v>
      </c>
      <c r="F978">
        <v>3.7028987141287745E-2</v>
      </c>
      <c r="G978" s="40">
        <f t="shared" si="38"/>
        <v>0</v>
      </c>
      <c r="H978" s="33">
        <f t="shared" si="39"/>
        <v>-3.7028987141287745E-2</v>
      </c>
      <c r="I978" s="43"/>
    </row>
    <row r="979" spans="2:9" ht="15">
      <c r="B979" s="32">
        <v>1</v>
      </c>
      <c r="C979" s="66" t="s">
        <v>62</v>
      </c>
      <c r="D979" s="64">
        <v>42738</v>
      </c>
      <c r="E979">
        <v>4.445627052771961E-3</v>
      </c>
      <c r="F979">
        <v>3.8166864785611689E-2</v>
      </c>
      <c r="G979" s="40">
        <f t="shared" si="38"/>
        <v>0</v>
      </c>
      <c r="H979" s="33">
        <f t="shared" si="39"/>
        <v>-3.8166864785611689E-2</v>
      </c>
      <c r="I979" s="43"/>
    </row>
    <row r="980" spans="2:9" ht="15">
      <c r="B980" s="32">
        <v>1</v>
      </c>
      <c r="C980" s="66" t="s">
        <v>62</v>
      </c>
      <c r="D980" s="64">
        <v>42739</v>
      </c>
      <c r="E980">
        <v>5.0186369634186434E-4</v>
      </c>
      <c r="F980">
        <v>3.8725868426223532E-2</v>
      </c>
      <c r="G980" s="40">
        <f t="shared" si="38"/>
        <v>0</v>
      </c>
      <c r="H980" s="33">
        <f t="shared" si="39"/>
        <v>-3.8725868426223532E-2</v>
      </c>
      <c r="I980" s="43"/>
    </row>
    <row r="981" spans="2:9" ht="15">
      <c r="B981" s="32">
        <v>1</v>
      </c>
      <c r="C981" s="66" t="s">
        <v>62</v>
      </c>
      <c r="D981" s="64">
        <v>42740</v>
      </c>
      <c r="E981">
        <v>-2.3430066906531266E-3</v>
      </c>
      <c r="F981">
        <v>3.8267635280111012E-2</v>
      </c>
      <c r="G981" s="40">
        <f t="shared" si="38"/>
        <v>0</v>
      </c>
      <c r="H981" s="33">
        <f t="shared" si="39"/>
        <v>-3.8267635280111012E-2</v>
      </c>
      <c r="I981" s="43"/>
    </row>
    <row r="982" spans="2:9" ht="15">
      <c r="B982" s="32">
        <v>1</v>
      </c>
      <c r="C982" s="66" t="s">
        <v>62</v>
      </c>
      <c r="D982" s="64">
        <v>42741</v>
      </c>
      <c r="E982">
        <v>-2.4932112457420885E-3</v>
      </c>
      <c r="F982">
        <v>3.8283229098411101E-2</v>
      </c>
      <c r="G982" s="40">
        <f t="shared" si="38"/>
        <v>0</v>
      </c>
      <c r="H982" s="33">
        <f t="shared" si="39"/>
        <v>-3.8283229098411101E-2</v>
      </c>
      <c r="I982" s="43"/>
    </row>
    <row r="983" spans="2:9" ht="15">
      <c r="B983" s="32">
        <v>1</v>
      </c>
      <c r="C983" s="66" t="s">
        <v>62</v>
      </c>
      <c r="D983" s="64">
        <v>42744</v>
      </c>
      <c r="E983">
        <v>-1.6320557293507676E-3</v>
      </c>
      <c r="F983">
        <v>3.3541725727061801E-2</v>
      </c>
      <c r="G983" s="40">
        <f t="shared" si="38"/>
        <v>0</v>
      </c>
      <c r="H983" s="33">
        <f t="shared" si="39"/>
        <v>-3.3541725727061801E-2</v>
      </c>
      <c r="I983" s="43"/>
    </row>
    <row r="984" spans="2:9" ht="15">
      <c r="B984" s="32">
        <v>1</v>
      </c>
      <c r="C984" s="66" t="s">
        <v>62</v>
      </c>
      <c r="D984" s="64">
        <v>42745</v>
      </c>
      <c r="E984">
        <v>4.9110847178717165E-3</v>
      </c>
      <c r="F984">
        <v>3.3446208892031676E-2</v>
      </c>
      <c r="G984" s="40">
        <f t="shared" si="38"/>
        <v>0</v>
      </c>
      <c r="H984" s="33">
        <f t="shared" si="39"/>
        <v>-3.3446208892031676E-2</v>
      </c>
      <c r="I984" s="43"/>
    </row>
    <row r="985" spans="2:9" ht="15">
      <c r="B985" s="32">
        <v>1</v>
      </c>
      <c r="C985" s="66" t="s">
        <v>62</v>
      </c>
      <c r="D985" s="64">
        <v>42746</v>
      </c>
      <c r="E985">
        <v>1.0079495207214961E-2</v>
      </c>
      <c r="F985">
        <v>3.2437100412874807E-2</v>
      </c>
      <c r="G985" s="40">
        <f t="shared" si="38"/>
        <v>0</v>
      </c>
      <c r="H985" s="33">
        <f t="shared" si="39"/>
        <v>-3.2437100412874807E-2</v>
      </c>
      <c r="I985" s="43"/>
    </row>
    <row r="986" spans="2:9" ht="15">
      <c r="B986" s="32">
        <v>1</v>
      </c>
      <c r="C986" s="66" t="s">
        <v>62</v>
      </c>
      <c r="D986" s="64">
        <v>42747</v>
      </c>
      <c r="E986">
        <v>1.1490952924721576E-2</v>
      </c>
      <c r="F986">
        <v>3.2600843468613874E-2</v>
      </c>
      <c r="G986" s="40">
        <f t="shared" si="38"/>
        <v>0</v>
      </c>
      <c r="H986" s="33">
        <f t="shared" si="39"/>
        <v>-3.2600843468613874E-2</v>
      </c>
      <c r="I986" s="43"/>
    </row>
    <row r="987" spans="2:9" ht="15">
      <c r="B987" s="32">
        <v>1</v>
      </c>
      <c r="C987" s="66" t="s">
        <v>62</v>
      </c>
      <c r="D987" s="64">
        <v>42748</v>
      </c>
      <c r="E987">
        <v>8.775981341919703E-3</v>
      </c>
      <c r="F987">
        <v>3.1007041852073008E-2</v>
      </c>
      <c r="G987" s="40">
        <f t="shared" si="38"/>
        <v>0</v>
      </c>
      <c r="H987" s="33">
        <f t="shared" si="39"/>
        <v>-3.1007041852073008E-2</v>
      </c>
      <c r="I987" s="43"/>
    </row>
    <row r="988" spans="2:9" ht="15">
      <c r="B988" s="32">
        <v>1</v>
      </c>
      <c r="C988" s="66" t="s">
        <v>62</v>
      </c>
      <c r="D988" s="64">
        <v>42752</v>
      </c>
      <c r="E988">
        <v>5.7202223278212116E-3</v>
      </c>
      <c r="F988">
        <v>2.8291659098605797E-2</v>
      </c>
      <c r="G988" s="40">
        <f t="shared" si="38"/>
        <v>0</v>
      </c>
      <c r="H988" s="33">
        <f t="shared" si="39"/>
        <v>-2.8291659098605797E-2</v>
      </c>
      <c r="I988" s="43"/>
    </row>
    <row r="989" spans="2:9" ht="15">
      <c r="B989" s="32">
        <v>1</v>
      </c>
      <c r="C989" s="66" t="s">
        <v>62</v>
      </c>
      <c r="D989" s="64">
        <v>42753</v>
      </c>
      <c r="E989">
        <v>3.0677203187368107E-3</v>
      </c>
      <c r="F989">
        <v>2.7769031692295335E-2</v>
      </c>
      <c r="G989" s="40">
        <f t="shared" si="38"/>
        <v>0</v>
      </c>
      <c r="H989" s="33">
        <f t="shared" si="39"/>
        <v>-2.7769031692295335E-2</v>
      </c>
      <c r="I989" s="43"/>
    </row>
    <row r="990" spans="2:9" ht="15">
      <c r="B990" s="32">
        <v>1</v>
      </c>
      <c r="C990" s="66" t="s">
        <v>62</v>
      </c>
      <c r="D990" s="64">
        <v>42754</v>
      </c>
      <c r="E990">
        <v>6.9818774540060247E-3</v>
      </c>
      <c r="F990">
        <v>2.8281291464478962E-2</v>
      </c>
      <c r="G990" s="40">
        <f t="shared" si="38"/>
        <v>0</v>
      </c>
      <c r="H990" s="33">
        <f t="shared" si="39"/>
        <v>-2.8281291464478962E-2</v>
      </c>
      <c r="I990" s="43"/>
    </row>
    <row r="991" spans="2:9" ht="15">
      <c r="B991" s="32">
        <v>1</v>
      </c>
      <c r="C991" s="66" t="s">
        <v>62</v>
      </c>
      <c r="D991" s="64">
        <v>42755</v>
      </c>
      <c r="E991">
        <v>4.1914399483840015E-3</v>
      </c>
      <c r="F991">
        <v>2.8613265785748958E-2</v>
      </c>
      <c r="G991" s="40">
        <f t="shared" si="38"/>
        <v>0</v>
      </c>
      <c r="H991" s="33">
        <f t="shared" si="39"/>
        <v>-2.8613265785748958E-2</v>
      </c>
      <c r="I991" s="43"/>
    </row>
    <row r="992" spans="2:9" ht="15">
      <c r="B992" s="32">
        <v>1</v>
      </c>
      <c r="C992" s="66" t="s">
        <v>62</v>
      </c>
      <c r="D992" s="64">
        <v>42758</v>
      </c>
      <c r="E992">
        <v>1.4123686607443453E-2</v>
      </c>
      <c r="F992">
        <v>2.8352049457358697E-2</v>
      </c>
      <c r="G992" s="40">
        <f t="shared" si="38"/>
        <v>0</v>
      </c>
      <c r="H992" s="33">
        <f t="shared" si="39"/>
        <v>-2.8352049457358697E-2</v>
      </c>
      <c r="I992" s="43"/>
    </row>
    <row r="993" spans="2:9" ht="15">
      <c r="B993" s="32">
        <v>1</v>
      </c>
      <c r="C993" s="66" t="s">
        <v>62</v>
      </c>
      <c r="D993" s="64">
        <v>42759</v>
      </c>
      <c r="E993">
        <v>5.4629487693063083E-3</v>
      </c>
      <c r="F993">
        <v>2.9975824202232791E-2</v>
      </c>
      <c r="G993" s="40">
        <f t="shared" si="38"/>
        <v>0</v>
      </c>
      <c r="H993" s="33">
        <f t="shared" si="39"/>
        <v>-2.9975824202232791E-2</v>
      </c>
      <c r="I993" s="43"/>
    </row>
    <row r="994" spans="2:9" ht="15">
      <c r="B994" s="32">
        <v>1</v>
      </c>
      <c r="C994" s="66" t="s">
        <v>62</v>
      </c>
      <c r="D994" s="64">
        <v>42760</v>
      </c>
      <c r="E994">
        <v>-2.304300870568099E-3</v>
      </c>
      <c r="F994">
        <v>3.2138663004228393E-2</v>
      </c>
      <c r="G994" s="40">
        <f t="shared" si="38"/>
        <v>0</v>
      </c>
      <c r="H994" s="33">
        <f t="shared" si="39"/>
        <v>-3.2138663004228393E-2</v>
      </c>
      <c r="I994" s="43"/>
    </row>
    <row r="995" spans="2:9" ht="15">
      <c r="B995" s="32">
        <v>1</v>
      </c>
      <c r="C995" s="66" t="s">
        <v>62</v>
      </c>
      <c r="D995" s="64">
        <v>42761</v>
      </c>
      <c r="E995">
        <v>-8.7556391576448789E-4</v>
      </c>
      <c r="F995">
        <v>3.221826933464593E-2</v>
      </c>
      <c r="G995" s="40">
        <f t="shared" si="38"/>
        <v>0</v>
      </c>
      <c r="H995" s="33">
        <f t="shared" si="39"/>
        <v>-3.221826933464593E-2</v>
      </c>
      <c r="I995" s="43"/>
    </row>
    <row r="996" spans="2:9" ht="15">
      <c r="B996" s="32">
        <v>1</v>
      </c>
      <c r="C996" s="66" t="s">
        <v>62</v>
      </c>
      <c r="D996" s="64">
        <v>42762</v>
      </c>
      <c r="E996">
        <v>5.727339507734186E-3</v>
      </c>
      <c r="F996">
        <v>3.2198198005091279E-2</v>
      </c>
      <c r="G996" s="40">
        <f t="shared" si="38"/>
        <v>0</v>
      </c>
      <c r="H996" s="33">
        <f t="shared" si="39"/>
        <v>-3.2198198005091279E-2</v>
      </c>
      <c r="I996" s="43"/>
    </row>
    <row r="997" spans="2:9" ht="15">
      <c r="B997" s="32">
        <v>1</v>
      </c>
      <c r="C997" s="66" t="s">
        <v>62</v>
      </c>
      <c r="D997" s="64">
        <v>42765</v>
      </c>
      <c r="E997">
        <v>1.5314720029169671E-2</v>
      </c>
      <c r="F997">
        <v>3.0608425248528384E-2</v>
      </c>
      <c r="G997" s="40">
        <f t="shared" si="38"/>
        <v>0</v>
      </c>
      <c r="H997" s="33">
        <f t="shared" si="39"/>
        <v>-3.0608425248528384E-2</v>
      </c>
      <c r="I997" s="43"/>
    </row>
    <row r="998" spans="2:9" ht="15">
      <c r="B998" s="32">
        <v>1</v>
      </c>
      <c r="C998" s="66" t="s">
        <v>62</v>
      </c>
      <c r="D998" s="64">
        <v>42766</v>
      </c>
      <c r="E998">
        <v>2.1437155004365493E-2</v>
      </c>
      <c r="F998">
        <v>3.0673206439761718E-2</v>
      </c>
      <c r="G998" s="40">
        <f t="shared" si="38"/>
        <v>0</v>
      </c>
      <c r="H998" s="33">
        <f t="shared" si="39"/>
        <v>-3.0673206439761718E-2</v>
      </c>
      <c r="I998" s="43"/>
    </row>
    <row r="999" spans="2:9" ht="15">
      <c r="B999" s="32">
        <v>1</v>
      </c>
      <c r="C999" s="66" t="s">
        <v>62</v>
      </c>
      <c r="D999" s="64">
        <v>42767</v>
      </c>
      <c r="E999">
        <v>2.5138163000771208E-2</v>
      </c>
      <c r="F999">
        <v>2.9373601064277482E-2</v>
      </c>
      <c r="G999" s="40">
        <f t="shared" si="38"/>
        <v>0</v>
      </c>
      <c r="H999" s="33">
        <f t="shared" si="39"/>
        <v>-2.9373601064277482E-2</v>
      </c>
      <c r="I999" s="43"/>
    </row>
    <row r="1000" spans="2:9" ht="15">
      <c r="B1000" s="32">
        <v>1</v>
      </c>
      <c r="C1000" s="66" t="s">
        <v>62</v>
      </c>
      <c r="D1000" s="64">
        <v>42768</v>
      </c>
      <c r="E1000">
        <v>2.9547904805976799E-2</v>
      </c>
      <c r="F1000">
        <v>2.643946990842401E-2</v>
      </c>
      <c r="G1000" s="40">
        <f t="shared" si="38"/>
        <v>0</v>
      </c>
      <c r="H1000" s="33">
        <f t="shared" si="39"/>
        <v>-2.643946990842401E-2</v>
      </c>
      <c r="I1000" s="43"/>
    </row>
    <row r="1001" spans="2:9" ht="15">
      <c r="B1001" s="32">
        <v>1</v>
      </c>
      <c r="C1001" s="66" t="s">
        <v>62</v>
      </c>
      <c r="D1001" s="64">
        <v>42769</v>
      </c>
      <c r="E1001">
        <v>2.1444916572654904E-2</v>
      </c>
      <c r="F1001">
        <v>2.7357204699141723E-2</v>
      </c>
      <c r="G1001" s="40">
        <f t="shared" si="38"/>
        <v>0</v>
      </c>
      <c r="H1001" s="33">
        <f t="shared" si="39"/>
        <v>-2.7357204699141723E-2</v>
      </c>
      <c r="I1001" s="43"/>
    </row>
    <row r="1002" spans="2:9" ht="15">
      <c r="B1002" s="32">
        <v>1</v>
      </c>
      <c r="C1002" s="66" t="s">
        <v>62</v>
      </c>
      <c r="D1002" s="64">
        <v>42772</v>
      </c>
      <c r="E1002">
        <v>2.5239663117807787E-2</v>
      </c>
      <c r="F1002">
        <v>2.7618125705948012E-2</v>
      </c>
      <c r="G1002" s="40">
        <f t="shared" si="38"/>
        <v>0</v>
      </c>
      <c r="H1002" s="33">
        <f t="shared" si="39"/>
        <v>-2.7618125705948012E-2</v>
      </c>
      <c r="I1002" s="43"/>
    </row>
    <row r="1003" spans="2:9" ht="15">
      <c r="B1003" s="32">
        <v>1</v>
      </c>
      <c r="C1003" s="66" t="s">
        <v>62</v>
      </c>
      <c r="D1003" s="64">
        <v>42773</v>
      </c>
      <c r="E1003">
        <v>3.104271003153336E-2</v>
      </c>
      <c r="F1003">
        <v>2.7145906492200202E-2</v>
      </c>
      <c r="G1003" s="40">
        <f t="shared" si="38"/>
        <v>0</v>
      </c>
      <c r="H1003" s="33">
        <f t="shared" si="39"/>
        <v>-2.7145906492200202E-2</v>
      </c>
      <c r="I1003" s="43"/>
    </row>
    <row r="1004" spans="2:9" ht="15">
      <c r="B1004" s="32">
        <v>1</v>
      </c>
      <c r="C1004" s="66" t="s">
        <v>62</v>
      </c>
      <c r="D1004" s="64">
        <v>42774</v>
      </c>
      <c r="E1004">
        <v>2.9266841395769738E-2</v>
      </c>
      <c r="F1004">
        <v>2.6343221723191822E-2</v>
      </c>
      <c r="G1004" s="40">
        <f t="shared" si="38"/>
        <v>0</v>
      </c>
      <c r="H1004" s="33">
        <f t="shared" si="39"/>
        <v>-2.6343221723191822E-2</v>
      </c>
      <c r="I1004" s="43"/>
    </row>
    <row r="1005" spans="2:9" ht="15">
      <c r="B1005" s="32">
        <v>1</v>
      </c>
      <c r="C1005" s="66" t="s">
        <v>62</v>
      </c>
      <c r="D1005" s="64">
        <v>42775</v>
      </c>
      <c r="E1005">
        <v>2.3949677090745247E-2</v>
      </c>
      <c r="F1005">
        <v>2.7605485730424702E-2</v>
      </c>
      <c r="G1005" s="40">
        <f t="shared" si="38"/>
        <v>0</v>
      </c>
      <c r="H1005" s="33">
        <f t="shared" si="39"/>
        <v>-2.7605485730424702E-2</v>
      </c>
      <c r="I1005" s="43"/>
    </row>
    <row r="1006" spans="2:9" ht="15">
      <c r="B1006" s="32">
        <v>1</v>
      </c>
      <c r="C1006" s="66" t="s">
        <v>62</v>
      </c>
      <c r="D1006" s="64">
        <v>42776</v>
      </c>
      <c r="E1006">
        <v>2.188222014544472E-2</v>
      </c>
      <c r="F1006">
        <v>2.7775082972666738E-2</v>
      </c>
      <c r="G1006" s="40">
        <f t="shared" si="38"/>
        <v>0</v>
      </c>
      <c r="H1006" s="33">
        <f t="shared" si="39"/>
        <v>-2.7775082972666738E-2</v>
      </c>
      <c r="I1006" s="43"/>
    </row>
    <row r="1007" spans="2:9" ht="15">
      <c r="B1007" s="32">
        <v>1</v>
      </c>
      <c r="C1007" s="66" t="s">
        <v>62</v>
      </c>
      <c r="D1007" s="64">
        <v>42779</v>
      </c>
      <c r="E1007">
        <v>1.7667551931383585E-2</v>
      </c>
      <c r="F1007">
        <v>2.8147078468588008E-2</v>
      </c>
      <c r="G1007" s="40">
        <f t="shared" si="38"/>
        <v>0</v>
      </c>
      <c r="H1007" s="33">
        <f t="shared" si="39"/>
        <v>-2.8147078468588008E-2</v>
      </c>
      <c r="I1007" s="43"/>
    </row>
    <row r="1008" spans="2:9" ht="15">
      <c r="B1008" s="32">
        <v>1</v>
      </c>
      <c r="C1008" s="66" t="s">
        <v>62</v>
      </c>
      <c r="D1008" s="64">
        <v>42780</v>
      </c>
      <c r="E1008">
        <v>1.1086518852476246E-2</v>
      </c>
      <c r="F1008">
        <v>2.8491418038055872E-2</v>
      </c>
      <c r="G1008" s="40">
        <f t="shared" si="38"/>
        <v>0</v>
      </c>
      <c r="H1008" s="33">
        <f t="shared" si="39"/>
        <v>-2.8491418038055872E-2</v>
      </c>
      <c r="I1008" s="43"/>
    </row>
    <row r="1009" spans="2:9" ht="15">
      <c r="B1009" s="32">
        <v>1</v>
      </c>
      <c r="C1009" s="66" t="s">
        <v>62</v>
      </c>
      <c r="D1009" s="64">
        <v>42781</v>
      </c>
      <c r="E1009">
        <v>1.9687841064592426E-2</v>
      </c>
      <c r="F1009">
        <v>2.8122692875605444E-2</v>
      </c>
      <c r="G1009" s="40">
        <f t="shared" si="38"/>
        <v>0</v>
      </c>
      <c r="H1009" s="33">
        <f t="shared" si="39"/>
        <v>-2.8122692875605444E-2</v>
      </c>
      <c r="I1009" s="43"/>
    </row>
    <row r="1010" spans="2:9" ht="15">
      <c r="B1010" s="32">
        <v>1</v>
      </c>
      <c r="C1010" s="66" t="s">
        <v>62</v>
      </c>
      <c r="D1010" s="64">
        <v>42782</v>
      </c>
      <c r="E1010">
        <v>1.467521559395113E-2</v>
      </c>
      <c r="F1010">
        <v>2.8416108165963485E-2</v>
      </c>
      <c r="G1010" s="40">
        <f t="shared" si="38"/>
        <v>0</v>
      </c>
      <c r="H1010" s="33">
        <f t="shared" si="39"/>
        <v>-2.8416108165963485E-2</v>
      </c>
      <c r="I1010" s="43"/>
    </row>
    <row r="1011" spans="2:9" ht="15">
      <c r="B1011" s="32">
        <v>1</v>
      </c>
      <c r="C1011" s="66" t="s">
        <v>62</v>
      </c>
      <c r="D1011" s="64">
        <v>42783</v>
      </c>
      <c r="E1011">
        <v>1.3501816677090162E-2</v>
      </c>
      <c r="F1011">
        <v>2.704816943409068E-2</v>
      </c>
      <c r="G1011" s="40">
        <f t="shared" si="38"/>
        <v>0</v>
      </c>
      <c r="H1011" s="33">
        <f t="shared" si="39"/>
        <v>-2.704816943409068E-2</v>
      </c>
      <c r="I1011" s="43"/>
    </row>
    <row r="1012" spans="2:9" ht="15">
      <c r="B1012" s="32">
        <v>1</v>
      </c>
      <c r="C1012" s="66" t="s">
        <v>62</v>
      </c>
      <c r="D1012" s="64">
        <v>42787</v>
      </c>
      <c r="E1012">
        <v>4.1893440173765839E-3</v>
      </c>
      <c r="F1012">
        <v>2.7792654059790284E-2</v>
      </c>
      <c r="G1012" s="40">
        <f t="shared" si="38"/>
        <v>0</v>
      </c>
      <c r="H1012" s="33">
        <f t="shared" si="39"/>
        <v>-2.7792654059790284E-2</v>
      </c>
      <c r="I1012" s="43"/>
    </row>
    <row r="1013" spans="2:9" ht="15">
      <c r="B1013" s="32">
        <v>1</v>
      </c>
      <c r="C1013" s="66" t="s">
        <v>62</v>
      </c>
      <c r="D1013" s="64">
        <v>42788</v>
      </c>
      <c r="E1013">
        <v>2.3545045005519682E-3</v>
      </c>
      <c r="F1013">
        <v>2.7180629777746611E-2</v>
      </c>
      <c r="G1013" s="40">
        <f t="shared" si="38"/>
        <v>0</v>
      </c>
      <c r="H1013" s="33">
        <f t="shared" si="39"/>
        <v>-2.7180629777746611E-2</v>
      </c>
      <c r="I1013" s="43"/>
    </row>
    <row r="1014" spans="2:9" ht="15">
      <c r="B1014" s="32">
        <v>1</v>
      </c>
      <c r="C1014" s="66" t="s">
        <v>62</v>
      </c>
      <c r="D1014" s="64">
        <v>42789</v>
      </c>
      <c r="E1014">
        <v>-3.5122313522872872E-4</v>
      </c>
      <c r="F1014">
        <v>2.6175781558144255E-2</v>
      </c>
      <c r="G1014" s="40">
        <f t="shared" si="38"/>
        <v>0</v>
      </c>
      <c r="H1014" s="33">
        <f t="shared" si="39"/>
        <v>-2.6175781558144255E-2</v>
      </c>
      <c r="I1014" s="43"/>
    </row>
    <row r="1015" spans="2:9" ht="15">
      <c r="B1015" s="32">
        <v>1</v>
      </c>
      <c r="C1015" s="66" t="s">
        <v>62</v>
      </c>
      <c r="D1015" s="64">
        <v>42790</v>
      </c>
      <c r="E1015">
        <v>-1.0438975097457615E-3</v>
      </c>
      <c r="F1015">
        <v>2.3942898774226878E-2</v>
      </c>
      <c r="G1015" s="40">
        <f t="shared" si="38"/>
        <v>0</v>
      </c>
      <c r="H1015" s="33">
        <f t="shared" si="39"/>
        <v>-2.3942898774226878E-2</v>
      </c>
      <c r="I1015" s="43"/>
    </row>
    <row r="1016" spans="2:9" ht="15">
      <c r="B1016" s="32">
        <v>1</v>
      </c>
      <c r="C1016" s="66" t="s">
        <v>62</v>
      </c>
      <c r="D1016" s="64">
        <v>42793</v>
      </c>
      <c r="E1016">
        <v>1.2019771987485939E-3</v>
      </c>
      <c r="F1016">
        <v>2.368216873878496E-2</v>
      </c>
      <c r="G1016" s="40">
        <f t="shared" si="38"/>
        <v>0</v>
      </c>
      <c r="H1016" s="33">
        <f t="shared" si="39"/>
        <v>-2.368216873878496E-2</v>
      </c>
      <c r="I1016" s="43"/>
    </row>
    <row r="1017" spans="2:9" ht="15">
      <c r="B1017" s="32">
        <v>1</v>
      </c>
      <c r="C1017" s="66" t="s">
        <v>62</v>
      </c>
      <c r="D1017" s="64">
        <v>42794</v>
      </c>
      <c r="E1017">
        <v>4.1502487348248351E-3</v>
      </c>
      <c r="F1017">
        <v>2.4296296327692535E-2</v>
      </c>
      <c r="G1017" s="40">
        <f t="shared" si="38"/>
        <v>0</v>
      </c>
      <c r="H1017" s="33">
        <f t="shared" si="39"/>
        <v>-2.4296296327692535E-2</v>
      </c>
      <c r="I1017" s="43"/>
    </row>
    <row r="1018" spans="2:9" ht="15">
      <c r="B1018" s="32">
        <v>1</v>
      </c>
      <c r="C1018" s="66" t="s">
        <v>62</v>
      </c>
      <c r="D1018" s="64">
        <v>42795</v>
      </c>
      <c r="E1018">
        <v>-1.2815711375131933E-2</v>
      </c>
      <c r="F1018">
        <v>2.8141674385211139E-2</v>
      </c>
      <c r="G1018" s="40">
        <f t="shared" si="38"/>
        <v>0</v>
      </c>
      <c r="H1018" s="33">
        <f t="shared" si="39"/>
        <v>-2.8141674385211139E-2</v>
      </c>
      <c r="I1018" s="43"/>
    </row>
    <row r="1019" spans="2:9" ht="15">
      <c r="B1019" s="32">
        <v>1</v>
      </c>
      <c r="C1019" s="66" t="s">
        <v>62</v>
      </c>
      <c r="D1019" s="64">
        <v>42796</v>
      </c>
      <c r="E1019">
        <v>1.401284866186181E-3</v>
      </c>
      <c r="F1019">
        <v>3.071345905791624E-2</v>
      </c>
      <c r="G1019" s="40">
        <f t="shared" si="38"/>
        <v>0</v>
      </c>
      <c r="H1019" s="33">
        <f t="shared" si="39"/>
        <v>-3.071345905791624E-2</v>
      </c>
      <c r="I1019" s="43"/>
    </row>
    <row r="1020" spans="2:9" ht="15">
      <c r="B1020" s="32">
        <v>1</v>
      </c>
      <c r="C1020" s="66" t="s">
        <v>62</v>
      </c>
      <c r="D1020" s="64">
        <v>42797</v>
      </c>
      <c r="E1020">
        <v>-7.3050018989828658E-4</v>
      </c>
      <c r="F1020">
        <v>3.0682495657671421E-2</v>
      </c>
      <c r="G1020" s="40">
        <f t="shared" si="38"/>
        <v>0</v>
      </c>
      <c r="H1020" s="33">
        <f t="shared" si="39"/>
        <v>-3.0682495657671421E-2</v>
      </c>
      <c r="I1020" s="43"/>
    </row>
    <row r="1021" spans="2:9" ht="15">
      <c r="B1021" s="32">
        <v>1</v>
      </c>
      <c r="C1021" s="66" t="s">
        <v>62</v>
      </c>
      <c r="D1021" s="64">
        <v>42800</v>
      </c>
      <c r="E1021">
        <v>1.2369429809906407E-3</v>
      </c>
      <c r="F1021">
        <v>3.1810348401302924E-2</v>
      </c>
      <c r="G1021" s="40">
        <f t="shared" si="38"/>
        <v>0</v>
      </c>
      <c r="H1021" s="33">
        <f t="shared" si="39"/>
        <v>-3.1810348401302924E-2</v>
      </c>
      <c r="I1021" s="43"/>
    </row>
    <row r="1022" spans="2:9" ht="15">
      <c r="B1022" s="32">
        <v>1</v>
      </c>
      <c r="C1022" s="66" t="s">
        <v>62</v>
      </c>
      <c r="D1022" s="64">
        <v>42801</v>
      </c>
      <c r="E1022">
        <v>2.1426529206838296E-3</v>
      </c>
      <c r="F1022">
        <v>3.1401782226202622E-2</v>
      </c>
      <c r="G1022" s="40">
        <f t="shared" si="38"/>
        <v>0</v>
      </c>
      <c r="H1022" s="33">
        <f t="shared" si="39"/>
        <v>-3.1401782226202622E-2</v>
      </c>
      <c r="I1022" s="43"/>
    </row>
    <row r="1023" spans="2:9" ht="15">
      <c r="B1023" s="32">
        <v>1</v>
      </c>
      <c r="C1023" s="66" t="s">
        <v>62</v>
      </c>
      <c r="D1023" s="64">
        <v>42802</v>
      </c>
      <c r="E1023">
        <v>-8.0561132539589408E-3</v>
      </c>
      <c r="F1023">
        <v>3.1454920165442546E-2</v>
      </c>
      <c r="G1023" s="40">
        <f t="shared" si="38"/>
        <v>0</v>
      </c>
      <c r="H1023" s="33">
        <f t="shared" si="39"/>
        <v>-3.1454920165442546E-2</v>
      </c>
      <c r="I1023" s="43"/>
    </row>
    <row r="1024" spans="2:9" ht="15">
      <c r="B1024" s="32">
        <v>1</v>
      </c>
      <c r="C1024" s="66" t="s">
        <v>62</v>
      </c>
      <c r="D1024" s="64">
        <v>42803</v>
      </c>
      <c r="E1024">
        <v>-6.9675864115126274E-3</v>
      </c>
      <c r="F1024">
        <v>3.1408513030393097E-2</v>
      </c>
      <c r="G1024" s="40">
        <f t="shared" si="38"/>
        <v>0</v>
      </c>
      <c r="H1024" s="33">
        <f t="shared" si="39"/>
        <v>-3.1408513030393097E-2</v>
      </c>
      <c r="I1024" s="43"/>
    </row>
    <row r="1025" spans="2:9" ht="15">
      <c r="B1025" s="32">
        <v>1</v>
      </c>
      <c r="C1025" s="66" t="s">
        <v>62</v>
      </c>
      <c r="D1025" s="64">
        <v>42804</v>
      </c>
      <c r="E1025">
        <v>-1.1291758386541062E-2</v>
      </c>
      <c r="F1025">
        <v>3.1507792874200538E-2</v>
      </c>
      <c r="G1025" s="40">
        <f t="shared" si="38"/>
        <v>0</v>
      </c>
      <c r="H1025" s="33">
        <f t="shared" si="39"/>
        <v>-3.1507792874200538E-2</v>
      </c>
      <c r="I1025" s="43"/>
    </row>
    <row r="1026" spans="2:9" ht="15">
      <c r="B1026" s="32">
        <v>1</v>
      </c>
      <c r="C1026" s="66" t="s">
        <v>62</v>
      </c>
      <c r="D1026" s="64">
        <v>42807</v>
      </c>
      <c r="E1026">
        <v>-1.2502676426469073E-2</v>
      </c>
      <c r="F1026">
        <v>3.0766404646707171E-2</v>
      </c>
      <c r="G1026" s="40">
        <f t="shared" si="38"/>
        <v>0</v>
      </c>
      <c r="H1026" s="33">
        <f t="shared" si="39"/>
        <v>-3.0766404646707171E-2</v>
      </c>
      <c r="I1026" s="43"/>
    </row>
    <row r="1027" spans="2:9" ht="15">
      <c r="B1027" s="32">
        <v>1</v>
      </c>
      <c r="C1027" s="66" t="s">
        <v>62</v>
      </c>
      <c r="D1027" s="64">
        <v>42808</v>
      </c>
      <c r="E1027">
        <v>-1.0138034586992362E-2</v>
      </c>
      <c r="F1027">
        <v>3.1420218029016553E-2</v>
      </c>
      <c r="G1027" s="40">
        <f t="shared" si="38"/>
        <v>0</v>
      </c>
      <c r="H1027" s="33">
        <f t="shared" si="39"/>
        <v>-3.1420218029016553E-2</v>
      </c>
      <c r="I1027" s="43"/>
    </row>
    <row r="1028" spans="2:9" ht="15">
      <c r="B1028" s="32">
        <v>1</v>
      </c>
      <c r="C1028" s="66" t="s">
        <v>62</v>
      </c>
      <c r="D1028" s="64">
        <v>42809</v>
      </c>
      <c r="E1028">
        <v>-1.1252605252054515E-2</v>
      </c>
      <c r="F1028">
        <v>3.2912496027546485E-2</v>
      </c>
      <c r="G1028" s="40">
        <f t="shared" si="38"/>
        <v>0</v>
      </c>
      <c r="H1028" s="33">
        <f t="shared" si="39"/>
        <v>-3.2912496027546485E-2</v>
      </c>
      <c r="I1028" s="43"/>
    </row>
    <row r="1029" spans="2:9" ht="15">
      <c r="B1029" s="32">
        <v>1</v>
      </c>
      <c r="C1029" s="66" t="s">
        <v>62</v>
      </c>
      <c r="D1029" s="64">
        <v>42810</v>
      </c>
      <c r="E1029">
        <v>-8.5398339977365012E-3</v>
      </c>
      <c r="F1029">
        <v>3.2834830920426494E-2</v>
      </c>
      <c r="G1029" s="40">
        <f t="shared" si="38"/>
        <v>0</v>
      </c>
      <c r="H1029" s="33">
        <f t="shared" si="39"/>
        <v>-3.2834830920426494E-2</v>
      </c>
      <c r="I1029" s="43"/>
    </row>
    <row r="1030" spans="2:9" ht="15">
      <c r="B1030" s="32">
        <v>1</v>
      </c>
      <c r="C1030" s="66" t="s">
        <v>62</v>
      </c>
      <c r="D1030" s="64">
        <v>42811</v>
      </c>
      <c r="E1030">
        <v>-4.293843650920337E-3</v>
      </c>
      <c r="F1030">
        <v>3.2260050904887323E-2</v>
      </c>
      <c r="G1030" s="40">
        <f t="shared" ref="G1030:G1093" si="40">--(E1030&lt;-F1030)</f>
        <v>0</v>
      </c>
      <c r="H1030" s="33">
        <f t="shared" ref="H1030:H1093" si="41">-F1030</f>
        <v>-3.2260050904887323E-2</v>
      </c>
      <c r="I1030" s="43"/>
    </row>
    <row r="1031" spans="2:9" ht="15">
      <c r="B1031" s="32">
        <v>1</v>
      </c>
      <c r="C1031" s="66" t="s">
        <v>62</v>
      </c>
      <c r="D1031" s="64">
        <v>42814</v>
      </c>
      <c r="E1031">
        <v>-4.5395216797921023E-3</v>
      </c>
      <c r="F1031">
        <v>3.2451502492626391E-2</v>
      </c>
      <c r="G1031" s="40">
        <f t="shared" si="40"/>
        <v>0</v>
      </c>
      <c r="H1031" s="33">
        <f t="shared" si="41"/>
        <v>-3.2451502492626391E-2</v>
      </c>
      <c r="I1031" s="43"/>
    </row>
    <row r="1032" spans="2:9" ht="15">
      <c r="B1032" s="32">
        <v>1</v>
      </c>
      <c r="C1032" s="66" t="s">
        <v>62</v>
      </c>
      <c r="D1032" s="64">
        <v>42815</v>
      </c>
      <c r="E1032">
        <v>6.3025974481192293E-3</v>
      </c>
      <c r="F1032">
        <v>3.8497589774235737E-2</v>
      </c>
      <c r="G1032" s="40">
        <f t="shared" si="40"/>
        <v>0</v>
      </c>
      <c r="H1032" s="33">
        <f t="shared" si="41"/>
        <v>-3.8497589774235737E-2</v>
      </c>
      <c r="I1032" s="43"/>
    </row>
    <row r="1033" spans="2:9" ht="15">
      <c r="B1033" s="32">
        <v>1</v>
      </c>
      <c r="C1033" s="66" t="s">
        <v>62</v>
      </c>
      <c r="D1033" s="64">
        <v>42816</v>
      </c>
      <c r="E1033">
        <v>4.9738608557703401E-3</v>
      </c>
      <c r="F1033">
        <v>3.7254107240055935E-2</v>
      </c>
      <c r="G1033" s="40">
        <f t="shared" si="40"/>
        <v>0</v>
      </c>
      <c r="H1033" s="33">
        <f t="shared" si="41"/>
        <v>-3.7254107240055935E-2</v>
      </c>
      <c r="I1033" s="43"/>
    </row>
    <row r="1034" spans="2:9" ht="15">
      <c r="B1034" s="32">
        <v>1</v>
      </c>
      <c r="C1034" s="66" t="s">
        <v>62</v>
      </c>
      <c r="D1034" s="64">
        <v>42817</v>
      </c>
      <c r="E1034">
        <v>2.9751560625452811E-3</v>
      </c>
      <c r="F1034">
        <v>3.7252942683061958E-2</v>
      </c>
      <c r="G1034" s="40">
        <f t="shared" si="40"/>
        <v>0</v>
      </c>
      <c r="H1034" s="33">
        <f t="shared" si="41"/>
        <v>-3.7252942683061958E-2</v>
      </c>
      <c r="I1034" s="43"/>
    </row>
    <row r="1035" spans="2:9" ht="15">
      <c r="B1035" s="32">
        <v>1</v>
      </c>
      <c r="C1035" s="66" t="s">
        <v>62</v>
      </c>
      <c r="D1035" s="64">
        <v>42818</v>
      </c>
      <c r="E1035">
        <v>5.7471587704709393E-3</v>
      </c>
      <c r="F1035">
        <v>3.7238409005669874E-2</v>
      </c>
      <c r="G1035" s="40">
        <f t="shared" si="40"/>
        <v>0</v>
      </c>
      <c r="H1035" s="33">
        <f t="shared" si="41"/>
        <v>-3.7238409005669874E-2</v>
      </c>
      <c r="I1035" s="43"/>
    </row>
    <row r="1036" spans="2:9" ht="15">
      <c r="B1036" s="32">
        <v>1</v>
      </c>
      <c r="C1036" s="66" t="s">
        <v>62</v>
      </c>
      <c r="D1036" s="64">
        <v>42821</v>
      </c>
      <c r="E1036">
        <v>5.9397937195653228E-3</v>
      </c>
      <c r="F1036">
        <v>3.7110935802815978E-2</v>
      </c>
      <c r="G1036" s="40">
        <f t="shared" si="40"/>
        <v>0</v>
      </c>
      <c r="H1036" s="33">
        <f t="shared" si="41"/>
        <v>-3.7110935802815978E-2</v>
      </c>
      <c r="I1036" s="43"/>
    </row>
    <row r="1037" spans="2:9" ht="15">
      <c r="B1037" s="32">
        <v>1</v>
      </c>
      <c r="C1037" s="66" t="s">
        <v>62</v>
      </c>
      <c r="D1037" s="64">
        <v>42822</v>
      </c>
      <c r="E1037">
        <v>-5.980647950636353E-4</v>
      </c>
      <c r="F1037">
        <v>3.9092398417337131E-2</v>
      </c>
      <c r="G1037" s="40">
        <f t="shared" si="40"/>
        <v>0</v>
      </c>
      <c r="H1037" s="33">
        <f t="shared" si="41"/>
        <v>-3.9092398417337131E-2</v>
      </c>
      <c r="I1037" s="43"/>
    </row>
    <row r="1038" spans="2:9" ht="15">
      <c r="B1038" s="32">
        <v>1</v>
      </c>
      <c r="C1038" s="66" t="s">
        <v>62</v>
      </c>
      <c r="D1038" s="64">
        <v>42823</v>
      </c>
      <c r="E1038">
        <v>-3.117709602358687E-3</v>
      </c>
      <c r="F1038">
        <v>3.8937128416236415E-2</v>
      </c>
      <c r="G1038" s="40">
        <f t="shared" si="40"/>
        <v>0</v>
      </c>
      <c r="H1038" s="33">
        <f t="shared" si="41"/>
        <v>-3.8937128416236415E-2</v>
      </c>
      <c r="I1038" s="43"/>
    </row>
    <row r="1039" spans="2:9" ht="15">
      <c r="B1039" s="32">
        <v>1</v>
      </c>
      <c r="C1039" s="66" t="s">
        <v>62</v>
      </c>
      <c r="D1039" s="64">
        <v>42824</v>
      </c>
      <c r="E1039">
        <v>-9.8155577458109988E-3</v>
      </c>
      <c r="F1039">
        <v>3.1979692595348559E-2</v>
      </c>
      <c r="G1039" s="40">
        <f t="shared" si="40"/>
        <v>0</v>
      </c>
      <c r="H1039" s="33">
        <f t="shared" si="41"/>
        <v>-3.1979692595348559E-2</v>
      </c>
      <c r="I1039" s="43"/>
    </row>
    <row r="1040" spans="2:9" ht="15">
      <c r="B1040" s="32">
        <v>1</v>
      </c>
      <c r="C1040" s="66" t="s">
        <v>62</v>
      </c>
      <c r="D1040" s="64">
        <v>42825</v>
      </c>
      <c r="E1040">
        <v>-1.4395984278499085E-2</v>
      </c>
      <c r="F1040">
        <v>3.0858790131907128E-2</v>
      </c>
      <c r="G1040" s="40">
        <f t="shared" si="40"/>
        <v>0</v>
      </c>
      <c r="H1040" s="33">
        <f t="shared" si="41"/>
        <v>-3.0858790131907128E-2</v>
      </c>
      <c r="I1040" s="43"/>
    </row>
    <row r="1041" spans="2:9" ht="15">
      <c r="B1041" s="32">
        <v>1</v>
      </c>
      <c r="C1041" s="66" t="s">
        <v>62</v>
      </c>
      <c r="D1041" s="64">
        <v>42828</v>
      </c>
      <c r="E1041">
        <v>-4.1760430265220805E-3</v>
      </c>
      <c r="F1041">
        <v>3.0883885936282631E-2</v>
      </c>
      <c r="G1041" s="40">
        <f t="shared" si="40"/>
        <v>0</v>
      </c>
      <c r="H1041" s="33">
        <f t="shared" si="41"/>
        <v>-3.0883885936282631E-2</v>
      </c>
      <c r="I1041" s="43"/>
    </row>
    <row r="1042" spans="2:9" ht="15">
      <c r="B1042" s="32">
        <v>1</v>
      </c>
      <c r="C1042" s="66" t="s">
        <v>62</v>
      </c>
      <c r="D1042" s="64">
        <v>42829</v>
      </c>
      <c r="E1042">
        <v>-7.6430121275308238E-3</v>
      </c>
      <c r="F1042">
        <v>3.0557162977078438E-2</v>
      </c>
      <c r="G1042" s="40">
        <f t="shared" si="40"/>
        <v>0</v>
      </c>
      <c r="H1042" s="33">
        <f t="shared" si="41"/>
        <v>-3.0557162977078438E-2</v>
      </c>
      <c r="I1042" s="43"/>
    </row>
    <row r="1043" spans="2:9" ht="15">
      <c r="B1043" s="32">
        <v>1</v>
      </c>
      <c r="C1043" s="66" t="s">
        <v>62</v>
      </c>
      <c r="D1043" s="64">
        <v>42830</v>
      </c>
      <c r="E1043">
        <v>-6.3013004592633592E-3</v>
      </c>
      <c r="F1043">
        <v>3.0590829631490488E-2</v>
      </c>
      <c r="G1043" s="40">
        <f t="shared" si="40"/>
        <v>0</v>
      </c>
      <c r="H1043" s="33">
        <f t="shared" si="41"/>
        <v>-3.0590829631490488E-2</v>
      </c>
      <c r="I1043" s="43"/>
    </row>
    <row r="1044" spans="2:9" ht="15">
      <c r="B1044" s="32">
        <v>1</v>
      </c>
      <c r="C1044" s="66" t="s">
        <v>62</v>
      </c>
      <c r="D1044" s="64">
        <v>42831</v>
      </c>
      <c r="E1044">
        <v>-7.0010037068790609E-4</v>
      </c>
      <c r="F1044">
        <v>3.0602577674060709E-2</v>
      </c>
      <c r="G1044" s="40">
        <f t="shared" si="40"/>
        <v>0</v>
      </c>
      <c r="H1044" s="33">
        <f t="shared" si="41"/>
        <v>-3.0602577674060709E-2</v>
      </c>
      <c r="I1044" s="43"/>
    </row>
    <row r="1045" spans="2:9" ht="15">
      <c r="B1045" s="32">
        <v>1</v>
      </c>
      <c r="C1045" s="66" t="s">
        <v>62</v>
      </c>
      <c r="D1045" s="64">
        <v>42832</v>
      </c>
      <c r="E1045">
        <v>-2.9123163071380631E-3</v>
      </c>
      <c r="F1045">
        <v>3.0583069606355099E-2</v>
      </c>
      <c r="G1045" s="40">
        <f t="shared" si="40"/>
        <v>0</v>
      </c>
      <c r="H1045" s="33">
        <f t="shared" si="41"/>
        <v>-3.0583069606355099E-2</v>
      </c>
      <c r="I1045" s="43"/>
    </row>
    <row r="1046" spans="2:9" ht="15">
      <c r="B1046" s="32">
        <v>1</v>
      </c>
      <c r="C1046" s="66" t="s">
        <v>62</v>
      </c>
      <c r="D1046" s="64">
        <v>42835</v>
      </c>
      <c r="E1046">
        <v>7.1819701932387403E-3</v>
      </c>
      <c r="F1046">
        <v>3.0071699442726522E-2</v>
      </c>
      <c r="G1046" s="40">
        <f t="shared" si="40"/>
        <v>0</v>
      </c>
      <c r="H1046" s="33">
        <f t="shared" si="41"/>
        <v>-3.0071699442726522E-2</v>
      </c>
      <c r="I1046" s="43"/>
    </row>
    <row r="1047" spans="2:9" ht="15">
      <c r="B1047" s="32">
        <v>1</v>
      </c>
      <c r="C1047" s="66" t="s">
        <v>62</v>
      </c>
      <c r="D1047" s="64">
        <v>42836</v>
      </c>
      <c r="E1047">
        <v>1.4689092744842647E-2</v>
      </c>
      <c r="F1047">
        <v>3.0100924553646602E-2</v>
      </c>
      <c r="G1047" s="40">
        <f t="shared" si="40"/>
        <v>0</v>
      </c>
      <c r="H1047" s="33">
        <f t="shared" si="41"/>
        <v>-3.0100924553646602E-2</v>
      </c>
      <c r="I1047" s="43"/>
    </row>
    <row r="1048" spans="2:9" ht="15">
      <c r="B1048" s="32">
        <v>1</v>
      </c>
      <c r="C1048" s="66" t="s">
        <v>62</v>
      </c>
      <c r="D1048" s="64">
        <v>42837</v>
      </c>
      <c r="E1048">
        <v>1.7970308513388211E-2</v>
      </c>
      <c r="F1048">
        <v>3.0209672156472064E-2</v>
      </c>
      <c r="G1048" s="40">
        <f t="shared" si="40"/>
        <v>0</v>
      </c>
      <c r="H1048" s="33">
        <f t="shared" si="41"/>
        <v>-3.0209672156472064E-2</v>
      </c>
      <c r="I1048" s="43"/>
    </row>
    <row r="1049" spans="2:9" ht="15">
      <c r="B1049" s="32">
        <v>1</v>
      </c>
      <c r="C1049" s="66" t="s">
        <v>62</v>
      </c>
      <c r="D1049" s="64">
        <v>42838</v>
      </c>
      <c r="E1049">
        <v>2.536109629876826E-2</v>
      </c>
      <c r="F1049">
        <v>2.8056697081105458E-2</v>
      </c>
      <c r="G1049" s="40">
        <f t="shared" si="40"/>
        <v>0</v>
      </c>
      <c r="H1049" s="33">
        <f t="shared" si="41"/>
        <v>-2.8056697081105458E-2</v>
      </c>
      <c r="I1049" s="43"/>
    </row>
    <row r="1050" spans="2:9" ht="15">
      <c r="B1050" s="32">
        <v>1</v>
      </c>
      <c r="C1050" s="66" t="s">
        <v>62</v>
      </c>
      <c r="D1050" s="64">
        <v>42842</v>
      </c>
      <c r="E1050">
        <v>1.486965069427626E-2</v>
      </c>
      <c r="F1050">
        <v>3.2069514450641365E-2</v>
      </c>
      <c r="G1050" s="40">
        <f t="shared" si="40"/>
        <v>0</v>
      </c>
      <c r="H1050" s="33">
        <f t="shared" si="41"/>
        <v>-3.2069514450641365E-2</v>
      </c>
      <c r="I1050" s="43"/>
    </row>
    <row r="1051" spans="2:9" ht="15">
      <c r="B1051" s="32">
        <v>1</v>
      </c>
      <c r="C1051" s="66" t="s">
        <v>62</v>
      </c>
      <c r="D1051" s="64">
        <v>42843</v>
      </c>
      <c r="E1051">
        <v>1.9508045659979878E-2</v>
      </c>
      <c r="F1051">
        <v>3.225998278068623E-2</v>
      </c>
      <c r="G1051" s="40">
        <f t="shared" si="40"/>
        <v>0</v>
      </c>
      <c r="H1051" s="33">
        <f t="shared" si="41"/>
        <v>-3.225998278068623E-2</v>
      </c>
      <c r="I1051" s="43"/>
    </row>
    <row r="1052" spans="2:9" ht="15">
      <c r="B1052" s="32">
        <v>1</v>
      </c>
      <c r="C1052" s="66" t="s">
        <v>62</v>
      </c>
      <c r="D1052" s="64">
        <v>42844</v>
      </c>
      <c r="E1052">
        <v>2.2414214520363629E-2</v>
      </c>
      <c r="F1052">
        <v>3.2231742104092999E-2</v>
      </c>
      <c r="G1052" s="40">
        <f t="shared" si="40"/>
        <v>0</v>
      </c>
      <c r="H1052" s="33">
        <f t="shared" si="41"/>
        <v>-3.2231742104092999E-2</v>
      </c>
      <c r="I1052" s="43"/>
    </row>
    <row r="1053" spans="2:9" ht="15">
      <c r="B1053" s="32">
        <v>1</v>
      </c>
      <c r="C1053" s="66" t="s">
        <v>62</v>
      </c>
      <c r="D1053" s="64">
        <v>42845</v>
      </c>
      <c r="E1053">
        <v>1.3613194794833916E-2</v>
      </c>
      <c r="F1053">
        <v>2.8215418991013902E-2</v>
      </c>
      <c r="G1053" s="40">
        <f t="shared" si="40"/>
        <v>0</v>
      </c>
      <c r="H1053" s="33">
        <f t="shared" si="41"/>
        <v>-2.8215418991013902E-2</v>
      </c>
      <c r="I1053" s="43"/>
    </row>
    <row r="1054" spans="2:9" ht="15">
      <c r="B1054" s="32">
        <v>1</v>
      </c>
      <c r="C1054" s="66" t="s">
        <v>62</v>
      </c>
      <c r="D1054" s="64">
        <v>42846</v>
      </c>
      <c r="E1054">
        <v>1.7234816526869423E-2</v>
      </c>
      <c r="F1054">
        <v>2.8543375226217006E-2</v>
      </c>
      <c r="G1054" s="40">
        <f t="shared" si="40"/>
        <v>0</v>
      </c>
      <c r="H1054" s="33">
        <f t="shared" si="41"/>
        <v>-2.8543375226217006E-2</v>
      </c>
      <c r="I1054" s="43"/>
    </row>
    <row r="1055" spans="2:9" ht="15">
      <c r="B1055" s="32">
        <v>1</v>
      </c>
      <c r="C1055" s="66" t="s">
        <v>62</v>
      </c>
      <c r="D1055" s="64">
        <v>42849</v>
      </c>
      <c r="E1055">
        <v>1.0533439095837593E-2</v>
      </c>
      <c r="F1055">
        <v>3.3284394914930911E-2</v>
      </c>
      <c r="G1055" s="40">
        <f t="shared" si="40"/>
        <v>0</v>
      </c>
      <c r="H1055" s="33">
        <f t="shared" si="41"/>
        <v>-3.3284394914930911E-2</v>
      </c>
      <c r="I1055" s="43"/>
    </row>
    <row r="1056" spans="2:9" ht="15">
      <c r="B1056" s="32">
        <v>1</v>
      </c>
      <c r="C1056" s="66" t="s">
        <v>62</v>
      </c>
      <c r="D1056" s="64">
        <v>42850</v>
      </c>
      <c r="E1056">
        <v>4.4986702920208899E-3</v>
      </c>
      <c r="F1056">
        <v>3.4325494121414772E-2</v>
      </c>
      <c r="G1056" s="40">
        <f t="shared" si="40"/>
        <v>0</v>
      </c>
      <c r="H1056" s="33">
        <f t="shared" si="41"/>
        <v>-3.4325494121414772E-2</v>
      </c>
      <c r="I1056" s="43"/>
    </row>
    <row r="1057" spans="2:9" ht="15">
      <c r="B1057" s="32">
        <v>1</v>
      </c>
      <c r="C1057" s="66" t="s">
        <v>62</v>
      </c>
      <c r="D1057" s="64">
        <v>42851</v>
      </c>
      <c r="E1057">
        <v>3.9587170802910521E-3</v>
      </c>
      <c r="F1057">
        <v>3.425534329398431E-2</v>
      </c>
      <c r="G1057" s="40">
        <f t="shared" si="40"/>
        <v>0</v>
      </c>
      <c r="H1057" s="33">
        <f t="shared" si="41"/>
        <v>-3.425534329398431E-2</v>
      </c>
      <c r="I1057" s="43"/>
    </row>
    <row r="1058" spans="2:9" ht="15">
      <c r="B1058" s="32">
        <v>1</v>
      </c>
      <c r="C1058" s="66" t="s">
        <v>62</v>
      </c>
      <c r="D1058" s="64">
        <v>42852</v>
      </c>
      <c r="E1058">
        <v>4.5359125552071333E-3</v>
      </c>
      <c r="F1058">
        <v>3.2566952436137164E-2</v>
      </c>
      <c r="G1058" s="40">
        <f t="shared" si="40"/>
        <v>0</v>
      </c>
      <c r="H1058" s="33">
        <f t="shared" si="41"/>
        <v>-3.2566952436137164E-2</v>
      </c>
      <c r="I1058" s="43"/>
    </row>
    <row r="1059" spans="2:9" ht="15">
      <c r="B1059" s="32">
        <v>1</v>
      </c>
      <c r="C1059" s="66" t="s">
        <v>62</v>
      </c>
      <c r="D1059" s="64">
        <v>42853</v>
      </c>
      <c r="E1059">
        <v>4.2857406731089398E-3</v>
      </c>
      <c r="F1059">
        <v>3.2802769539530457E-2</v>
      </c>
      <c r="G1059" s="40">
        <f t="shared" si="40"/>
        <v>0</v>
      </c>
      <c r="H1059" s="33">
        <f t="shared" si="41"/>
        <v>-3.2802769539530457E-2</v>
      </c>
      <c r="I1059" s="43"/>
    </row>
    <row r="1060" spans="2:9" ht="15">
      <c r="B1060" s="32">
        <v>1</v>
      </c>
      <c r="C1060" s="66" t="s">
        <v>62</v>
      </c>
      <c r="D1060" s="64">
        <v>42856</v>
      </c>
      <c r="E1060">
        <v>1.0754135115584873E-3</v>
      </c>
      <c r="F1060">
        <v>3.2614506500797426E-2</v>
      </c>
      <c r="G1060" s="40">
        <f t="shared" si="40"/>
        <v>0</v>
      </c>
      <c r="H1060" s="33">
        <f t="shared" si="41"/>
        <v>-3.2614506500797426E-2</v>
      </c>
      <c r="I1060" s="43"/>
    </row>
    <row r="1061" spans="2:9" ht="15">
      <c r="B1061" s="32">
        <v>1</v>
      </c>
      <c r="C1061" s="66" t="s">
        <v>62</v>
      </c>
      <c r="D1061" s="64">
        <v>42857</v>
      </c>
      <c r="E1061">
        <v>4.652212118328336E-3</v>
      </c>
      <c r="F1061">
        <v>3.2320837805577096E-2</v>
      </c>
      <c r="G1061" s="40">
        <f t="shared" si="40"/>
        <v>0</v>
      </c>
      <c r="H1061" s="33">
        <f t="shared" si="41"/>
        <v>-3.2320837805577096E-2</v>
      </c>
      <c r="I1061" s="43"/>
    </row>
    <row r="1062" spans="2:9" ht="15">
      <c r="B1062" s="32">
        <v>1</v>
      </c>
      <c r="C1062" s="66" t="s">
        <v>62</v>
      </c>
      <c r="D1062" s="64">
        <v>42858</v>
      </c>
      <c r="E1062">
        <v>5.2372486525955608E-3</v>
      </c>
      <c r="F1062">
        <v>3.2257464491505405E-2</v>
      </c>
      <c r="G1062" s="40">
        <f t="shared" si="40"/>
        <v>0</v>
      </c>
      <c r="H1062" s="33">
        <f t="shared" si="41"/>
        <v>-3.2257464491505405E-2</v>
      </c>
      <c r="I1062" s="43"/>
    </row>
    <row r="1063" spans="2:9" ht="15">
      <c r="B1063" s="32">
        <v>1</v>
      </c>
      <c r="C1063" s="66" t="s">
        <v>62</v>
      </c>
      <c r="D1063" s="64">
        <v>42859</v>
      </c>
      <c r="E1063">
        <v>-1.3690153102065672E-2</v>
      </c>
      <c r="F1063">
        <v>3.225743129806459E-2</v>
      </c>
      <c r="G1063" s="40">
        <f t="shared" si="40"/>
        <v>0</v>
      </c>
      <c r="H1063" s="33">
        <f t="shared" si="41"/>
        <v>-3.225743129806459E-2</v>
      </c>
      <c r="I1063" s="43"/>
    </row>
    <row r="1064" spans="2:9" ht="15">
      <c r="B1064" s="32">
        <v>1</v>
      </c>
      <c r="C1064" s="66" t="s">
        <v>62</v>
      </c>
      <c r="D1064" s="64">
        <v>42860</v>
      </c>
      <c r="E1064">
        <v>-1.4090473408666426E-2</v>
      </c>
      <c r="F1064">
        <v>3.2108366311128261E-2</v>
      </c>
      <c r="G1064" s="40">
        <f t="shared" si="40"/>
        <v>0</v>
      </c>
      <c r="H1064" s="33">
        <f t="shared" si="41"/>
        <v>-3.2108366311128261E-2</v>
      </c>
      <c r="I1064" s="43"/>
    </row>
    <row r="1065" spans="2:9" ht="15">
      <c r="B1065" s="32">
        <v>1</v>
      </c>
      <c r="C1065" s="66" t="s">
        <v>62</v>
      </c>
      <c r="D1065" s="64">
        <v>42863</v>
      </c>
      <c r="E1065">
        <v>-7.3832158988702545E-3</v>
      </c>
      <c r="F1065">
        <v>3.2092617982053803E-2</v>
      </c>
      <c r="G1065" s="40">
        <f t="shared" si="40"/>
        <v>0</v>
      </c>
      <c r="H1065" s="33">
        <f t="shared" si="41"/>
        <v>-3.2092617982053803E-2</v>
      </c>
      <c r="I1065" s="43"/>
    </row>
    <row r="1066" spans="2:9" ht="15">
      <c r="B1066" s="32">
        <v>1</v>
      </c>
      <c r="C1066" s="66" t="s">
        <v>62</v>
      </c>
      <c r="D1066" s="64">
        <v>42864</v>
      </c>
      <c r="E1066">
        <v>-1.2105776274626834E-3</v>
      </c>
      <c r="F1066">
        <v>3.2122042231336051E-2</v>
      </c>
      <c r="G1066" s="40">
        <f t="shared" si="40"/>
        <v>0</v>
      </c>
      <c r="H1066" s="33">
        <f t="shared" si="41"/>
        <v>-3.2122042231336051E-2</v>
      </c>
      <c r="I1066" s="43"/>
    </row>
    <row r="1067" spans="2:9" ht="15">
      <c r="B1067" s="32">
        <v>1</v>
      </c>
      <c r="C1067" s="66" t="s">
        <v>62</v>
      </c>
      <c r="D1067" s="64">
        <v>42865</v>
      </c>
      <c r="E1067">
        <v>-5.043553422012792E-4</v>
      </c>
      <c r="F1067">
        <v>3.2124610782806665E-2</v>
      </c>
      <c r="G1067" s="40">
        <f t="shared" si="40"/>
        <v>0</v>
      </c>
      <c r="H1067" s="33">
        <f t="shared" si="41"/>
        <v>-3.2124610782806665E-2</v>
      </c>
      <c r="I1067" s="43"/>
    </row>
    <row r="1068" spans="2:9" ht="15">
      <c r="B1068" s="32">
        <v>1</v>
      </c>
      <c r="C1068" s="66" t="s">
        <v>62</v>
      </c>
      <c r="D1068" s="64">
        <v>42866</v>
      </c>
      <c r="E1068">
        <v>4.1468302076257402E-3</v>
      </c>
      <c r="F1068">
        <v>3.2286160314287139E-2</v>
      </c>
      <c r="G1068" s="40">
        <f t="shared" si="40"/>
        <v>0</v>
      </c>
      <c r="H1068" s="33">
        <f t="shared" si="41"/>
        <v>-3.2286160314287139E-2</v>
      </c>
      <c r="I1068" s="43"/>
    </row>
    <row r="1069" spans="2:9" ht="15">
      <c r="B1069" s="32">
        <v>1</v>
      </c>
      <c r="C1069" s="66" t="s">
        <v>62</v>
      </c>
      <c r="D1069" s="64">
        <v>42867</v>
      </c>
      <c r="E1069">
        <v>1.005847724024278E-2</v>
      </c>
      <c r="F1069">
        <v>3.1609332855755887E-2</v>
      </c>
      <c r="G1069" s="40">
        <f t="shared" si="40"/>
        <v>0</v>
      </c>
      <c r="H1069" s="33">
        <f t="shared" si="41"/>
        <v>-3.1609332855755887E-2</v>
      </c>
      <c r="I1069" s="43"/>
    </row>
    <row r="1070" spans="2:9" ht="15">
      <c r="B1070" s="32">
        <v>1</v>
      </c>
      <c r="C1070" s="66" t="s">
        <v>62</v>
      </c>
      <c r="D1070" s="64">
        <v>42870</v>
      </c>
      <c r="E1070">
        <v>5.6038367283974821E-3</v>
      </c>
      <c r="F1070">
        <v>2.9302986707898809E-2</v>
      </c>
      <c r="G1070" s="40">
        <f t="shared" si="40"/>
        <v>0</v>
      </c>
      <c r="H1070" s="33">
        <f t="shared" si="41"/>
        <v>-2.9302986707898809E-2</v>
      </c>
      <c r="I1070" s="43"/>
    </row>
    <row r="1071" spans="2:9" ht="15">
      <c r="B1071" s="32">
        <v>1</v>
      </c>
      <c r="C1071" s="66" t="s">
        <v>62</v>
      </c>
      <c r="D1071" s="64">
        <v>42871</v>
      </c>
      <c r="E1071">
        <v>5.0856189376160543E-3</v>
      </c>
      <c r="F1071">
        <v>2.6905306586677197E-2</v>
      </c>
      <c r="G1071" s="40">
        <f t="shared" si="40"/>
        <v>0</v>
      </c>
      <c r="H1071" s="33">
        <f t="shared" si="41"/>
        <v>-2.6905306586677197E-2</v>
      </c>
      <c r="I1071" s="43"/>
    </row>
    <row r="1072" spans="2:9" ht="15">
      <c r="B1072" s="32">
        <v>1</v>
      </c>
      <c r="C1072" s="66" t="s">
        <v>62</v>
      </c>
      <c r="D1072" s="64">
        <v>42872</v>
      </c>
      <c r="E1072">
        <v>2.2971012783393974E-2</v>
      </c>
      <c r="F1072">
        <v>4.0835769498064993E-2</v>
      </c>
      <c r="G1072" s="40">
        <f t="shared" si="40"/>
        <v>0</v>
      </c>
      <c r="H1072" s="33">
        <f t="shared" si="41"/>
        <v>-4.0835769498064993E-2</v>
      </c>
      <c r="I1072" s="43"/>
    </row>
    <row r="1073" spans="2:9" ht="15">
      <c r="B1073" s="32">
        <v>1</v>
      </c>
      <c r="C1073" s="66" t="s">
        <v>62</v>
      </c>
      <c r="D1073" s="64">
        <v>42873</v>
      </c>
      <c r="E1073">
        <v>2.6833569585495098E-2</v>
      </c>
      <c r="F1073">
        <v>4.1032673977441883E-2</v>
      </c>
      <c r="G1073" s="40">
        <f t="shared" si="40"/>
        <v>0</v>
      </c>
      <c r="H1073" s="33">
        <f t="shared" si="41"/>
        <v>-4.1032673977441883E-2</v>
      </c>
      <c r="I1073" s="43"/>
    </row>
    <row r="1074" spans="2:9" ht="15">
      <c r="B1074" s="32">
        <v>1</v>
      </c>
      <c r="C1074" s="66" t="s">
        <v>62</v>
      </c>
      <c r="D1074" s="64">
        <v>42874</v>
      </c>
      <c r="E1074">
        <v>2.3789741003123588E-2</v>
      </c>
      <c r="F1074">
        <v>4.0690069539401061E-2</v>
      </c>
      <c r="G1074" s="40">
        <f t="shared" si="40"/>
        <v>0</v>
      </c>
      <c r="H1074" s="33">
        <f t="shared" si="41"/>
        <v>-4.0690069539401061E-2</v>
      </c>
      <c r="I1074" s="43"/>
    </row>
    <row r="1075" spans="2:9" ht="15">
      <c r="B1075" s="32">
        <v>1</v>
      </c>
      <c r="C1075" s="66" t="s">
        <v>62</v>
      </c>
      <c r="D1075" s="64">
        <v>42877</v>
      </c>
      <c r="E1075">
        <v>1.7424470462524155E-2</v>
      </c>
      <c r="F1075">
        <v>4.0873780599599091E-2</v>
      </c>
      <c r="G1075" s="40">
        <f t="shared" si="40"/>
        <v>0</v>
      </c>
      <c r="H1075" s="33">
        <f t="shared" si="41"/>
        <v>-4.0873780599599091E-2</v>
      </c>
      <c r="I1075" s="43"/>
    </row>
    <row r="1076" spans="2:9" ht="15">
      <c r="B1076" s="32">
        <v>1</v>
      </c>
      <c r="C1076" s="66" t="s">
        <v>62</v>
      </c>
      <c r="D1076" s="64">
        <v>42878</v>
      </c>
      <c r="E1076">
        <v>1.2805376575060201E-2</v>
      </c>
      <c r="F1076">
        <v>3.7403108491968352E-2</v>
      </c>
      <c r="G1076" s="40">
        <f t="shared" si="40"/>
        <v>0</v>
      </c>
      <c r="H1076" s="33">
        <f t="shared" si="41"/>
        <v>-3.7403108491968352E-2</v>
      </c>
      <c r="I1076" s="43"/>
    </row>
    <row r="1077" spans="2:9" ht="15">
      <c r="B1077" s="32">
        <v>1</v>
      </c>
      <c r="C1077" s="66" t="s">
        <v>62</v>
      </c>
      <c r="D1077" s="64">
        <v>42879</v>
      </c>
      <c r="E1077">
        <v>1.1886371668330398E-2</v>
      </c>
      <c r="F1077">
        <v>3.6382491616027655E-2</v>
      </c>
      <c r="G1077" s="40">
        <f t="shared" si="40"/>
        <v>0</v>
      </c>
      <c r="H1077" s="33">
        <f t="shared" si="41"/>
        <v>-3.6382491616027655E-2</v>
      </c>
      <c r="I1077" s="43"/>
    </row>
    <row r="1078" spans="2:9" ht="15">
      <c r="B1078" s="32">
        <v>1</v>
      </c>
      <c r="C1078" s="66" t="s">
        <v>62</v>
      </c>
      <c r="D1078" s="64">
        <v>42880</v>
      </c>
      <c r="E1078">
        <v>7.7214287872156007E-3</v>
      </c>
      <c r="F1078">
        <v>3.6942386320637365E-2</v>
      </c>
      <c r="G1078" s="40">
        <f t="shared" si="40"/>
        <v>0</v>
      </c>
      <c r="H1078" s="33">
        <f t="shared" si="41"/>
        <v>-3.6942386320637365E-2</v>
      </c>
      <c r="I1078" s="43"/>
    </row>
    <row r="1079" spans="2:9" ht="15">
      <c r="B1079" s="32">
        <v>1</v>
      </c>
      <c r="C1079" s="66" t="s">
        <v>62</v>
      </c>
      <c r="D1079" s="64">
        <v>42881</v>
      </c>
      <c r="E1079">
        <v>6.5805933541200901E-3</v>
      </c>
      <c r="F1079">
        <v>3.6944344188859522E-2</v>
      </c>
      <c r="G1079" s="40">
        <f t="shared" si="40"/>
        <v>0</v>
      </c>
      <c r="H1079" s="33">
        <f t="shared" si="41"/>
        <v>-3.6944344188859522E-2</v>
      </c>
      <c r="I1079" s="43"/>
    </row>
    <row r="1080" spans="2:9" ht="15">
      <c r="B1080" s="32">
        <v>1</v>
      </c>
      <c r="C1080" s="66" t="s">
        <v>62</v>
      </c>
      <c r="D1080" s="64">
        <v>42885</v>
      </c>
      <c r="E1080">
        <v>6.8067014814001681E-3</v>
      </c>
      <c r="F1080">
        <v>3.6834341567735379E-2</v>
      </c>
      <c r="G1080" s="40">
        <f t="shared" si="40"/>
        <v>0</v>
      </c>
      <c r="H1080" s="33">
        <f t="shared" si="41"/>
        <v>-3.6834341567735379E-2</v>
      </c>
      <c r="I1080" s="43"/>
    </row>
    <row r="1081" spans="2:9" ht="15">
      <c r="B1081" s="32">
        <v>1</v>
      </c>
      <c r="C1081" s="66" t="s">
        <v>62</v>
      </c>
      <c r="D1081" s="64">
        <v>42886</v>
      </c>
      <c r="E1081">
        <v>1.1768134795194563E-2</v>
      </c>
      <c r="F1081">
        <v>3.6815420621295232E-2</v>
      </c>
      <c r="G1081" s="40">
        <f t="shared" si="40"/>
        <v>0</v>
      </c>
      <c r="H1081" s="33">
        <f t="shared" si="41"/>
        <v>-3.6815420621295232E-2</v>
      </c>
      <c r="I1081" s="43"/>
    </row>
    <row r="1082" spans="2:9" ht="15">
      <c r="B1082" s="32">
        <v>1</v>
      </c>
      <c r="C1082" s="66" t="s">
        <v>62</v>
      </c>
      <c r="D1082" s="64">
        <v>42887</v>
      </c>
      <c r="E1082">
        <v>3.2292120595291962E-3</v>
      </c>
      <c r="F1082">
        <v>3.852636867706366E-2</v>
      </c>
      <c r="G1082" s="40">
        <f t="shared" si="40"/>
        <v>0</v>
      </c>
      <c r="H1082" s="33">
        <f t="shared" si="41"/>
        <v>-3.852636867706366E-2</v>
      </c>
      <c r="I1082" s="43"/>
    </row>
    <row r="1083" spans="2:9" ht="15">
      <c r="B1083" s="32">
        <v>1</v>
      </c>
      <c r="C1083" s="66" t="s">
        <v>62</v>
      </c>
      <c r="D1083" s="64">
        <v>42888</v>
      </c>
      <c r="E1083">
        <v>-2.7137720664178744E-3</v>
      </c>
      <c r="F1083">
        <v>3.8640660132659245E-2</v>
      </c>
      <c r="G1083" s="40">
        <f t="shared" si="40"/>
        <v>0</v>
      </c>
      <c r="H1083" s="33">
        <f t="shared" si="41"/>
        <v>-3.8640660132659245E-2</v>
      </c>
      <c r="I1083" s="43"/>
    </row>
    <row r="1084" spans="2:9" ht="15">
      <c r="B1084" s="32">
        <v>1</v>
      </c>
      <c r="C1084" s="66" t="s">
        <v>62</v>
      </c>
      <c r="D1084" s="64">
        <v>42891</v>
      </c>
      <c r="E1084">
        <v>-1.2117662313499977E-3</v>
      </c>
      <c r="F1084">
        <v>3.8801754892406261E-2</v>
      </c>
      <c r="G1084" s="40">
        <f t="shared" si="40"/>
        <v>0</v>
      </c>
      <c r="H1084" s="33">
        <f t="shared" si="41"/>
        <v>-3.8801754892406261E-2</v>
      </c>
      <c r="I1084" s="43"/>
    </row>
    <row r="1085" spans="2:9" ht="15">
      <c r="B1085" s="32">
        <v>1</v>
      </c>
      <c r="C1085" s="66" t="s">
        <v>62</v>
      </c>
      <c r="D1085" s="64">
        <v>42892</v>
      </c>
      <c r="E1085">
        <v>9.8837260010613548E-3</v>
      </c>
      <c r="F1085">
        <v>3.8853026852397221E-2</v>
      </c>
      <c r="G1085" s="40">
        <f t="shared" si="40"/>
        <v>0</v>
      </c>
      <c r="H1085" s="33">
        <f t="shared" si="41"/>
        <v>-3.8853026852397221E-2</v>
      </c>
      <c r="I1085" s="43"/>
    </row>
    <row r="1086" spans="2:9" ht="15">
      <c r="B1086" s="32">
        <v>1</v>
      </c>
      <c r="C1086" s="66" t="s">
        <v>62</v>
      </c>
      <c r="D1086" s="64">
        <v>42893</v>
      </c>
      <c r="E1086">
        <v>1.5975363856481906E-3</v>
      </c>
      <c r="F1086">
        <v>3.8871485126844206E-2</v>
      </c>
      <c r="G1086" s="40">
        <f t="shared" si="40"/>
        <v>0</v>
      </c>
      <c r="H1086" s="33">
        <f t="shared" si="41"/>
        <v>-3.8871485126844206E-2</v>
      </c>
      <c r="I1086" s="43"/>
    </row>
    <row r="1087" spans="2:9" ht="15">
      <c r="B1087" s="32">
        <v>1</v>
      </c>
      <c r="C1087" s="66" t="s">
        <v>62</v>
      </c>
      <c r="D1087" s="64">
        <v>42894</v>
      </c>
      <c r="E1087">
        <v>7.4755330438591727E-4</v>
      </c>
      <c r="F1087">
        <v>3.8774569821854545E-2</v>
      </c>
      <c r="G1087" s="40">
        <f t="shared" si="40"/>
        <v>0</v>
      </c>
      <c r="H1087" s="33">
        <f t="shared" si="41"/>
        <v>-3.8774569821854545E-2</v>
      </c>
      <c r="I1087" s="43"/>
    </row>
    <row r="1088" spans="2:9" ht="15">
      <c r="B1088" s="32">
        <v>1</v>
      </c>
      <c r="C1088" s="66" t="s">
        <v>62</v>
      </c>
      <c r="D1088" s="64">
        <v>42895</v>
      </c>
      <c r="E1088">
        <v>1.1220011529058382E-3</v>
      </c>
      <c r="F1088">
        <v>3.8847065543201387E-2</v>
      </c>
      <c r="G1088" s="40">
        <f t="shared" si="40"/>
        <v>0</v>
      </c>
      <c r="H1088" s="33">
        <f t="shared" si="41"/>
        <v>-3.8847065543201387E-2</v>
      </c>
      <c r="I1088" s="43"/>
    </row>
    <row r="1089" spans="2:9" ht="15">
      <c r="B1089" s="32">
        <v>1</v>
      </c>
      <c r="C1089" s="66" t="s">
        <v>62</v>
      </c>
      <c r="D1089" s="64">
        <v>42898</v>
      </c>
      <c r="E1089">
        <v>3.6609422776283651E-3</v>
      </c>
      <c r="F1089">
        <v>3.866208300771274E-2</v>
      </c>
      <c r="G1089" s="40">
        <f t="shared" si="40"/>
        <v>0</v>
      </c>
      <c r="H1089" s="33">
        <f t="shared" si="41"/>
        <v>-3.866208300771274E-2</v>
      </c>
      <c r="I1089" s="43"/>
    </row>
    <row r="1090" spans="2:9" ht="15">
      <c r="B1090" s="32">
        <v>1</v>
      </c>
      <c r="C1090" s="66" t="s">
        <v>62</v>
      </c>
      <c r="D1090" s="64">
        <v>42899</v>
      </c>
      <c r="E1090">
        <v>-5.2466481090629458E-4</v>
      </c>
      <c r="F1090">
        <v>3.8945056317082324E-2</v>
      </c>
      <c r="G1090" s="40">
        <f t="shared" si="40"/>
        <v>0</v>
      </c>
      <c r="H1090" s="33">
        <f t="shared" si="41"/>
        <v>-3.8945056317082324E-2</v>
      </c>
      <c r="I1090" s="43"/>
    </row>
    <row r="1091" spans="2:9" ht="15">
      <c r="B1091" s="32">
        <v>1</v>
      </c>
      <c r="C1091" s="66" t="s">
        <v>62</v>
      </c>
      <c r="D1091" s="64">
        <v>42900</v>
      </c>
      <c r="E1091">
        <v>-7.6339241068339447E-3</v>
      </c>
      <c r="F1091">
        <v>3.8523752085151235E-2</v>
      </c>
      <c r="G1091" s="40">
        <f t="shared" si="40"/>
        <v>0</v>
      </c>
      <c r="H1091" s="33">
        <f t="shared" si="41"/>
        <v>-3.8523752085151235E-2</v>
      </c>
      <c r="I1091" s="43"/>
    </row>
    <row r="1092" spans="2:9" ht="15">
      <c r="B1092" s="32">
        <v>1</v>
      </c>
      <c r="C1092" s="66" t="s">
        <v>62</v>
      </c>
      <c r="D1092" s="64">
        <v>42901</v>
      </c>
      <c r="E1092">
        <v>3.3776871181885326E-3</v>
      </c>
      <c r="F1092">
        <v>3.8755491193387628E-2</v>
      </c>
      <c r="G1092" s="40">
        <f t="shared" si="40"/>
        <v>0</v>
      </c>
      <c r="H1092" s="33">
        <f t="shared" si="41"/>
        <v>-3.8755491193387628E-2</v>
      </c>
      <c r="I1092" s="43"/>
    </row>
    <row r="1093" spans="2:9" ht="15">
      <c r="B1093" s="32">
        <v>1</v>
      </c>
      <c r="C1093" s="66" t="s">
        <v>62</v>
      </c>
      <c r="D1093" s="64">
        <v>42902</v>
      </c>
      <c r="E1093">
        <v>-5.5431286136231606E-3</v>
      </c>
      <c r="F1093">
        <v>2.1991535359829815E-2</v>
      </c>
      <c r="G1093" s="40">
        <f t="shared" si="40"/>
        <v>0</v>
      </c>
      <c r="H1093" s="33">
        <f t="shared" si="41"/>
        <v>-2.1991535359829815E-2</v>
      </c>
      <c r="I1093" s="43"/>
    </row>
    <row r="1094" spans="2:9" ht="15">
      <c r="B1094" s="32">
        <v>1</v>
      </c>
      <c r="C1094" s="66" t="s">
        <v>62</v>
      </c>
      <c r="D1094" s="64">
        <v>42905</v>
      </c>
      <c r="E1094">
        <v>-1.2323654350495872E-2</v>
      </c>
      <c r="F1094">
        <v>2.43567080798105E-2</v>
      </c>
      <c r="G1094" s="40">
        <f t="shared" ref="G1094:G1157" si="42">--(E1094&lt;-F1094)</f>
        <v>0</v>
      </c>
      <c r="H1094" s="33">
        <f t="shared" ref="H1094:H1157" si="43">-F1094</f>
        <v>-2.43567080798105E-2</v>
      </c>
      <c r="I1094" s="43"/>
    </row>
    <row r="1095" spans="2:9" ht="15">
      <c r="B1095" s="32">
        <v>1</v>
      </c>
      <c r="C1095" s="66" t="s">
        <v>62</v>
      </c>
      <c r="D1095" s="64">
        <v>42906</v>
      </c>
      <c r="E1095">
        <v>-3.2963256355023063E-3</v>
      </c>
      <c r="F1095">
        <v>2.636888854084353E-2</v>
      </c>
      <c r="G1095" s="40">
        <f t="shared" si="42"/>
        <v>0</v>
      </c>
      <c r="H1095" s="33">
        <f t="shared" si="43"/>
        <v>-2.636888854084353E-2</v>
      </c>
      <c r="I1095" s="43"/>
    </row>
    <row r="1096" spans="2:9" ht="15">
      <c r="B1096" s="32">
        <v>1</v>
      </c>
      <c r="C1096" s="66" t="s">
        <v>62</v>
      </c>
      <c r="D1096" s="64">
        <v>42907</v>
      </c>
      <c r="E1096">
        <v>-1.2612874767317095E-3</v>
      </c>
      <c r="F1096">
        <v>2.5577691549212484E-2</v>
      </c>
      <c r="G1096" s="40">
        <f t="shared" si="42"/>
        <v>0</v>
      </c>
      <c r="H1096" s="33">
        <f t="shared" si="43"/>
        <v>-2.5577691549212484E-2</v>
      </c>
      <c r="I1096" s="43"/>
    </row>
    <row r="1097" spans="2:9" ht="15">
      <c r="B1097" s="32">
        <v>1</v>
      </c>
      <c r="C1097" s="66" t="s">
        <v>62</v>
      </c>
      <c r="D1097" s="64">
        <v>42908</v>
      </c>
      <c r="E1097">
        <v>-1.0218388958677771E-2</v>
      </c>
      <c r="F1097">
        <v>2.5595976921832152E-2</v>
      </c>
      <c r="G1097" s="40">
        <f t="shared" si="42"/>
        <v>0</v>
      </c>
      <c r="H1097" s="33">
        <f t="shared" si="43"/>
        <v>-2.5595976921832152E-2</v>
      </c>
      <c r="I1097" s="43"/>
    </row>
    <row r="1098" spans="2:9" ht="15">
      <c r="B1098" s="32">
        <v>1</v>
      </c>
      <c r="C1098" s="66" t="s">
        <v>62</v>
      </c>
      <c r="D1098" s="64">
        <v>42909</v>
      </c>
      <c r="E1098">
        <v>-5.3953748667767698E-3</v>
      </c>
      <c r="F1098">
        <v>2.5465012010091714E-2</v>
      </c>
      <c r="G1098" s="40">
        <f t="shared" si="42"/>
        <v>0</v>
      </c>
      <c r="H1098" s="33">
        <f t="shared" si="43"/>
        <v>-2.5465012010091714E-2</v>
      </c>
      <c r="I1098" s="43"/>
    </row>
    <row r="1099" spans="2:9" ht="15">
      <c r="B1099" s="32">
        <v>1</v>
      </c>
      <c r="C1099" s="66" t="s">
        <v>62</v>
      </c>
      <c r="D1099" s="64">
        <v>42912</v>
      </c>
      <c r="E1099">
        <v>-4.7837904853027524E-3</v>
      </c>
      <c r="F1099">
        <v>2.4662834575115686E-2</v>
      </c>
      <c r="G1099" s="40">
        <f t="shared" si="42"/>
        <v>0</v>
      </c>
      <c r="H1099" s="33">
        <f t="shared" si="43"/>
        <v>-2.4662834575115686E-2</v>
      </c>
      <c r="I1099" s="43"/>
    </row>
    <row r="1100" spans="2:9" ht="15">
      <c r="B1100" s="32">
        <v>1</v>
      </c>
      <c r="C1100" s="66" t="s">
        <v>62</v>
      </c>
      <c r="D1100" s="64">
        <v>42913</v>
      </c>
      <c r="E1100">
        <v>2.5388085290041218E-3</v>
      </c>
      <c r="F1100">
        <v>2.8250613364983492E-2</v>
      </c>
      <c r="G1100" s="40">
        <f t="shared" si="42"/>
        <v>0</v>
      </c>
      <c r="H1100" s="33">
        <f t="shared" si="43"/>
        <v>-2.8250613364983492E-2</v>
      </c>
      <c r="I1100" s="43"/>
    </row>
    <row r="1101" spans="2:9" ht="15">
      <c r="B1101" s="32">
        <v>1</v>
      </c>
      <c r="C1101" s="66" t="s">
        <v>62</v>
      </c>
      <c r="D1101" s="64">
        <v>42914</v>
      </c>
      <c r="E1101">
        <v>1.0483581966189703E-3</v>
      </c>
      <c r="F1101">
        <v>3.1395198588783979E-2</v>
      </c>
      <c r="G1101" s="40">
        <f t="shared" si="42"/>
        <v>0</v>
      </c>
      <c r="H1101" s="33">
        <f t="shared" si="43"/>
        <v>-3.1395198588783979E-2</v>
      </c>
      <c r="I1101" s="43"/>
    </row>
    <row r="1102" spans="2:9" ht="15">
      <c r="B1102" s="32">
        <v>1</v>
      </c>
      <c r="C1102" s="66" t="s">
        <v>62</v>
      </c>
      <c r="D1102" s="64">
        <v>42915</v>
      </c>
      <c r="E1102">
        <v>1.1558404367749908E-2</v>
      </c>
      <c r="F1102">
        <v>3.4676515753651112E-2</v>
      </c>
      <c r="G1102" s="40">
        <f t="shared" si="42"/>
        <v>0</v>
      </c>
      <c r="H1102" s="33">
        <f t="shared" si="43"/>
        <v>-3.4676515753651112E-2</v>
      </c>
      <c r="I1102" s="43"/>
    </row>
    <row r="1103" spans="2:9" ht="15">
      <c r="B1103" s="32">
        <v>1</v>
      </c>
      <c r="C1103" s="66" t="s">
        <v>62</v>
      </c>
      <c r="D1103" s="64">
        <v>42916</v>
      </c>
      <c r="E1103">
        <v>1.4688963142657663E-2</v>
      </c>
      <c r="F1103">
        <v>3.2485059667932775E-2</v>
      </c>
      <c r="G1103" s="40">
        <f t="shared" si="42"/>
        <v>0</v>
      </c>
      <c r="H1103" s="33">
        <f t="shared" si="43"/>
        <v>-3.2485059667932775E-2</v>
      </c>
      <c r="I1103" s="43"/>
    </row>
    <row r="1104" spans="2:9" ht="15">
      <c r="B1104" s="32">
        <v>1</v>
      </c>
      <c r="C1104" s="66" t="s">
        <v>62</v>
      </c>
      <c r="D1104" s="64">
        <v>42919</v>
      </c>
      <c r="E1104">
        <v>1.232788076612934E-2</v>
      </c>
      <c r="F1104">
        <v>3.2115416897162526E-2</v>
      </c>
      <c r="G1104" s="40">
        <f t="shared" si="42"/>
        <v>0</v>
      </c>
      <c r="H1104" s="33">
        <f t="shared" si="43"/>
        <v>-3.2115416897162526E-2</v>
      </c>
      <c r="I1104" s="43"/>
    </row>
    <row r="1105" spans="2:9" ht="15">
      <c r="B1105" s="32">
        <v>1</v>
      </c>
      <c r="C1105" s="66" t="s">
        <v>62</v>
      </c>
      <c r="D1105" s="64">
        <v>42921</v>
      </c>
      <c r="E1105">
        <v>1.147333520713012E-2</v>
      </c>
      <c r="F1105">
        <v>3.217165289257097E-2</v>
      </c>
      <c r="G1105" s="40">
        <f t="shared" si="42"/>
        <v>0</v>
      </c>
      <c r="H1105" s="33">
        <f t="shared" si="43"/>
        <v>-3.217165289257097E-2</v>
      </c>
      <c r="I1105" s="43"/>
    </row>
    <row r="1106" spans="2:9" ht="15">
      <c r="B1106" s="32">
        <v>1</v>
      </c>
      <c r="C1106" s="66" t="s">
        <v>62</v>
      </c>
      <c r="D1106" s="64">
        <v>42922</v>
      </c>
      <c r="E1106">
        <v>2.6244580825278696E-2</v>
      </c>
      <c r="F1106">
        <v>3.5293830818053068E-2</v>
      </c>
      <c r="G1106" s="40">
        <f t="shared" si="42"/>
        <v>0</v>
      </c>
      <c r="H1106" s="33">
        <f t="shared" si="43"/>
        <v>-3.5293830818053068E-2</v>
      </c>
      <c r="I1106" s="43"/>
    </row>
    <row r="1107" spans="2:9" ht="15">
      <c r="B1107" s="32">
        <v>1</v>
      </c>
      <c r="C1107" s="66" t="s">
        <v>62</v>
      </c>
      <c r="D1107" s="64">
        <v>42923</v>
      </c>
      <c r="E1107">
        <v>1.9708196999911998E-2</v>
      </c>
      <c r="F1107">
        <v>3.6828011341223592E-2</v>
      </c>
      <c r="G1107" s="40">
        <f t="shared" si="42"/>
        <v>0</v>
      </c>
      <c r="H1107" s="33">
        <f t="shared" si="43"/>
        <v>-3.6828011341223592E-2</v>
      </c>
      <c r="I1107" s="43"/>
    </row>
    <row r="1108" spans="2:9" ht="15">
      <c r="B1108" s="32">
        <v>1</v>
      </c>
      <c r="C1108" s="66" t="s">
        <v>62</v>
      </c>
      <c r="D1108" s="64">
        <v>42926</v>
      </c>
      <c r="E1108">
        <v>1.8412921611538735E-2</v>
      </c>
      <c r="F1108">
        <v>3.6863770719479043E-2</v>
      </c>
      <c r="G1108" s="40">
        <f t="shared" si="42"/>
        <v>0</v>
      </c>
      <c r="H1108" s="33">
        <f t="shared" si="43"/>
        <v>-3.6863770719479043E-2</v>
      </c>
      <c r="I1108" s="43"/>
    </row>
    <row r="1109" spans="2:9" ht="15">
      <c r="B1109" s="32">
        <v>1</v>
      </c>
      <c r="C1109" s="66" t="s">
        <v>62</v>
      </c>
      <c r="D1109" s="64">
        <v>42927</v>
      </c>
      <c r="E1109">
        <v>1.8131607933650429E-2</v>
      </c>
      <c r="F1109">
        <v>3.686139629919289E-2</v>
      </c>
      <c r="G1109" s="40">
        <f t="shared" si="42"/>
        <v>0</v>
      </c>
      <c r="H1109" s="33">
        <f t="shared" si="43"/>
        <v>-3.686139629919289E-2</v>
      </c>
      <c r="I1109" s="43"/>
    </row>
    <row r="1110" spans="2:9" ht="15">
      <c r="B1110" s="32">
        <v>1</v>
      </c>
      <c r="C1110" s="66" t="s">
        <v>62</v>
      </c>
      <c r="D1110" s="64">
        <v>42928</v>
      </c>
      <c r="E1110">
        <v>1.3771464503305353E-2</v>
      </c>
      <c r="F1110">
        <v>3.868102351211973E-2</v>
      </c>
      <c r="G1110" s="40">
        <f t="shared" si="42"/>
        <v>0</v>
      </c>
      <c r="H1110" s="33">
        <f t="shared" si="43"/>
        <v>-3.868102351211973E-2</v>
      </c>
      <c r="I1110" s="43"/>
    </row>
    <row r="1111" spans="2:9" ht="15">
      <c r="B1111" s="32">
        <v>1</v>
      </c>
      <c r="C1111" s="66" t="s">
        <v>62</v>
      </c>
      <c r="D1111" s="64">
        <v>42929</v>
      </c>
      <c r="E1111">
        <v>1.2181258960878516E-2</v>
      </c>
      <c r="F1111">
        <v>3.8129352768151138E-2</v>
      </c>
      <c r="G1111" s="40">
        <f t="shared" si="42"/>
        <v>0</v>
      </c>
      <c r="H1111" s="33">
        <f t="shared" si="43"/>
        <v>-3.8129352768151138E-2</v>
      </c>
      <c r="I1111" s="43"/>
    </row>
    <row r="1112" spans="2:9" ht="15">
      <c r="B1112" s="32">
        <v>1</v>
      </c>
      <c r="C1112" s="66" t="s">
        <v>62</v>
      </c>
      <c r="D1112" s="64">
        <v>42930</v>
      </c>
      <c r="E1112">
        <v>6.545481012747878E-3</v>
      </c>
      <c r="F1112">
        <v>3.8747891369725687E-2</v>
      </c>
      <c r="G1112" s="40">
        <f t="shared" si="42"/>
        <v>0</v>
      </c>
      <c r="H1112" s="33">
        <f t="shared" si="43"/>
        <v>-3.8747891369725687E-2</v>
      </c>
      <c r="I1112" s="43"/>
    </row>
    <row r="1113" spans="2:9" ht="15">
      <c r="B1113" s="32">
        <v>1</v>
      </c>
      <c r="C1113" s="66" t="s">
        <v>62</v>
      </c>
      <c r="D1113" s="64">
        <v>42933</v>
      </c>
      <c r="E1113">
        <v>5.2563796789453221E-3</v>
      </c>
      <c r="F1113">
        <v>3.8500219498902533E-2</v>
      </c>
      <c r="G1113" s="40">
        <f t="shared" si="42"/>
        <v>0</v>
      </c>
      <c r="H1113" s="33">
        <f t="shared" si="43"/>
        <v>-3.8500219498902533E-2</v>
      </c>
      <c r="I1113" s="43"/>
    </row>
    <row r="1114" spans="2:9" ht="15">
      <c r="B1114" s="32">
        <v>1</v>
      </c>
      <c r="C1114" s="66" t="s">
        <v>62</v>
      </c>
      <c r="D1114" s="64">
        <v>42934</v>
      </c>
      <c r="E1114">
        <v>3.9302904198041944E-3</v>
      </c>
      <c r="F1114">
        <v>3.8498314502367327E-2</v>
      </c>
      <c r="G1114" s="40">
        <f t="shared" si="42"/>
        <v>0</v>
      </c>
      <c r="H1114" s="33">
        <f t="shared" si="43"/>
        <v>-3.8498314502367327E-2</v>
      </c>
      <c r="I1114" s="43"/>
    </row>
    <row r="1115" spans="2:9" ht="15">
      <c r="B1115" s="32">
        <v>1</v>
      </c>
      <c r="C1115" s="66" t="s">
        <v>62</v>
      </c>
      <c r="D1115" s="64">
        <v>42935</v>
      </c>
      <c r="E1115">
        <v>1.0181529270036904E-3</v>
      </c>
      <c r="F1115">
        <v>3.7151741883113369E-2</v>
      </c>
      <c r="G1115" s="40">
        <f t="shared" si="42"/>
        <v>0</v>
      </c>
      <c r="H1115" s="33">
        <f t="shared" si="43"/>
        <v>-3.7151741883113369E-2</v>
      </c>
      <c r="I1115" s="43"/>
    </row>
    <row r="1116" spans="2:9" ht="15">
      <c r="B1116" s="32">
        <v>1</v>
      </c>
      <c r="C1116" s="66" t="s">
        <v>62</v>
      </c>
      <c r="D1116" s="64">
        <v>42936</v>
      </c>
      <c r="E1116">
        <v>1.6643511580527459E-3</v>
      </c>
      <c r="F1116">
        <v>3.5193832255928072E-2</v>
      </c>
      <c r="G1116" s="40">
        <f t="shared" si="42"/>
        <v>0</v>
      </c>
      <c r="H1116" s="33">
        <f t="shared" si="43"/>
        <v>-3.5193832255928072E-2</v>
      </c>
      <c r="I1116" s="43"/>
    </row>
    <row r="1117" spans="2:9" ht="15">
      <c r="B1117" s="32">
        <v>1</v>
      </c>
      <c r="C1117" s="66" t="s">
        <v>62</v>
      </c>
      <c r="D1117" s="64">
        <v>42937</v>
      </c>
      <c r="E1117">
        <v>-1.537512910854133E-4</v>
      </c>
      <c r="F1117">
        <v>3.5174218488643945E-2</v>
      </c>
      <c r="G1117" s="40">
        <f t="shared" si="42"/>
        <v>0</v>
      </c>
      <c r="H1117" s="33">
        <f t="shared" si="43"/>
        <v>-3.5174218488643945E-2</v>
      </c>
      <c r="I1117" s="43"/>
    </row>
    <row r="1118" spans="2:9" ht="15">
      <c r="B1118" s="32">
        <v>1</v>
      </c>
      <c r="C1118" s="66" t="s">
        <v>62</v>
      </c>
      <c r="D1118" s="64">
        <v>42940</v>
      </c>
      <c r="E1118">
        <v>2.7978711346428042E-3</v>
      </c>
      <c r="F1118">
        <v>3.524259128573861E-2</v>
      </c>
      <c r="G1118" s="40">
        <f t="shared" si="42"/>
        <v>0</v>
      </c>
      <c r="H1118" s="33">
        <f t="shared" si="43"/>
        <v>-3.524259128573861E-2</v>
      </c>
      <c r="I1118" s="43"/>
    </row>
    <row r="1119" spans="2:9" ht="15">
      <c r="B1119" s="32">
        <v>1</v>
      </c>
      <c r="C1119" s="66" t="s">
        <v>62</v>
      </c>
      <c r="D1119" s="64">
        <v>42941</v>
      </c>
      <c r="E1119">
        <v>1.5248081454313223E-3</v>
      </c>
      <c r="F1119">
        <v>3.5400792592817913E-2</v>
      </c>
      <c r="G1119" s="40">
        <f t="shared" si="42"/>
        <v>0</v>
      </c>
      <c r="H1119" s="33">
        <f t="shared" si="43"/>
        <v>-3.5400792592817913E-2</v>
      </c>
      <c r="I1119" s="43"/>
    </row>
    <row r="1120" spans="2:9" ht="15">
      <c r="B1120" s="32">
        <v>1</v>
      </c>
      <c r="C1120" s="66" t="s">
        <v>62</v>
      </c>
      <c r="D1120" s="64">
        <v>42942</v>
      </c>
      <c r="E1120">
        <v>-1.1751678703406654E-3</v>
      </c>
      <c r="F1120">
        <v>3.5401938095022151E-2</v>
      </c>
      <c r="G1120" s="40">
        <f t="shared" si="42"/>
        <v>0</v>
      </c>
      <c r="H1120" s="33">
        <f t="shared" si="43"/>
        <v>-3.5401938095022151E-2</v>
      </c>
      <c r="I1120" s="43"/>
    </row>
    <row r="1121" spans="2:9" ht="15">
      <c r="B1121" s="32">
        <v>1</v>
      </c>
      <c r="C1121" s="66" t="s">
        <v>62</v>
      </c>
      <c r="D1121" s="64">
        <v>42943</v>
      </c>
      <c r="E1121">
        <v>-5.6568098764131491E-4</v>
      </c>
      <c r="F1121">
        <v>3.2288429132599397E-2</v>
      </c>
      <c r="G1121" s="40">
        <f t="shared" si="42"/>
        <v>0</v>
      </c>
      <c r="H1121" s="33">
        <f t="shared" si="43"/>
        <v>-3.2288429132599397E-2</v>
      </c>
      <c r="I1121" s="43"/>
    </row>
    <row r="1122" spans="2:9" ht="15">
      <c r="B1122" s="32">
        <v>1</v>
      </c>
      <c r="C1122" s="66" t="s">
        <v>62</v>
      </c>
      <c r="D1122" s="64">
        <v>42944</v>
      </c>
      <c r="E1122">
        <v>-1.3803883962657082E-2</v>
      </c>
      <c r="F1122">
        <v>2.9762617896498235E-2</v>
      </c>
      <c r="G1122" s="40">
        <f t="shared" si="42"/>
        <v>0</v>
      </c>
      <c r="H1122" s="33">
        <f t="shared" si="43"/>
        <v>-2.9762617896498235E-2</v>
      </c>
      <c r="I1122" s="43"/>
    </row>
    <row r="1123" spans="2:9" ht="15">
      <c r="B1123" s="32">
        <v>1</v>
      </c>
      <c r="C1123" s="66" t="s">
        <v>62</v>
      </c>
      <c r="D1123" s="64">
        <v>42947</v>
      </c>
      <c r="E1123">
        <v>-1.1800716103473441E-2</v>
      </c>
      <c r="F1123">
        <v>2.5519776237929188E-2</v>
      </c>
      <c r="G1123" s="40">
        <f t="shared" si="42"/>
        <v>0</v>
      </c>
      <c r="H1123" s="33">
        <f t="shared" si="43"/>
        <v>-2.5519776237929188E-2</v>
      </c>
      <c r="I1123" s="43"/>
    </row>
    <row r="1124" spans="2:9" ht="15">
      <c r="B1124" s="32">
        <v>1</v>
      </c>
      <c r="C1124" s="66" t="s">
        <v>62</v>
      </c>
      <c r="D1124" s="64">
        <v>42948</v>
      </c>
      <c r="E1124">
        <v>-4.2531855100387261E-3</v>
      </c>
      <c r="F1124">
        <v>2.5614756549102388E-2</v>
      </c>
      <c r="G1124" s="40">
        <f t="shared" si="42"/>
        <v>0</v>
      </c>
      <c r="H1124" s="33">
        <f t="shared" si="43"/>
        <v>-2.5614756549102388E-2</v>
      </c>
      <c r="I1124" s="43"/>
    </row>
    <row r="1125" spans="2:9" ht="15">
      <c r="B1125" s="32">
        <v>1</v>
      </c>
      <c r="C1125" s="66" t="s">
        <v>62</v>
      </c>
      <c r="D1125" s="64">
        <v>42949</v>
      </c>
      <c r="E1125">
        <v>-5.2446451759333712E-3</v>
      </c>
      <c r="F1125">
        <v>2.5535125351531393E-2</v>
      </c>
      <c r="G1125" s="40">
        <f t="shared" si="42"/>
        <v>0</v>
      </c>
      <c r="H1125" s="33">
        <f t="shared" si="43"/>
        <v>-2.5535125351531393E-2</v>
      </c>
      <c r="I1125" s="43"/>
    </row>
    <row r="1126" spans="2:9" ht="15">
      <c r="B1126" s="32">
        <v>1</v>
      </c>
      <c r="C1126" s="66" t="s">
        <v>62</v>
      </c>
      <c r="D1126" s="64">
        <v>42950</v>
      </c>
      <c r="E1126">
        <v>-1.639507918222094E-3</v>
      </c>
      <c r="F1126">
        <v>2.6002326759831676E-2</v>
      </c>
      <c r="G1126" s="40">
        <f t="shared" si="42"/>
        <v>0</v>
      </c>
      <c r="H1126" s="33">
        <f t="shared" si="43"/>
        <v>-2.6002326759831676E-2</v>
      </c>
      <c r="I1126" s="43"/>
    </row>
    <row r="1127" spans="2:9" ht="15">
      <c r="B1127" s="32">
        <v>1</v>
      </c>
      <c r="C1127" s="66" t="s">
        <v>62</v>
      </c>
      <c r="D1127" s="64">
        <v>42951</v>
      </c>
      <c r="E1127">
        <v>-1.9084171549347495E-2</v>
      </c>
      <c r="F1127">
        <v>1.9557516783978882E-2</v>
      </c>
      <c r="G1127" s="40">
        <f t="shared" si="42"/>
        <v>0</v>
      </c>
      <c r="H1127" s="33">
        <f t="shared" si="43"/>
        <v>-1.9557516783978882E-2</v>
      </c>
      <c r="I1127" s="43"/>
    </row>
    <row r="1128" spans="2:9" ht="15">
      <c r="B1128" s="32">
        <v>1</v>
      </c>
      <c r="C1128" s="66" t="s">
        <v>62</v>
      </c>
      <c r="D1128" s="64">
        <v>42954</v>
      </c>
      <c r="E1128">
        <v>-2.2567069886950897E-2</v>
      </c>
      <c r="F1128">
        <v>1.7612910790919322E-2</v>
      </c>
      <c r="G1128" s="40">
        <f t="shared" si="42"/>
        <v>1</v>
      </c>
      <c r="H1128" s="33">
        <f t="shared" si="43"/>
        <v>-1.7612910790919322E-2</v>
      </c>
      <c r="I1128" s="43">
        <f t="shared" ref="I1070:I1133" si="44">IF(G1128=0,"",E1128)</f>
        <v>-2.2567069886950897E-2</v>
      </c>
    </row>
    <row r="1129" spans="2:9" ht="15">
      <c r="B1129" s="32">
        <v>1</v>
      </c>
      <c r="C1129" s="66" t="s">
        <v>62</v>
      </c>
      <c r="D1129" s="64">
        <v>42955</v>
      </c>
      <c r="E1129">
        <v>-1.8987742184664924E-2</v>
      </c>
      <c r="F1129">
        <v>1.8488969293929635E-2</v>
      </c>
      <c r="G1129" s="40">
        <f t="shared" si="42"/>
        <v>1</v>
      </c>
      <c r="H1129" s="33">
        <f t="shared" si="43"/>
        <v>-1.8488969293929635E-2</v>
      </c>
      <c r="I1129" s="43">
        <f t="shared" si="44"/>
        <v>-1.8987742184664924E-2</v>
      </c>
    </row>
    <row r="1130" spans="2:9" ht="15">
      <c r="B1130" s="32">
        <v>1</v>
      </c>
      <c r="C1130" s="66" t="s">
        <v>62</v>
      </c>
      <c r="D1130" s="64">
        <v>42956</v>
      </c>
      <c r="E1130">
        <v>-8.7323720975112096E-3</v>
      </c>
      <c r="F1130">
        <v>1.8396320505524196E-2</v>
      </c>
      <c r="G1130" s="40">
        <f t="shared" si="42"/>
        <v>0</v>
      </c>
      <c r="H1130" s="33">
        <f t="shared" si="43"/>
        <v>-1.8396320505524196E-2</v>
      </c>
      <c r="I1130" s="43"/>
    </row>
    <row r="1131" spans="2:9" ht="15">
      <c r="B1131" s="32">
        <v>1</v>
      </c>
      <c r="C1131" s="66" t="s">
        <v>62</v>
      </c>
      <c r="D1131" s="64">
        <v>42957</v>
      </c>
      <c r="E1131">
        <v>2.3882762132885205E-3</v>
      </c>
      <c r="F1131">
        <v>2.8639596797882493E-2</v>
      </c>
      <c r="G1131" s="40">
        <f t="shared" si="42"/>
        <v>0</v>
      </c>
      <c r="H1131" s="33">
        <f t="shared" si="43"/>
        <v>-2.8639596797882493E-2</v>
      </c>
      <c r="I1131" s="43"/>
    </row>
    <row r="1132" spans="2:9" ht="15">
      <c r="B1132" s="32">
        <v>1</v>
      </c>
      <c r="C1132" s="66" t="s">
        <v>62</v>
      </c>
      <c r="D1132" s="64">
        <v>42958</v>
      </c>
      <c r="E1132">
        <v>-9.6309734170496597E-4</v>
      </c>
      <c r="F1132">
        <v>2.8544145432752195E-2</v>
      </c>
      <c r="G1132" s="40">
        <f t="shared" si="42"/>
        <v>0</v>
      </c>
      <c r="H1132" s="33">
        <f t="shared" si="43"/>
        <v>-2.8544145432752195E-2</v>
      </c>
      <c r="I1132" s="43"/>
    </row>
    <row r="1133" spans="2:9" ht="15">
      <c r="B1133" s="32">
        <v>1</v>
      </c>
      <c r="C1133" s="66" t="s">
        <v>62</v>
      </c>
      <c r="D1133" s="64">
        <v>42961</v>
      </c>
      <c r="E1133">
        <v>-9.2852771617462082E-3</v>
      </c>
      <c r="F1133">
        <v>3.2034182129091496E-2</v>
      </c>
      <c r="G1133" s="40">
        <f t="shared" si="42"/>
        <v>0</v>
      </c>
      <c r="H1133" s="33">
        <f t="shared" si="43"/>
        <v>-3.2034182129091496E-2</v>
      </c>
      <c r="I1133" s="43"/>
    </row>
    <row r="1134" spans="2:9" ht="15">
      <c r="B1134" s="32">
        <v>1</v>
      </c>
      <c r="C1134" s="66" t="s">
        <v>62</v>
      </c>
      <c r="D1134" s="64">
        <v>42962</v>
      </c>
      <c r="E1134">
        <v>-8.2993913122786367E-3</v>
      </c>
      <c r="F1134">
        <v>3.2048960719061791E-2</v>
      </c>
      <c r="G1134" s="40">
        <f t="shared" si="42"/>
        <v>0</v>
      </c>
      <c r="H1134" s="33">
        <f t="shared" si="43"/>
        <v>-3.2048960719061791E-2</v>
      </c>
      <c r="I1134" s="43"/>
    </row>
    <row r="1135" spans="2:9" ht="15">
      <c r="B1135" s="32">
        <v>1</v>
      </c>
      <c r="C1135" s="66" t="s">
        <v>62</v>
      </c>
      <c r="D1135" s="64">
        <v>42963</v>
      </c>
      <c r="E1135">
        <v>-8.8760199076967083E-3</v>
      </c>
      <c r="F1135">
        <v>3.2110143039280142E-2</v>
      </c>
      <c r="G1135" s="40">
        <f t="shared" si="42"/>
        <v>0</v>
      </c>
      <c r="H1135" s="33">
        <f t="shared" si="43"/>
        <v>-3.2110143039280142E-2</v>
      </c>
      <c r="I1135" s="43"/>
    </row>
    <row r="1136" spans="2:9" ht="15">
      <c r="B1136" s="32">
        <v>1</v>
      </c>
      <c r="C1136" s="66" t="s">
        <v>62</v>
      </c>
      <c r="D1136" s="64">
        <v>42964</v>
      </c>
      <c r="E1136">
        <v>1.1285854074420953E-2</v>
      </c>
      <c r="F1136">
        <v>3.9602135104221947E-2</v>
      </c>
      <c r="G1136" s="40">
        <f t="shared" si="42"/>
        <v>0</v>
      </c>
      <c r="H1136" s="33">
        <f t="shared" si="43"/>
        <v>-3.9602135104221947E-2</v>
      </c>
      <c r="I1136" s="43"/>
    </row>
    <row r="1137" spans="2:9" ht="15">
      <c r="B1137" s="32">
        <v>1</v>
      </c>
      <c r="C1137" s="66" t="s">
        <v>62</v>
      </c>
      <c r="D1137" s="64">
        <v>42965</v>
      </c>
      <c r="E1137">
        <v>1.8827581162494944E-2</v>
      </c>
      <c r="F1137">
        <v>3.961412143359113E-2</v>
      </c>
      <c r="G1137" s="40">
        <f t="shared" si="42"/>
        <v>0</v>
      </c>
      <c r="H1137" s="33">
        <f t="shared" si="43"/>
        <v>-3.961412143359113E-2</v>
      </c>
      <c r="I1137" s="43"/>
    </row>
    <row r="1138" spans="2:9" ht="15">
      <c r="B1138" s="32">
        <v>1</v>
      </c>
      <c r="C1138" s="66" t="s">
        <v>62</v>
      </c>
      <c r="D1138" s="64">
        <v>42968</v>
      </c>
      <c r="E1138">
        <v>1.9646183846814047E-2</v>
      </c>
      <c r="F1138">
        <v>3.9748892663758945E-2</v>
      </c>
      <c r="G1138" s="40">
        <f t="shared" si="42"/>
        <v>0</v>
      </c>
      <c r="H1138" s="33">
        <f t="shared" si="43"/>
        <v>-3.9748892663758945E-2</v>
      </c>
      <c r="I1138" s="43"/>
    </row>
    <row r="1139" spans="2:9" ht="15">
      <c r="B1139" s="32">
        <v>1</v>
      </c>
      <c r="C1139" s="66" t="s">
        <v>62</v>
      </c>
      <c r="D1139" s="64">
        <v>42969</v>
      </c>
      <c r="E1139">
        <v>2.1750299317231381E-3</v>
      </c>
      <c r="F1139">
        <v>4.3325539506328933E-2</v>
      </c>
      <c r="G1139" s="40">
        <f t="shared" si="42"/>
        <v>0</v>
      </c>
      <c r="H1139" s="33">
        <f t="shared" si="43"/>
        <v>-4.3325539506328933E-2</v>
      </c>
      <c r="I1139" s="43"/>
    </row>
    <row r="1140" spans="2:9" ht="15">
      <c r="B1140" s="32">
        <v>1</v>
      </c>
      <c r="C1140" s="66" t="s">
        <v>62</v>
      </c>
      <c r="D1140" s="64">
        <v>42970</v>
      </c>
      <c r="E1140">
        <v>8.758442513436826E-3</v>
      </c>
      <c r="F1140">
        <v>4.323853111576715E-2</v>
      </c>
      <c r="G1140" s="40">
        <f t="shared" si="42"/>
        <v>0</v>
      </c>
      <c r="H1140" s="33">
        <f t="shared" si="43"/>
        <v>-4.323853111576715E-2</v>
      </c>
      <c r="I1140" s="43"/>
    </row>
    <row r="1141" spans="2:9" ht="15">
      <c r="B1141" s="32">
        <v>1</v>
      </c>
      <c r="C1141" s="66" t="s">
        <v>62</v>
      </c>
      <c r="D1141" s="64">
        <v>42971</v>
      </c>
      <c r="E1141">
        <v>1.0656607233223703E-2</v>
      </c>
      <c r="F1141">
        <v>4.3268114399027523E-2</v>
      </c>
      <c r="G1141" s="40">
        <f t="shared" si="42"/>
        <v>0</v>
      </c>
      <c r="H1141" s="33">
        <f t="shared" si="43"/>
        <v>-4.3268114399027523E-2</v>
      </c>
      <c r="I1141" s="43"/>
    </row>
    <row r="1142" spans="2:9" ht="15">
      <c r="B1142" s="32">
        <v>1</v>
      </c>
      <c r="C1142" s="66" t="s">
        <v>62</v>
      </c>
      <c r="D1142" s="64">
        <v>42972</v>
      </c>
      <c r="E1142">
        <v>7.4951754787528913E-3</v>
      </c>
      <c r="F1142">
        <v>4.3439604680197974E-2</v>
      </c>
      <c r="G1142" s="40">
        <f t="shared" si="42"/>
        <v>0</v>
      </c>
      <c r="H1142" s="33">
        <f t="shared" si="43"/>
        <v>-4.3439604680197974E-2</v>
      </c>
      <c r="I1142" s="43"/>
    </row>
    <row r="1143" spans="2:9" ht="15">
      <c r="B1143" s="32">
        <v>1</v>
      </c>
      <c r="C1143" s="66" t="s">
        <v>62</v>
      </c>
      <c r="D1143" s="64">
        <v>42975</v>
      </c>
      <c r="E1143">
        <v>1.7789197053286188E-2</v>
      </c>
      <c r="F1143">
        <v>4.3457342360715835E-2</v>
      </c>
      <c r="G1143" s="40">
        <f t="shared" si="42"/>
        <v>0</v>
      </c>
      <c r="H1143" s="33">
        <f t="shared" si="43"/>
        <v>-4.3457342360715835E-2</v>
      </c>
      <c r="I1143" s="43"/>
    </row>
    <row r="1144" spans="2:9" ht="15">
      <c r="B1144" s="32">
        <v>1</v>
      </c>
      <c r="C1144" s="66" t="s">
        <v>62</v>
      </c>
      <c r="D1144" s="64">
        <v>42976</v>
      </c>
      <c r="E1144">
        <v>2.0305032701804393E-2</v>
      </c>
      <c r="F1144">
        <v>4.3512018048954194E-2</v>
      </c>
      <c r="G1144" s="40">
        <f t="shared" si="42"/>
        <v>0</v>
      </c>
      <c r="H1144" s="33">
        <f t="shared" si="43"/>
        <v>-4.3512018048954194E-2</v>
      </c>
      <c r="I1144" s="43"/>
    </row>
    <row r="1145" spans="2:9" ht="15">
      <c r="B1145" s="32">
        <v>1</v>
      </c>
      <c r="C1145" s="66" t="s">
        <v>62</v>
      </c>
      <c r="D1145" s="64">
        <v>42977</v>
      </c>
      <c r="E1145">
        <v>1.6457335300295917E-2</v>
      </c>
      <c r="F1145">
        <v>4.4037547927247046E-2</v>
      </c>
      <c r="G1145" s="40">
        <f t="shared" si="42"/>
        <v>0</v>
      </c>
      <c r="H1145" s="33">
        <f t="shared" si="43"/>
        <v>-4.4037547927247046E-2</v>
      </c>
      <c r="I1145" s="43"/>
    </row>
    <row r="1146" spans="2:9" ht="15">
      <c r="B1146" s="32">
        <v>1</v>
      </c>
      <c r="C1146" s="66" t="s">
        <v>62</v>
      </c>
      <c r="D1146" s="64">
        <v>42978</v>
      </c>
      <c r="E1146">
        <v>9.651338048253244E-3</v>
      </c>
      <c r="F1146">
        <v>4.5093498999757453E-2</v>
      </c>
      <c r="G1146" s="40">
        <f t="shared" si="42"/>
        <v>0</v>
      </c>
      <c r="H1146" s="33">
        <f t="shared" si="43"/>
        <v>-4.5093498999757453E-2</v>
      </c>
      <c r="I1146" s="43"/>
    </row>
    <row r="1147" spans="2:9" ht="15">
      <c r="B1147" s="32">
        <v>1</v>
      </c>
      <c r="C1147" s="66" t="s">
        <v>62</v>
      </c>
      <c r="D1147" s="64">
        <v>42979</v>
      </c>
      <c r="E1147">
        <v>9.5162372312485033E-3</v>
      </c>
      <c r="F1147">
        <v>4.5071487414773917E-2</v>
      </c>
      <c r="G1147" s="40">
        <f t="shared" si="42"/>
        <v>0</v>
      </c>
      <c r="H1147" s="33">
        <f t="shared" si="43"/>
        <v>-4.5071487414773917E-2</v>
      </c>
      <c r="I1147" s="43"/>
    </row>
    <row r="1148" spans="2:9" ht="15">
      <c r="B1148" s="32">
        <v>1</v>
      </c>
      <c r="C1148" s="66" t="s">
        <v>62</v>
      </c>
      <c r="D1148" s="64">
        <v>42983</v>
      </c>
      <c r="E1148">
        <v>1.8550557754664077E-2</v>
      </c>
      <c r="F1148">
        <v>4.6583611740847387E-2</v>
      </c>
      <c r="G1148" s="40">
        <f t="shared" si="42"/>
        <v>0</v>
      </c>
      <c r="H1148" s="33">
        <f t="shared" si="43"/>
        <v>-4.6583611740847387E-2</v>
      </c>
      <c r="I1148" s="43"/>
    </row>
    <row r="1149" spans="2:9" ht="15">
      <c r="B1149" s="32">
        <v>1</v>
      </c>
      <c r="C1149" s="66" t="s">
        <v>62</v>
      </c>
      <c r="D1149" s="64">
        <v>42984</v>
      </c>
      <c r="E1149">
        <v>1.6536294981207789E-2</v>
      </c>
      <c r="F1149">
        <v>4.6816207077447158E-2</v>
      </c>
      <c r="G1149" s="40">
        <f t="shared" si="42"/>
        <v>0</v>
      </c>
      <c r="H1149" s="33">
        <f t="shared" si="43"/>
        <v>-4.6816207077447158E-2</v>
      </c>
      <c r="I1149" s="43"/>
    </row>
    <row r="1150" spans="2:9" ht="15">
      <c r="B1150" s="32">
        <v>1</v>
      </c>
      <c r="C1150" s="66" t="s">
        <v>62</v>
      </c>
      <c r="D1150" s="64">
        <v>42985</v>
      </c>
      <c r="E1150">
        <v>1.7348893607268323E-2</v>
      </c>
      <c r="F1150">
        <v>4.6679446770913922E-2</v>
      </c>
      <c r="G1150" s="40">
        <f t="shared" si="42"/>
        <v>0</v>
      </c>
      <c r="H1150" s="33">
        <f t="shared" si="43"/>
        <v>-4.6679446770913922E-2</v>
      </c>
      <c r="I1150" s="43"/>
    </row>
    <row r="1151" spans="2:9" ht="15">
      <c r="B1151" s="32">
        <v>1</v>
      </c>
      <c r="C1151" s="66" t="s">
        <v>62</v>
      </c>
      <c r="D1151" s="64">
        <v>42986</v>
      </c>
      <c r="E1151">
        <v>1.5788288028164565E-2</v>
      </c>
      <c r="F1151">
        <v>4.6725823903575221E-2</v>
      </c>
      <c r="G1151" s="40">
        <f t="shared" si="42"/>
        <v>0</v>
      </c>
      <c r="H1151" s="33">
        <f t="shared" si="43"/>
        <v>-4.6725823903575221E-2</v>
      </c>
      <c r="I1151" s="43"/>
    </row>
    <row r="1152" spans="2:9" ht="15">
      <c r="B1152" s="32">
        <v>1</v>
      </c>
      <c r="C1152" s="66" t="s">
        <v>62</v>
      </c>
      <c r="D1152" s="64">
        <v>42989</v>
      </c>
      <c r="E1152">
        <v>5.6548971229206657E-3</v>
      </c>
      <c r="F1152">
        <v>4.327866278115583E-2</v>
      </c>
      <c r="G1152" s="40">
        <f t="shared" si="42"/>
        <v>0</v>
      </c>
      <c r="H1152" s="33">
        <f t="shared" si="43"/>
        <v>-4.327866278115583E-2</v>
      </c>
      <c r="I1152" s="43"/>
    </row>
    <row r="1153" spans="2:9" ht="15">
      <c r="B1153" s="32">
        <v>1</v>
      </c>
      <c r="C1153" s="66" t="s">
        <v>62</v>
      </c>
      <c r="D1153" s="64">
        <v>42990</v>
      </c>
      <c r="E1153">
        <v>7.2071683938190745E-5</v>
      </c>
      <c r="F1153">
        <v>4.3447970002766699E-2</v>
      </c>
      <c r="G1153" s="40">
        <f t="shared" si="42"/>
        <v>0</v>
      </c>
      <c r="H1153" s="33">
        <f t="shared" si="43"/>
        <v>-4.3447970002766699E-2</v>
      </c>
      <c r="I1153" s="43"/>
    </row>
    <row r="1154" spans="2:9" ht="15">
      <c r="B1154" s="32">
        <v>1</v>
      </c>
      <c r="C1154" s="66" t="s">
        <v>62</v>
      </c>
      <c r="D1154" s="64">
        <v>42991</v>
      </c>
      <c r="E1154">
        <v>-6.1259846335115498E-4</v>
      </c>
      <c r="F1154">
        <v>4.0758020654582963E-2</v>
      </c>
      <c r="G1154" s="40">
        <f t="shared" si="42"/>
        <v>0</v>
      </c>
      <c r="H1154" s="33">
        <f t="shared" si="43"/>
        <v>-4.0758020654582963E-2</v>
      </c>
      <c r="I1154" s="43"/>
    </row>
    <row r="1155" spans="2:9" ht="15">
      <c r="B1155" s="32">
        <v>1</v>
      </c>
      <c r="C1155" s="66" t="s">
        <v>62</v>
      </c>
      <c r="D1155" s="64">
        <v>42992</v>
      </c>
      <c r="E1155">
        <v>4.5655477208121908E-3</v>
      </c>
      <c r="F1155">
        <v>4.0814367210797821E-2</v>
      </c>
      <c r="G1155" s="40">
        <f t="shared" si="42"/>
        <v>0</v>
      </c>
      <c r="H1155" s="33">
        <f t="shared" si="43"/>
        <v>-4.0814367210797821E-2</v>
      </c>
      <c r="I1155" s="43"/>
    </row>
    <row r="1156" spans="2:9" ht="15">
      <c r="B1156" s="32">
        <v>1</v>
      </c>
      <c r="C1156" s="66" t="s">
        <v>62</v>
      </c>
      <c r="D1156" s="64">
        <v>42993</v>
      </c>
      <c r="E1156">
        <v>3.9239611027204191E-3</v>
      </c>
      <c r="F1156">
        <v>4.0843380999720305E-2</v>
      </c>
      <c r="G1156" s="40">
        <f t="shared" si="42"/>
        <v>0</v>
      </c>
      <c r="H1156" s="33">
        <f t="shared" si="43"/>
        <v>-4.0843380999720305E-2</v>
      </c>
      <c r="I1156" s="43"/>
    </row>
    <row r="1157" spans="2:9" ht="15">
      <c r="B1157" s="32">
        <v>1</v>
      </c>
      <c r="C1157" s="66" t="s">
        <v>62</v>
      </c>
      <c r="D1157" s="64">
        <v>42996</v>
      </c>
      <c r="E1157">
        <v>6.1673618001902852E-3</v>
      </c>
      <c r="F1157">
        <v>3.0413914490732514E-2</v>
      </c>
      <c r="G1157" s="40">
        <f t="shared" si="42"/>
        <v>0</v>
      </c>
      <c r="H1157" s="33">
        <f t="shared" si="43"/>
        <v>-3.0413914490732514E-2</v>
      </c>
      <c r="I1157" s="43"/>
    </row>
    <row r="1158" spans="2:9" ht="15">
      <c r="B1158" s="32">
        <v>1</v>
      </c>
      <c r="C1158" s="66" t="s">
        <v>62</v>
      </c>
      <c r="D1158" s="64">
        <v>42997</v>
      </c>
      <c r="E1158">
        <v>8.9243011687383245E-3</v>
      </c>
      <c r="F1158">
        <v>2.9922392557317969E-2</v>
      </c>
      <c r="G1158" s="40">
        <f t="shared" ref="G1158:G1221" si="45">--(E1158&lt;-F1158)</f>
        <v>0</v>
      </c>
      <c r="H1158" s="33">
        <f t="shared" ref="H1158:H1221" si="46">-F1158</f>
        <v>-2.9922392557317969E-2</v>
      </c>
      <c r="I1158" s="43"/>
    </row>
    <row r="1159" spans="2:9" ht="15">
      <c r="B1159" s="32">
        <v>1</v>
      </c>
      <c r="C1159" s="66" t="s">
        <v>62</v>
      </c>
      <c r="D1159" s="64">
        <v>42998</v>
      </c>
      <c r="E1159">
        <v>1.044666563221508E-2</v>
      </c>
      <c r="F1159">
        <v>2.9953665324765011E-2</v>
      </c>
      <c r="G1159" s="40">
        <f t="shared" si="45"/>
        <v>0</v>
      </c>
      <c r="H1159" s="33">
        <f t="shared" si="46"/>
        <v>-2.9953665324765011E-2</v>
      </c>
      <c r="I1159" s="43"/>
    </row>
    <row r="1160" spans="2:9" ht="15">
      <c r="B1160" s="32">
        <v>1</v>
      </c>
      <c r="C1160" s="66" t="s">
        <v>62</v>
      </c>
      <c r="D1160" s="64">
        <v>42999</v>
      </c>
      <c r="E1160">
        <v>1.4743174966296735E-2</v>
      </c>
      <c r="F1160">
        <v>2.7276178398613311E-2</v>
      </c>
      <c r="G1160" s="40">
        <f t="shared" si="45"/>
        <v>0</v>
      </c>
      <c r="H1160" s="33">
        <f t="shared" si="46"/>
        <v>-2.7276178398613311E-2</v>
      </c>
      <c r="I1160" s="43"/>
    </row>
    <row r="1161" spans="2:9" ht="15">
      <c r="B1161" s="32">
        <v>1</v>
      </c>
      <c r="C1161" s="66" t="s">
        <v>62</v>
      </c>
      <c r="D1161" s="64">
        <v>43000</v>
      </c>
      <c r="E1161">
        <v>1.9726494972784003E-2</v>
      </c>
      <c r="F1161">
        <v>2.626805660462863E-2</v>
      </c>
      <c r="G1161" s="40">
        <f t="shared" si="45"/>
        <v>0</v>
      </c>
      <c r="H1161" s="33">
        <f t="shared" si="46"/>
        <v>-2.626805660462863E-2</v>
      </c>
      <c r="I1161" s="43"/>
    </row>
    <row r="1162" spans="2:9" ht="15">
      <c r="B1162" s="32">
        <v>1</v>
      </c>
      <c r="C1162" s="66" t="s">
        <v>62</v>
      </c>
      <c r="D1162" s="64">
        <v>43003</v>
      </c>
      <c r="E1162">
        <v>2.0876806761635613E-2</v>
      </c>
      <c r="F1162">
        <v>2.6317791349566504E-2</v>
      </c>
      <c r="G1162" s="40">
        <f t="shared" si="45"/>
        <v>0</v>
      </c>
      <c r="H1162" s="33">
        <f t="shared" si="46"/>
        <v>-2.6317791349566504E-2</v>
      </c>
      <c r="I1162" s="43"/>
    </row>
    <row r="1163" spans="2:9" ht="15">
      <c r="B1163" s="32">
        <v>1</v>
      </c>
      <c r="C1163" s="66" t="s">
        <v>62</v>
      </c>
      <c r="D1163" s="64">
        <v>43004</v>
      </c>
      <c r="E1163">
        <v>1.899857854494158E-2</v>
      </c>
      <c r="F1163">
        <v>2.6351207136952999E-2</v>
      </c>
      <c r="G1163" s="40">
        <f t="shared" si="45"/>
        <v>0</v>
      </c>
      <c r="H1163" s="33">
        <f t="shared" si="46"/>
        <v>-2.6351207136952999E-2</v>
      </c>
      <c r="I1163" s="43"/>
    </row>
    <row r="1164" spans="2:9" ht="15">
      <c r="B1164" s="32">
        <v>1</v>
      </c>
      <c r="C1164" s="66" t="s">
        <v>62</v>
      </c>
      <c r="D1164" s="64">
        <v>43005</v>
      </c>
      <c r="E1164">
        <v>1.7241476191770744E-2</v>
      </c>
      <c r="F1164">
        <v>2.6775168642502397E-2</v>
      </c>
      <c r="G1164" s="40">
        <f t="shared" si="45"/>
        <v>0</v>
      </c>
      <c r="H1164" s="33">
        <f t="shared" si="46"/>
        <v>-2.6775168642502397E-2</v>
      </c>
      <c r="I1164" s="43"/>
    </row>
    <row r="1165" spans="2:9" ht="15">
      <c r="B1165" s="32">
        <v>1</v>
      </c>
      <c r="C1165" s="66" t="s">
        <v>62</v>
      </c>
      <c r="D1165" s="64">
        <v>43006</v>
      </c>
      <c r="E1165">
        <v>1.7839468048594931E-2</v>
      </c>
      <c r="F1165">
        <v>2.6768101614730293E-2</v>
      </c>
      <c r="G1165" s="40">
        <f t="shared" si="45"/>
        <v>0</v>
      </c>
      <c r="H1165" s="33">
        <f t="shared" si="46"/>
        <v>-2.6768101614730293E-2</v>
      </c>
      <c r="I1165" s="43"/>
    </row>
    <row r="1166" spans="2:9" ht="15">
      <c r="B1166" s="32">
        <v>1</v>
      </c>
      <c r="C1166" s="66" t="s">
        <v>62</v>
      </c>
      <c r="D1166" s="64">
        <v>43007</v>
      </c>
      <c r="E1166">
        <v>1.245302842164886E-2</v>
      </c>
      <c r="F1166">
        <v>2.6496673259202866E-2</v>
      </c>
      <c r="G1166" s="40">
        <f t="shared" si="45"/>
        <v>0</v>
      </c>
      <c r="H1166" s="33">
        <f t="shared" si="46"/>
        <v>-2.6496673259202866E-2</v>
      </c>
      <c r="I1166" s="43"/>
    </row>
    <row r="1167" spans="2:9" ht="15">
      <c r="B1167" s="32">
        <v>1</v>
      </c>
      <c r="C1167" s="66" t="s">
        <v>62</v>
      </c>
      <c r="D1167" s="64">
        <v>43010</v>
      </c>
      <c r="E1167">
        <v>9.4642314115453985E-3</v>
      </c>
      <c r="F1167">
        <v>2.5802924690662612E-2</v>
      </c>
      <c r="G1167" s="40">
        <f t="shared" si="45"/>
        <v>0</v>
      </c>
      <c r="H1167" s="33">
        <f t="shared" si="46"/>
        <v>-2.5802924690662612E-2</v>
      </c>
      <c r="I1167" s="43"/>
    </row>
    <row r="1168" spans="2:9" ht="15">
      <c r="B1168" s="32">
        <v>1</v>
      </c>
      <c r="C1168" s="66" t="s">
        <v>62</v>
      </c>
      <c r="D1168" s="64">
        <v>43011</v>
      </c>
      <c r="E1168">
        <v>9.0569428503606275E-3</v>
      </c>
      <c r="F1168">
        <v>2.5820811452070443E-2</v>
      </c>
      <c r="G1168" s="40">
        <f t="shared" si="45"/>
        <v>0</v>
      </c>
      <c r="H1168" s="33">
        <f t="shared" si="46"/>
        <v>-2.5820811452070443E-2</v>
      </c>
      <c r="I1168" s="43"/>
    </row>
    <row r="1169" spans="2:9" ht="15">
      <c r="B1169" s="32">
        <v>1</v>
      </c>
      <c r="C1169" s="66" t="s">
        <v>62</v>
      </c>
      <c r="D1169" s="64">
        <v>43012</v>
      </c>
      <c r="E1169">
        <v>8.4833518079348025E-3</v>
      </c>
      <c r="F1169">
        <v>2.127789394462257E-2</v>
      </c>
      <c r="G1169" s="40">
        <f t="shared" si="45"/>
        <v>0</v>
      </c>
      <c r="H1169" s="33">
        <f t="shared" si="46"/>
        <v>-2.127789394462257E-2</v>
      </c>
      <c r="I1169" s="43"/>
    </row>
    <row r="1170" spans="2:9" ht="15">
      <c r="B1170" s="32">
        <v>1</v>
      </c>
      <c r="C1170" s="66" t="s">
        <v>62</v>
      </c>
      <c r="D1170" s="64">
        <v>43013</v>
      </c>
      <c r="E1170">
        <v>3.5945075927772407E-3</v>
      </c>
      <c r="F1170">
        <v>2.2150944869883244E-2</v>
      </c>
      <c r="G1170" s="40">
        <f t="shared" si="45"/>
        <v>0</v>
      </c>
      <c r="H1170" s="33">
        <f t="shared" si="46"/>
        <v>-2.2150944869883244E-2</v>
      </c>
      <c r="I1170" s="43"/>
    </row>
    <row r="1171" spans="2:9" ht="15">
      <c r="B1171" s="32">
        <v>1</v>
      </c>
      <c r="C1171" s="66" t="s">
        <v>62</v>
      </c>
      <c r="D1171" s="64">
        <v>43014</v>
      </c>
      <c r="E1171">
        <v>4.9966628239026534E-3</v>
      </c>
      <c r="F1171">
        <v>2.2395536181047795E-2</v>
      </c>
      <c r="G1171" s="40">
        <f t="shared" si="45"/>
        <v>0</v>
      </c>
      <c r="H1171" s="33">
        <f t="shared" si="46"/>
        <v>-2.2395536181047795E-2</v>
      </c>
      <c r="I1171" s="43"/>
    </row>
    <row r="1172" spans="2:9" ht="15">
      <c r="B1172" s="32">
        <v>1</v>
      </c>
      <c r="C1172" s="66" t="s">
        <v>62</v>
      </c>
      <c r="D1172" s="64">
        <v>43017</v>
      </c>
      <c r="E1172">
        <v>1.1906522902220829E-2</v>
      </c>
      <c r="F1172">
        <v>2.2518957794421444E-2</v>
      </c>
      <c r="G1172" s="40">
        <f t="shared" si="45"/>
        <v>0</v>
      </c>
      <c r="H1172" s="33">
        <f t="shared" si="46"/>
        <v>-2.2518957794421444E-2</v>
      </c>
      <c r="I1172" s="43"/>
    </row>
    <row r="1173" spans="2:9" ht="15">
      <c r="B1173" s="32">
        <v>1</v>
      </c>
      <c r="C1173" s="66" t="s">
        <v>62</v>
      </c>
      <c r="D1173" s="64">
        <v>43018</v>
      </c>
      <c r="E1173">
        <v>5.6064074021220378E-3</v>
      </c>
      <c r="F1173">
        <v>1.644693739394797E-2</v>
      </c>
      <c r="G1173" s="40">
        <f t="shared" si="45"/>
        <v>0</v>
      </c>
      <c r="H1173" s="33">
        <f t="shared" si="46"/>
        <v>-1.644693739394797E-2</v>
      </c>
      <c r="I1173" s="43"/>
    </row>
    <row r="1174" spans="2:9" ht="15">
      <c r="B1174" s="32">
        <v>1</v>
      </c>
      <c r="C1174" s="66" t="s">
        <v>62</v>
      </c>
      <c r="D1174" s="64">
        <v>43019</v>
      </c>
      <c r="E1174">
        <v>5.4211258598710899E-3</v>
      </c>
      <c r="F1174">
        <v>1.6075221741630778E-2</v>
      </c>
      <c r="G1174" s="40">
        <f t="shared" si="45"/>
        <v>0</v>
      </c>
      <c r="H1174" s="33">
        <f t="shared" si="46"/>
        <v>-1.6075221741630778E-2</v>
      </c>
      <c r="I1174" s="43"/>
    </row>
    <row r="1175" spans="2:9" ht="15">
      <c r="B1175" s="32">
        <v>1</v>
      </c>
      <c r="C1175" s="66" t="s">
        <v>62</v>
      </c>
      <c r="D1175" s="64">
        <v>43020</v>
      </c>
      <c r="E1175">
        <v>2.4353468529509925E-3</v>
      </c>
      <c r="F1175">
        <v>1.6687217742307605E-2</v>
      </c>
      <c r="G1175" s="40">
        <f t="shared" si="45"/>
        <v>0</v>
      </c>
      <c r="H1175" s="33">
        <f t="shared" si="46"/>
        <v>-1.6687217742307605E-2</v>
      </c>
      <c r="I1175" s="43"/>
    </row>
    <row r="1176" spans="2:9" ht="15">
      <c r="B1176" s="32">
        <v>1</v>
      </c>
      <c r="C1176" s="66" t="s">
        <v>62</v>
      </c>
      <c r="D1176" s="64">
        <v>43021</v>
      </c>
      <c r="E1176">
        <v>2.827764190798554E-3</v>
      </c>
      <c r="F1176">
        <v>1.6313885161578827E-2</v>
      </c>
      <c r="G1176" s="40">
        <f t="shared" si="45"/>
        <v>0</v>
      </c>
      <c r="H1176" s="33">
        <f t="shared" si="46"/>
        <v>-1.6313885161578827E-2</v>
      </c>
      <c r="I1176" s="43"/>
    </row>
    <row r="1177" spans="2:9" ht="15">
      <c r="B1177" s="32">
        <v>1</v>
      </c>
      <c r="C1177" s="66" t="s">
        <v>62</v>
      </c>
      <c r="D1177" s="64">
        <v>43024</v>
      </c>
      <c r="E1177">
        <v>9.1191515172521775E-3</v>
      </c>
      <c r="F1177">
        <v>1.6302481743511871E-2</v>
      </c>
      <c r="G1177" s="40">
        <f t="shared" si="45"/>
        <v>0</v>
      </c>
      <c r="H1177" s="33">
        <f t="shared" si="46"/>
        <v>-1.6302481743511871E-2</v>
      </c>
      <c r="I1177" s="43"/>
    </row>
    <row r="1178" spans="2:9" ht="15">
      <c r="B1178" s="32">
        <v>1</v>
      </c>
      <c r="C1178" s="66" t="s">
        <v>62</v>
      </c>
      <c r="D1178" s="64">
        <v>43025</v>
      </c>
      <c r="E1178">
        <v>5.2492216555117821E-3</v>
      </c>
      <c r="F1178">
        <v>1.630232828568097E-2</v>
      </c>
      <c r="G1178" s="40">
        <f t="shared" si="45"/>
        <v>0</v>
      </c>
      <c r="H1178" s="33">
        <f t="shared" si="46"/>
        <v>-1.630232828568097E-2</v>
      </c>
      <c r="I1178" s="43"/>
    </row>
    <row r="1179" spans="2:9" ht="15">
      <c r="B1179" s="32">
        <v>1</v>
      </c>
      <c r="C1179" s="66" t="s">
        <v>62</v>
      </c>
      <c r="D1179" s="64">
        <v>43026</v>
      </c>
      <c r="E1179">
        <v>5.4511749641115159E-3</v>
      </c>
      <c r="F1179">
        <v>1.6308989935030008E-2</v>
      </c>
      <c r="G1179" s="40">
        <f t="shared" si="45"/>
        <v>0</v>
      </c>
      <c r="H1179" s="33">
        <f t="shared" si="46"/>
        <v>-1.6308989935030008E-2</v>
      </c>
      <c r="I1179" s="43"/>
    </row>
    <row r="1180" spans="2:9" ht="15">
      <c r="B1180" s="32">
        <v>1</v>
      </c>
      <c r="C1180" s="66" t="s">
        <v>62</v>
      </c>
      <c r="D1180" s="64">
        <v>43027</v>
      </c>
      <c r="E1180">
        <v>6.7140746597775802E-3</v>
      </c>
      <c r="F1180">
        <v>1.6336297677978177E-2</v>
      </c>
      <c r="G1180" s="40">
        <f t="shared" si="45"/>
        <v>0</v>
      </c>
      <c r="H1180" s="33">
        <f t="shared" si="46"/>
        <v>-1.6336297677978177E-2</v>
      </c>
      <c r="I1180" s="43"/>
    </row>
    <row r="1181" spans="2:9" ht="15">
      <c r="B1181" s="32">
        <v>1</v>
      </c>
      <c r="C1181" s="66" t="s">
        <v>62</v>
      </c>
      <c r="D1181" s="64">
        <v>43028</v>
      </c>
      <c r="E1181">
        <v>1.8002266511132348E-3</v>
      </c>
      <c r="F1181">
        <v>1.609236681499418E-2</v>
      </c>
      <c r="G1181" s="40">
        <f t="shared" si="45"/>
        <v>0</v>
      </c>
      <c r="H1181" s="33">
        <f t="shared" si="46"/>
        <v>-1.609236681499418E-2</v>
      </c>
      <c r="I1181" s="43"/>
    </row>
    <row r="1182" spans="2:9" ht="15">
      <c r="B1182" s="32">
        <v>1</v>
      </c>
      <c r="C1182" s="66" t="s">
        <v>62</v>
      </c>
      <c r="D1182" s="64">
        <v>43031</v>
      </c>
      <c r="E1182">
        <v>8.8729114064660664E-3</v>
      </c>
      <c r="F1182">
        <v>1.8248464137585244E-2</v>
      </c>
      <c r="G1182" s="40">
        <f t="shared" si="45"/>
        <v>0</v>
      </c>
      <c r="H1182" s="33">
        <f t="shared" si="46"/>
        <v>-1.8248464137585244E-2</v>
      </c>
      <c r="I1182" s="43"/>
    </row>
    <row r="1183" spans="2:9" ht="15">
      <c r="B1183" s="32">
        <v>1</v>
      </c>
      <c r="C1183" s="66" t="s">
        <v>62</v>
      </c>
      <c r="D1183" s="64">
        <v>43032</v>
      </c>
      <c r="E1183">
        <v>8.5267541910498679E-3</v>
      </c>
      <c r="F1183">
        <v>1.7328146143716895E-2</v>
      </c>
      <c r="G1183" s="40">
        <f t="shared" si="45"/>
        <v>0</v>
      </c>
      <c r="H1183" s="33">
        <f t="shared" si="46"/>
        <v>-1.7328146143716895E-2</v>
      </c>
      <c r="I1183" s="43"/>
    </row>
    <row r="1184" spans="2:9" ht="15">
      <c r="B1184" s="32">
        <v>1</v>
      </c>
      <c r="C1184" s="66" t="s">
        <v>62</v>
      </c>
      <c r="D1184" s="64">
        <v>43033</v>
      </c>
      <c r="E1184">
        <v>1.3011589371120458E-2</v>
      </c>
      <c r="F1184">
        <v>1.9785334446413623E-2</v>
      </c>
      <c r="G1184" s="40">
        <f t="shared" si="45"/>
        <v>0</v>
      </c>
      <c r="H1184" s="33">
        <f t="shared" si="46"/>
        <v>-1.9785334446413623E-2</v>
      </c>
      <c r="I1184" s="43"/>
    </row>
    <row r="1185" spans="2:9" ht="15">
      <c r="B1185" s="32">
        <v>1</v>
      </c>
      <c r="C1185" s="66" t="s">
        <v>62</v>
      </c>
      <c r="D1185" s="64">
        <v>43034</v>
      </c>
      <c r="E1185">
        <v>1.3184063961833914E-2</v>
      </c>
      <c r="F1185">
        <v>1.91598303437602E-2</v>
      </c>
      <c r="G1185" s="40">
        <f t="shared" si="45"/>
        <v>0</v>
      </c>
      <c r="H1185" s="33">
        <f t="shared" si="46"/>
        <v>-1.91598303437602E-2</v>
      </c>
      <c r="I1185" s="43"/>
    </row>
    <row r="1186" spans="2:9" ht="15">
      <c r="B1186" s="32">
        <v>1</v>
      </c>
      <c r="C1186" s="66" t="s">
        <v>62</v>
      </c>
      <c r="D1186" s="64">
        <v>43035</v>
      </c>
      <c r="E1186">
        <v>1.3744725028992377E-3</v>
      </c>
      <c r="F1186">
        <v>2.224839934674001E-2</v>
      </c>
      <c r="G1186" s="40">
        <f t="shared" si="45"/>
        <v>0</v>
      </c>
      <c r="H1186" s="33">
        <f t="shared" si="46"/>
        <v>-2.224839934674001E-2</v>
      </c>
      <c r="I1186" s="43"/>
    </row>
    <row r="1187" spans="2:9" ht="15">
      <c r="B1187" s="32">
        <v>1</v>
      </c>
      <c r="C1187" s="66" t="s">
        <v>62</v>
      </c>
      <c r="D1187" s="64">
        <v>43038</v>
      </c>
      <c r="E1187">
        <v>3.6740029520387907E-3</v>
      </c>
      <c r="F1187">
        <v>2.3002136319019494E-2</v>
      </c>
      <c r="G1187" s="40">
        <f t="shared" si="45"/>
        <v>0</v>
      </c>
      <c r="H1187" s="33">
        <f t="shared" si="46"/>
        <v>-2.3002136319019494E-2</v>
      </c>
      <c r="I1187" s="43"/>
    </row>
    <row r="1188" spans="2:9" ht="15">
      <c r="B1188" s="32">
        <v>1</v>
      </c>
      <c r="C1188" s="66" t="s">
        <v>62</v>
      </c>
      <c r="D1188" s="64">
        <v>43039</v>
      </c>
      <c r="E1188">
        <v>3.7131407628132607E-3</v>
      </c>
      <c r="F1188">
        <v>2.248939281035001E-2</v>
      </c>
      <c r="G1188" s="40">
        <f t="shared" si="45"/>
        <v>0</v>
      </c>
      <c r="H1188" s="33">
        <f t="shared" si="46"/>
        <v>-2.248939281035001E-2</v>
      </c>
      <c r="I1188" s="43"/>
    </row>
    <row r="1189" spans="2:9" ht="15">
      <c r="B1189" s="32">
        <v>1</v>
      </c>
      <c r="C1189" s="66" t="s">
        <v>62</v>
      </c>
      <c r="D1189" s="64">
        <v>43040</v>
      </c>
      <c r="E1189">
        <v>-1.8998376582501919E-4</v>
      </c>
      <c r="F1189">
        <v>2.2419436443822691E-2</v>
      </c>
      <c r="G1189" s="40">
        <f t="shared" si="45"/>
        <v>0</v>
      </c>
      <c r="H1189" s="33">
        <f t="shared" si="46"/>
        <v>-2.2419436443822691E-2</v>
      </c>
      <c r="I1189" s="43"/>
    </row>
    <row r="1190" spans="2:9" ht="15">
      <c r="B1190" s="32">
        <v>1</v>
      </c>
      <c r="C1190" s="66" t="s">
        <v>62</v>
      </c>
      <c r="D1190" s="64">
        <v>43041</v>
      </c>
      <c r="E1190">
        <v>-5.9209305748213481E-3</v>
      </c>
      <c r="F1190">
        <v>2.2431016762785496E-2</v>
      </c>
      <c r="G1190" s="40">
        <f t="shared" si="45"/>
        <v>0</v>
      </c>
      <c r="H1190" s="33">
        <f t="shared" si="46"/>
        <v>-2.2431016762785496E-2</v>
      </c>
      <c r="I1190" s="43"/>
    </row>
    <row r="1191" spans="2:9" ht="15">
      <c r="B1191" s="32">
        <v>1</v>
      </c>
      <c r="C1191" s="66" t="s">
        <v>62</v>
      </c>
      <c r="D1191" s="64">
        <v>43042</v>
      </c>
      <c r="E1191">
        <v>-8.5056679091355392E-4</v>
      </c>
      <c r="F1191">
        <v>2.1287653435169366E-2</v>
      </c>
      <c r="G1191" s="40">
        <f t="shared" si="45"/>
        <v>0</v>
      </c>
      <c r="H1191" s="33">
        <f t="shared" si="46"/>
        <v>-2.1287653435169366E-2</v>
      </c>
      <c r="I1191" s="43"/>
    </row>
    <row r="1192" spans="2:9" ht="15">
      <c r="B1192" s="32">
        <v>1</v>
      </c>
      <c r="C1192" s="66" t="s">
        <v>62</v>
      </c>
      <c r="D1192" s="64">
        <v>43045</v>
      </c>
      <c r="E1192">
        <v>-4.7504277145495877E-3</v>
      </c>
      <c r="F1192">
        <v>2.1101908921943895E-2</v>
      </c>
      <c r="G1192" s="40">
        <f t="shared" si="45"/>
        <v>0</v>
      </c>
      <c r="H1192" s="33">
        <f t="shared" si="46"/>
        <v>-2.1101908921943895E-2</v>
      </c>
      <c r="I1192" s="43"/>
    </row>
    <row r="1193" spans="2:9" ht="15">
      <c r="B1193" s="32">
        <v>1</v>
      </c>
      <c r="C1193" s="66" t="s">
        <v>62</v>
      </c>
      <c r="D1193" s="64">
        <v>43046</v>
      </c>
      <c r="E1193">
        <v>-3.2864370810754551E-3</v>
      </c>
      <c r="F1193">
        <v>2.0723103634072829E-2</v>
      </c>
      <c r="G1193" s="40">
        <f t="shared" si="45"/>
        <v>0</v>
      </c>
      <c r="H1193" s="33">
        <f t="shared" si="46"/>
        <v>-2.0723103634072829E-2</v>
      </c>
      <c r="I1193" s="43"/>
    </row>
    <row r="1194" spans="2:9" ht="15">
      <c r="B1194" s="32">
        <v>1</v>
      </c>
      <c r="C1194" s="66" t="s">
        <v>62</v>
      </c>
      <c r="D1194" s="64">
        <v>43047</v>
      </c>
      <c r="E1194">
        <v>1.7907876795844047E-3</v>
      </c>
      <c r="F1194">
        <v>2.0602427242447423E-2</v>
      </c>
      <c r="G1194" s="40">
        <f t="shared" si="45"/>
        <v>0</v>
      </c>
      <c r="H1194" s="33">
        <f t="shared" si="46"/>
        <v>-2.0602427242447423E-2</v>
      </c>
      <c r="I1194" s="43"/>
    </row>
    <row r="1195" spans="2:9" ht="15">
      <c r="B1195" s="32">
        <v>1</v>
      </c>
      <c r="C1195" s="66" t="s">
        <v>62</v>
      </c>
      <c r="D1195" s="64">
        <v>43048</v>
      </c>
      <c r="E1195">
        <v>4.8092265265351486E-3</v>
      </c>
      <c r="F1195">
        <v>2.1783594207301655E-2</v>
      </c>
      <c r="G1195" s="40">
        <f t="shared" si="45"/>
        <v>0</v>
      </c>
      <c r="H1195" s="33">
        <f t="shared" si="46"/>
        <v>-2.1783594207301655E-2</v>
      </c>
      <c r="I1195" s="43"/>
    </row>
    <row r="1196" spans="2:9" ht="15">
      <c r="B1196" s="32">
        <v>1</v>
      </c>
      <c r="C1196" s="66" t="s">
        <v>62</v>
      </c>
      <c r="D1196" s="64">
        <v>43049</v>
      </c>
      <c r="E1196">
        <v>7.7612577378811665E-3</v>
      </c>
      <c r="F1196">
        <v>2.1600628425507324E-2</v>
      </c>
      <c r="G1196" s="40">
        <f t="shared" si="45"/>
        <v>0</v>
      </c>
      <c r="H1196" s="33">
        <f t="shared" si="46"/>
        <v>-2.1600628425507324E-2</v>
      </c>
      <c r="I1196" s="43"/>
    </row>
    <row r="1197" spans="2:9" ht="15">
      <c r="B1197" s="32">
        <v>1</v>
      </c>
      <c r="C1197" s="66" t="s">
        <v>62</v>
      </c>
      <c r="D1197" s="64">
        <v>43052</v>
      </c>
      <c r="E1197">
        <v>6.3937752640477186E-3</v>
      </c>
      <c r="F1197">
        <v>2.1605196353435031E-2</v>
      </c>
      <c r="G1197" s="40">
        <f t="shared" si="45"/>
        <v>0</v>
      </c>
      <c r="H1197" s="33">
        <f t="shared" si="46"/>
        <v>-2.1605196353435031E-2</v>
      </c>
      <c r="I1197" s="43"/>
    </row>
    <row r="1198" spans="2:9" ht="15">
      <c r="B1198" s="32">
        <v>1</v>
      </c>
      <c r="C1198" s="66" t="s">
        <v>62</v>
      </c>
      <c r="D1198" s="64">
        <v>43053</v>
      </c>
      <c r="E1198">
        <v>1.8506388064302826E-2</v>
      </c>
      <c r="F1198">
        <v>2.1994330677656229E-2</v>
      </c>
      <c r="G1198" s="40">
        <f t="shared" si="45"/>
        <v>0</v>
      </c>
      <c r="H1198" s="33">
        <f t="shared" si="46"/>
        <v>-2.1994330677656229E-2</v>
      </c>
      <c r="I1198" s="43"/>
    </row>
    <row r="1199" spans="2:9" ht="15">
      <c r="B1199" s="32">
        <v>1</v>
      </c>
      <c r="C1199" s="66" t="s">
        <v>62</v>
      </c>
      <c r="D1199" s="64">
        <v>43054</v>
      </c>
      <c r="E1199">
        <v>2.3678092810981433E-2</v>
      </c>
      <c r="F1199">
        <v>2.3955566300383486E-2</v>
      </c>
      <c r="G1199" s="40">
        <f t="shared" si="45"/>
        <v>0</v>
      </c>
      <c r="H1199" s="33">
        <f t="shared" si="46"/>
        <v>-2.3955566300383486E-2</v>
      </c>
      <c r="I1199" s="43"/>
    </row>
    <row r="1200" spans="2:9" ht="15">
      <c r="B1200" s="32">
        <v>1</v>
      </c>
      <c r="C1200" s="66" t="s">
        <v>62</v>
      </c>
      <c r="D1200" s="64">
        <v>43055</v>
      </c>
      <c r="E1200">
        <v>2.3673026544185127E-2</v>
      </c>
      <c r="F1200">
        <v>2.7233284074964045E-2</v>
      </c>
      <c r="G1200" s="40">
        <f t="shared" si="45"/>
        <v>0</v>
      </c>
      <c r="H1200" s="33">
        <f t="shared" si="46"/>
        <v>-2.7233284074964045E-2</v>
      </c>
      <c r="I1200" s="43"/>
    </row>
    <row r="1201" spans="2:9" ht="15">
      <c r="B1201" s="32">
        <v>1</v>
      </c>
      <c r="C1201" s="66" t="s">
        <v>62</v>
      </c>
      <c r="D1201" s="64">
        <v>43056</v>
      </c>
      <c r="E1201">
        <v>2.4275860776713287E-2</v>
      </c>
      <c r="F1201">
        <v>2.7679640968288372E-2</v>
      </c>
      <c r="G1201" s="40">
        <f t="shared" si="45"/>
        <v>0</v>
      </c>
      <c r="H1201" s="33">
        <f t="shared" si="46"/>
        <v>-2.7679640968288372E-2</v>
      </c>
      <c r="I1201" s="43"/>
    </row>
    <row r="1202" spans="2:9" ht="15">
      <c r="B1202" s="32">
        <v>1</v>
      </c>
      <c r="C1202" s="66" t="s">
        <v>62</v>
      </c>
      <c r="D1202" s="64">
        <v>43059</v>
      </c>
      <c r="E1202">
        <v>2.1948280042277446E-2</v>
      </c>
      <c r="F1202">
        <v>2.6544582702947159E-2</v>
      </c>
      <c r="G1202" s="40">
        <f t="shared" si="45"/>
        <v>0</v>
      </c>
      <c r="H1202" s="33">
        <f t="shared" si="46"/>
        <v>-2.6544582702947159E-2</v>
      </c>
      <c r="I1202" s="43"/>
    </row>
    <row r="1203" spans="2:9" ht="15">
      <c r="B1203" s="32">
        <v>1</v>
      </c>
      <c r="C1203" s="66" t="s">
        <v>62</v>
      </c>
      <c r="D1203" s="64">
        <v>43060</v>
      </c>
      <c r="E1203">
        <v>1.1682050931423937E-2</v>
      </c>
      <c r="F1203">
        <v>2.7482526848452593E-2</v>
      </c>
      <c r="G1203" s="40">
        <f t="shared" si="45"/>
        <v>0</v>
      </c>
      <c r="H1203" s="33">
        <f t="shared" si="46"/>
        <v>-2.7482526848452593E-2</v>
      </c>
      <c r="I1203" s="43"/>
    </row>
    <row r="1204" spans="2:9" ht="15">
      <c r="B1204" s="32">
        <v>1</v>
      </c>
      <c r="C1204" s="66" t="s">
        <v>62</v>
      </c>
      <c r="D1204" s="64">
        <v>43061</v>
      </c>
      <c r="E1204">
        <v>1.2318481713077922E-2</v>
      </c>
      <c r="F1204">
        <v>2.7514809793831443E-2</v>
      </c>
      <c r="G1204" s="40">
        <f t="shared" si="45"/>
        <v>0</v>
      </c>
      <c r="H1204" s="33">
        <f t="shared" si="46"/>
        <v>-2.7514809793831443E-2</v>
      </c>
      <c r="I1204" s="43"/>
    </row>
    <row r="1205" spans="2:9" ht="15">
      <c r="B1205" s="32">
        <v>1</v>
      </c>
      <c r="C1205" s="66" t="s">
        <v>62</v>
      </c>
      <c r="D1205" s="64">
        <v>43063</v>
      </c>
      <c r="E1205">
        <v>1.3192563992750372E-2</v>
      </c>
      <c r="F1205">
        <v>2.6168172051073874E-2</v>
      </c>
      <c r="G1205" s="40">
        <f t="shared" si="45"/>
        <v>0</v>
      </c>
      <c r="H1205" s="33">
        <f t="shared" si="46"/>
        <v>-2.6168172051073874E-2</v>
      </c>
      <c r="I1205" s="43"/>
    </row>
    <row r="1206" spans="2:9" ht="15">
      <c r="B1206" s="32">
        <v>1</v>
      </c>
      <c r="C1206" s="66" t="s">
        <v>62</v>
      </c>
      <c r="D1206" s="64">
        <v>43066</v>
      </c>
      <c r="E1206">
        <v>1.906809779281371E-2</v>
      </c>
      <c r="F1206">
        <v>2.622855322939039E-2</v>
      </c>
      <c r="G1206" s="40">
        <f t="shared" si="45"/>
        <v>0</v>
      </c>
      <c r="H1206" s="33">
        <f t="shared" si="46"/>
        <v>-2.622855322939039E-2</v>
      </c>
      <c r="I1206" s="43"/>
    </row>
    <row r="1207" spans="2:9" ht="15">
      <c r="B1207" s="32">
        <v>1</v>
      </c>
      <c r="C1207" s="66" t="s">
        <v>62</v>
      </c>
      <c r="D1207" s="64">
        <v>43067</v>
      </c>
      <c r="E1207">
        <v>1.2464607701445196E-2</v>
      </c>
      <c r="F1207">
        <v>2.7663760002220511E-2</v>
      </c>
      <c r="G1207" s="40">
        <f t="shared" si="45"/>
        <v>0</v>
      </c>
      <c r="H1207" s="33">
        <f t="shared" si="46"/>
        <v>-2.7663760002220511E-2</v>
      </c>
      <c r="I1207" s="43"/>
    </row>
    <row r="1208" spans="2:9" ht="15">
      <c r="B1208" s="32">
        <v>1</v>
      </c>
      <c r="C1208" s="66" t="s">
        <v>62</v>
      </c>
      <c r="D1208" s="64">
        <v>43068</v>
      </c>
      <c r="E1208">
        <v>1.438162534914067E-2</v>
      </c>
      <c r="F1208">
        <v>2.6908876476944284E-2</v>
      </c>
      <c r="G1208" s="40">
        <f t="shared" si="45"/>
        <v>0</v>
      </c>
      <c r="H1208" s="33">
        <f t="shared" si="46"/>
        <v>-2.6908876476944284E-2</v>
      </c>
      <c r="I1208" s="43"/>
    </row>
    <row r="1209" spans="2:9" ht="15">
      <c r="B1209" s="32">
        <v>1</v>
      </c>
      <c r="C1209" s="66" t="s">
        <v>62</v>
      </c>
      <c r="D1209" s="64">
        <v>43069</v>
      </c>
      <c r="E1209">
        <v>5.7509699139890458E-3</v>
      </c>
      <c r="F1209">
        <v>2.9273975728636582E-2</v>
      </c>
      <c r="G1209" s="40">
        <f t="shared" si="45"/>
        <v>0</v>
      </c>
      <c r="H1209" s="33">
        <f t="shared" si="46"/>
        <v>-2.9273975728636582E-2</v>
      </c>
      <c r="I1209" s="43"/>
    </row>
    <row r="1210" spans="2:9" ht="15">
      <c r="B1210" s="32">
        <v>1</v>
      </c>
      <c r="C1210" s="66" t="s">
        <v>62</v>
      </c>
      <c r="D1210" s="64">
        <v>43070</v>
      </c>
      <c r="E1210">
        <v>3.6983849187457452E-3</v>
      </c>
      <c r="F1210">
        <v>2.9755062801581498E-2</v>
      </c>
      <c r="G1210" s="40">
        <f t="shared" si="45"/>
        <v>0</v>
      </c>
      <c r="H1210" s="33">
        <f t="shared" si="46"/>
        <v>-2.9755062801581498E-2</v>
      </c>
      <c r="I1210" s="43"/>
    </row>
    <row r="1211" spans="2:9" ht="15">
      <c r="B1211" s="32">
        <v>1</v>
      </c>
      <c r="C1211" s="66" t="s">
        <v>62</v>
      </c>
      <c r="D1211" s="64">
        <v>43073</v>
      </c>
      <c r="E1211">
        <v>1.368540920789485E-2</v>
      </c>
      <c r="F1211">
        <v>2.9929530114922432E-2</v>
      </c>
      <c r="G1211" s="40">
        <f t="shared" si="45"/>
        <v>0</v>
      </c>
      <c r="H1211" s="33">
        <f t="shared" si="46"/>
        <v>-2.9929530114922432E-2</v>
      </c>
      <c r="I1211" s="43"/>
    </row>
    <row r="1212" spans="2:9" ht="15">
      <c r="B1212" s="32">
        <v>1</v>
      </c>
      <c r="C1212" s="66" t="s">
        <v>62</v>
      </c>
      <c r="D1212" s="64">
        <v>43074</v>
      </c>
      <c r="E1212">
        <v>2.2780278103719631E-2</v>
      </c>
      <c r="F1212">
        <v>3.0693643894273762E-2</v>
      </c>
      <c r="G1212" s="40">
        <f t="shared" si="45"/>
        <v>0</v>
      </c>
      <c r="H1212" s="33">
        <f t="shared" si="46"/>
        <v>-3.0693643894273762E-2</v>
      </c>
      <c r="I1212" s="43"/>
    </row>
    <row r="1213" spans="2:9" ht="15">
      <c r="B1213" s="32">
        <v>1</v>
      </c>
      <c r="C1213" s="66" t="s">
        <v>62</v>
      </c>
      <c r="D1213" s="64">
        <v>43075</v>
      </c>
      <c r="E1213">
        <v>1.9658892067553779E-2</v>
      </c>
      <c r="F1213">
        <v>3.0712023354081307E-2</v>
      </c>
      <c r="G1213" s="40">
        <f t="shared" si="45"/>
        <v>0</v>
      </c>
      <c r="H1213" s="33">
        <f t="shared" si="46"/>
        <v>-3.0712023354081307E-2</v>
      </c>
      <c r="I1213" s="43"/>
    </row>
    <row r="1214" spans="2:9" ht="15">
      <c r="B1214" s="32">
        <v>1</v>
      </c>
      <c r="C1214" s="66" t="s">
        <v>62</v>
      </c>
      <c r="D1214" s="64">
        <v>43076</v>
      </c>
      <c r="E1214">
        <v>1.5902589229200181E-2</v>
      </c>
      <c r="F1214">
        <v>3.0876216856592087E-2</v>
      </c>
      <c r="G1214" s="40">
        <f t="shared" si="45"/>
        <v>0</v>
      </c>
      <c r="H1214" s="33">
        <f t="shared" si="46"/>
        <v>-3.0876216856592087E-2</v>
      </c>
      <c r="I1214" s="43"/>
    </row>
    <row r="1215" spans="2:9" ht="15">
      <c r="B1215" s="32">
        <v>1</v>
      </c>
      <c r="C1215" s="66" t="s">
        <v>62</v>
      </c>
      <c r="D1215" s="64">
        <v>43077</v>
      </c>
      <c r="E1215">
        <v>1.2395073894713171E-2</v>
      </c>
      <c r="F1215">
        <v>3.1759917714587901E-2</v>
      </c>
      <c r="G1215" s="40">
        <f t="shared" si="45"/>
        <v>0</v>
      </c>
      <c r="H1215" s="33">
        <f t="shared" si="46"/>
        <v>-3.1759917714587901E-2</v>
      </c>
      <c r="I1215" s="43"/>
    </row>
    <row r="1216" spans="2:9" ht="15">
      <c r="B1216" s="32">
        <v>1</v>
      </c>
      <c r="C1216" s="66" t="s">
        <v>62</v>
      </c>
      <c r="D1216" s="64">
        <v>43080</v>
      </c>
      <c r="E1216">
        <v>8.7399603976425766E-3</v>
      </c>
      <c r="F1216">
        <v>3.0863582591010543E-2</v>
      </c>
      <c r="G1216" s="40">
        <f t="shared" si="45"/>
        <v>0</v>
      </c>
      <c r="H1216" s="33">
        <f t="shared" si="46"/>
        <v>-3.0863582591010543E-2</v>
      </c>
      <c r="I1216" s="43"/>
    </row>
    <row r="1217" spans="2:9" ht="15">
      <c r="B1217" s="32">
        <v>1</v>
      </c>
      <c r="C1217" s="66" t="s">
        <v>62</v>
      </c>
      <c r="D1217" s="64">
        <v>43081</v>
      </c>
      <c r="E1217">
        <v>6.1332610049769087E-3</v>
      </c>
      <c r="F1217">
        <v>3.0626335537210461E-2</v>
      </c>
      <c r="G1217" s="40">
        <f t="shared" si="45"/>
        <v>0</v>
      </c>
      <c r="H1217" s="33">
        <f t="shared" si="46"/>
        <v>-3.0626335537210461E-2</v>
      </c>
      <c r="I1217" s="43"/>
    </row>
    <row r="1218" spans="2:9" ht="15">
      <c r="B1218" s="32">
        <v>1</v>
      </c>
      <c r="C1218" s="66" t="s">
        <v>62</v>
      </c>
      <c r="D1218" s="64">
        <v>43082</v>
      </c>
      <c r="E1218">
        <v>7.3969579280293019E-3</v>
      </c>
      <c r="F1218">
        <v>3.0779767641244602E-2</v>
      </c>
      <c r="G1218" s="40">
        <f t="shared" si="45"/>
        <v>0</v>
      </c>
      <c r="H1218" s="33">
        <f t="shared" si="46"/>
        <v>-3.0779767641244602E-2</v>
      </c>
      <c r="I1218" s="43"/>
    </row>
    <row r="1219" spans="2:9" ht="15">
      <c r="B1219" s="32">
        <v>1</v>
      </c>
      <c r="C1219" s="66" t="s">
        <v>62</v>
      </c>
      <c r="D1219" s="64">
        <v>43083</v>
      </c>
      <c r="E1219">
        <v>1.3308444749065451E-2</v>
      </c>
      <c r="F1219">
        <v>3.1481564249476741E-2</v>
      </c>
      <c r="G1219" s="40">
        <f t="shared" si="45"/>
        <v>0</v>
      </c>
      <c r="H1219" s="33">
        <f t="shared" si="46"/>
        <v>-3.1481564249476741E-2</v>
      </c>
      <c r="I1219" s="43"/>
    </row>
    <row r="1220" spans="2:9" ht="15">
      <c r="B1220" s="32">
        <v>1</v>
      </c>
      <c r="C1220" s="66" t="s">
        <v>62</v>
      </c>
      <c r="D1220" s="64">
        <v>43084</v>
      </c>
      <c r="E1220">
        <v>-8.2250115180926286E-4</v>
      </c>
      <c r="F1220">
        <v>3.1506773873590216E-2</v>
      </c>
      <c r="G1220" s="40">
        <f t="shared" si="45"/>
        <v>0</v>
      </c>
      <c r="H1220" s="33">
        <f t="shared" si="46"/>
        <v>-3.1506773873590216E-2</v>
      </c>
      <c r="I1220" s="43"/>
    </row>
    <row r="1221" spans="2:9" ht="15">
      <c r="B1221" s="32">
        <v>1</v>
      </c>
      <c r="C1221" s="66" t="s">
        <v>62</v>
      </c>
      <c r="D1221" s="64">
        <v>43087</v>
      </c>
      <c r="E1221">
        <v>2.0980989879610945E-3</v>
      </c>
      <c r="F1221">
        <v>3.0324072792303921E-2</v>
      </c>
      <c r="G1221" s="40">
        <f t="shared" si="45"/>
        <v>0</v>
      </c>
      <c r="H1221" s="33">
        <f t="shared" si="46"/>
        <v>-3.0324072792303921E-2</v>
      </c>
      <c r="I1221" s="43"/>
    </row>
    <row r="1222" spans="2:9" ht="15">
      <c r="B1222" s="32">
        <v>1</v>
      </c>
      <c r="C1222" s="66" t="s">
        <v>62</v>
      </c>
      <c r="D1222" s="64">
        <v>43088</v>
      </c>
      <c r="E1222">
        <v>1.1712030122686734E-2</v>
      </c>
      <c r="F1222">
        <v>3.0582841527558829E-2</v>
      </c>
      <c r="G1222" s="40">
        <f t="shared" ref="G1222:G1224" si="47">--(E1222&lt;-F1222)</f>
        <v>0</v>
      </c>
      <c r="H1222" s="33">
        <f t="shared" ref="H1222:H1224" si="48">-F1222</f>
        <v>-3.0582841527558829E-2</v>
      </c>
      <c r="I1222" s="43"/>
    </row>
    <row r="1223" spans="2:9" ht="15">
      <c r="B1223" s="32">
        <v>1</v>
      </c>
      <c r="C1223" s="66" t="s">
        <v>62</v>
      </c>
      <c r="D1223" s="64">
        <v>43089</v>
      </c>
      <c r="E1223">
        <v>1.6560808926519677E-2</v>
      </c>
      <c r="F1223">
        <v>3.0876330747297825E-2</v>
      </c>
      <c r="G1223" s="40">
        <f t="shared" si="47"/>
        <v>0</v>
      </c>
      <c r="H1223" s="33">
        <f t="shared" si="48"/>
        <v>-3.0876330747297825E-2</v>
      </c>
      <c r="I1223" s="43"/>
    </row>
    <row r="1224" spans="2:9" ht="15">
      <c r="B1224" s="32">
        <v>1</v>
      </c>
      <c r="C1224" s="66" t="s">
        <v>62</v>
      </c>
      <c r="D1224" s="64">
        <v>43090</v>
      </c>
      <c r="E1224">
        <v>2.1586267897042433E-2</v>
      </c>
      <c r="F1224">
        <v>2.9824102529619888E-2</v>
      </c>
      <c r="G1224" s="40">
        <f t="shared" si="47"/>
        <v>0</v>
      </c>
      <c r="H1224" s="33">
        <f t="shared" si="48"/>
        <v>-2.9824102529619888E-2</v>
      </c>
      <c r="I1224" s="43"/>
    </row>
    <row r="1225" spans="2:9" ht="15">
      <c r="B1225" s="76"/>
      <c r="C1225" s="77"/>
      <c r="D1225" s="78"/>
      <c r="E1225" s="79"/>
      <c r="F1225" s="79"/>
      <c r="G1225" s="80"/>
      <c r="H1225" s="81"/>
      <c r="I1225" s="81"/>
    </row>
    <row r="1226" spans="2:9" ht="15">
      <c r="B1226" s="32">
        <v>2</v>
      </c>
      <c r="C1226" s="66" t="s">
        <v>48</v>
      </c>
      <c r="D1226" s="64">
        <v>41326</v>
      </c>
      <c r="E1226">
        <v>2.5652823252067414E-2</v>
      </c>
      <c r="F1226">
        <v>5.6310082153139124E-2</v>
      </c>
      <c r="G1226" s="40">
        <f>--(E1226&lt;-F1226)</f>
        <v>0</v>
      </c>
      <c r="H1226" s="33">
        <f>-F1226</f>
        <v>-5.6310082153139124E-2</v>
      </c>
      <c r="I1226" s="43"/>
    </row>
    <row r="1227" spans="2:9" ht="15">
      <c r="B1227" s="32">
        <v>2</v>
      </c>
      <c r="C1227" s="66" t="s">
        <v>48</v>
      </c>
      <c r="D1227" s="64">
        <v>41327</v>
      </c>
      <c r="E1227">
        <v>1.8733453356924556E-2</v>
      </c>
      <c r="F1227">
        <v>5.3747831284190854E-2</v>
      </c>
      <c r="G1227" s="40">
        <f t="shared" ref="G1227:G1290" si="49">--(E1227&lt;-F1227)</f>
        <v>0</v>
      </c>
      <c r="H1227" s="33">
        <f t="shared" ref="H1227:H1290" si="50">-F1227</f>
        <v>-5.3747831284190854E-2</v>
      </c>
      <c r="I1227" s="43"/>
    </row>
    <row r="1228" spans="2:9" ht="15">
      <c r="B1228" s="32">
        <v>2</v>
      </c>
      <c r="C1228" s="66" t="s">
        <v>48</v>
      </c>
      <c r="D1228" s="64">
        <v>41330</v>
      </c>
      <c r="E1228">
        <v>4.1683857684136072E-2</v>
      </c>
      <c r="F1228">
        <v>5.6885406862040501E-2</v>
      </c>
      <c r="G1228" s="40">
        <f t="shared" si="49"/>
        <v>0</v>
      </c>
      <c r="H1228" s="33">
        <f t="shared" si="50"/>
        <v>-5.6885406862040501E-2</v>
      </c>
      <c r="I1228" s="43"/>
    </row>
    <row r="1229" spans="2:9" ht="15">
      <c r="B1229" s="32">
        <v>2</v>
      </c>
      <c r="C1229" s="66" t="s">
        <v>48</v>
      </c>
      <c r="D1229" s="64">
        <v>41331</v>
      </c>
      <c r="E1229">
        <v>3.8836800241542235E-2</v>
      </c>
      <c r="F1229">
        <v>8.6628453662665819E-2</v>
      </c>
      <c r="G1229" s="40">
        <f t="shared" si="49"/>
        <v>0</v>
      </c>
      <c r="H1229" s="33">
        <f t="shared" si="50"/>
        <v>-8.6628453662665819E-2</v>
      </c>
      <c r="I1229" s="43"/>
    </row>
    <row r="1230" spans="2:9" ht="15">
      <c r="B1230" s="32">
        <v>2</v>
      </c>
      <c r="C1230" s="66" t="s">
        <v>48</v>
      </c>
      <c r="D1230" s="64">
        <v>41332</v>
      </c>
      <c r="E1230">
        <v>2.3784955116232354E-2</v>
      </c>
      <c r="F1230">
        <v>7.7236009010940673E-2</v>
      </c>
      <c r="G1230" s="40">
        <f t="shared" si="49"/>
        <v>0</v>
      </c>
      <c r="H1230" s="33">
        <f t="shared" si="50"/>
        <v>-7.7236009010940673E-2</v>
      </c>
      <c r="I1230" s="43"/>
    </row>
    <row r="1231" spans="2:9" ht="15">
      <c r="B1231" s="32">
        <v>2</v>
      </c>
      <c r="C1231" s="66" t="s">
        <v>48</v>
      </c>
      <c r="D1231" s="64">
        <v>41333</v>
      </c>
      <c r="E1231">
        <v>2.5962597992894132E-2</v>
      </c>
      <c r="F1231">
        <v>8.1965296907281424E-2</v>
      </c>
      <c r="G1231" s="40">
        <f t="shared" si="49"/>
        <v>0</v>
      </c>
      <c r="H1231" s="33">
        <f t="shared" si="50"/>
        <v>-8.1965296907281424E-2</v>
      </c>
      <c r="I1231" s="43"/>
    </row>
    <row r="1232" spans="2:9" ht="15">
      <c r="B1232" s="32">
        <v>2</v>
      </c>
      <c r="C1232" s="66" t="s">
        <v>48</v>
      </c>
      <c r="D1232" s="64">
        <v>41334</v>
      </c>
      <c r="E1232">
        <v>2.9228790404989269E-2</v>
      </c>
      <c r="F1232">
        <v>6.9631220547617639E-2</v>
      </c>
      <c r="G1232" s="40">
        <f t="shared" si="49"/>
        <v>0</v>
      </c>
      <c r="H1232" s="33">
        <f t="shared" si="50"/>
        <v>-6.9631220547617639E-2</v>
      </c>
      <c r="I1232" s="43"/>
    </row>
    <row r="1233" spans="2:9" ht="15">
      <c r="B1233" s="32">
        <v>2</v>
      </c>
      <c r="C1233" s="66" t="s">
        <v>48</v>
      </c>
      <c r="D1233" s="64">
        <v>41337</v>
      </c>
      <c r="E1233">
        <v>2.3008890295864504E-2</v>
      </c>
      <c r="F1233">
        <v>5.9770959646201896E-2</v>
      </c>
      <c r="G1233" s="40">
        <f t="shared" si="49"/>
        <v>0</v>
      </c>
      <c r="H1233" s="33">
        <f t="shared" si="50"/>
        <v>-5.9770959646201896E-2</v>
      </c>
      <c r="I1233" s="43"/>
    </row>
    <row r="1234" spans="2:9" ht="15">
      <c r="B1234" s="32">
        <v>2</v>
      </c>
      <c r="C1234" s="66" t="s">
        <v>48</v>
      </c>
      <c r="D1234" s="64">
        <v>41338</v>
      </c>
      <c r="E1234">
        <v>7.9627683931438042E-3</v>
      </c>
      <c r="F1234">
        <v>5.3785781094843235E-2</v>
      </c>
      <c r="G1234" s="40">
        <f t="shared" si="49"/>
        <v>0</v>
      </c>
      <c r="H1234" s="33">
        <f t="shared" si="50"/>
        <v>-5.3785781094843235E-2</v>
      </c>
      <c r="I1234" s="43"/>
    </row>
    <row r="1235" spans="2:9" ht="15">
      <c r="B1235" s="32">
        <v>2</v>
      </c>
      <c r="C1235" s="66" t="s">
        <v>48</v>
      </c>
      <c r="D1235" s="64">
        <v>41339</v>
      </c>
      <c r="E1235">
        <v>4.4533733789924312E-3</v>
      </c>
      <c r="F1235">
        <v>5.8791195508724019E-2</v>
      </c>
      <c r="G1235" s="40">
        <f t="shared" si="49"/>
        <v>0</v>
      </c>
      <c r="H1235" s="33">
        <f t="shared" si="50"/>
        <v>-5.8791195508724019E-2</v>
      </c>
      <c r="I1235" s="43"/>
    </row>
    <row r="1236" spans="2:9" ht="15">
      <c r="B1236" s="32">
        <v>2</v>
      </c>
      <c r="C1236" s="66" t="s">
        <v>48</v>
      </c>
      <c r="D1236" s="64">
        <v>41340</v>
      </c>
      <c r="E1236">
        <v>9.3136933904238717E-3</v>
      </c>
      <c r="F1236">
        <v>5.0064107740329038E-2</v>
      </c>
      <c r="G1236" s="40">
        <f t="shared" si="49"/>
        <v>0</v>
      </c>
      <c r="H1236" s="33">
        <f t="shared" si="50"/>
        <v>-5.0064107740329038E-2</v>
      </c>
      <c r="I1236" s="43"/>
    </row>
    <row r="1237" spans="2:9" ht="15">
      <c r="B1237" s="32">
        <v>2</v>
      </c>
      <c r="C1237" s="66" t="s">
        <v>48</v>
      </c>
      <c r="D1237" s="64">
        <v>41341</v>
      </c>
      <c r="E1237">
        <v>-3.4743590420234227E-3</v>
      </c>
      <c r="F1237">
        <v>4.3064237076607371E-2</v>
      </c>
      <c r="G1237" s="40">
        <f t="shared" si="49"/>
        <v>0</v>
      </c>
      <c r="H1237" s="33">
        <f t="shared" si="50"/>
        <v>-4.3064237076607371E-2</v>
      </c>
      <c r="I1237" s="43"/>
    </row>
    <row r="1238" spans="2:9" ht="15">
      <c r="B1238" s="32">
        <v>2</v>
      </c>
      <c r="C1238" s="66" t="s">
        <v>48</v>
      </c>
      <c r="D1238" s="64">
        <v>41344</v>
      </c>
      <c r="E1238">
        <v>4.3046600560892045E-4</v>
      </c>
      <c r="F1238">
        <v>4.0474561420275529E-2</v>
      </c>
      <c r="G1238" s="40">
        <f t="shared" si="49"/>
        <v>0</v>
      </c>
      <c r="H1238" s="33">
        <f t="shared" si="50"/>
        <v>-4.0474561420275529E-2</v>
      </c>
      <c r="I1238" s="43"/>
    </row>
    <row r="1239" spans="2:9" ht="15">
      <c r="B1239" s="32">
        <v>2</v>
      </c>
      <c r="C1239" s="66" t="s">
        <v>48</v>
      </c>
      <c r="D1239" s="64">
        <v>41345</v>
      </c>
      <c r="E1239">
        <v>-5.0901789345569881E-4</v>
      </c>
      <c r="F1239">
        <v>3.6591603206179206E-2</v>
      </c>
      <c r="G1239" s="40">
        <f t="shared" si="49"/>
        <v>0</v>
      </c>
      <c r="H1239" s="33">
        <f t="shared" si="50"/>
        <v>-3.6591603206179206E-2</v>
      </c>
      <c r="I1239" s="43"/>
    </row>
    <row r="1240" spans="2:9" ht="15">
      <c r="B1240" s="32">
        <v>2</v>
      </c>
      <c r="C1240" s="66" t="s">
        <v>48</v>
      </c>
      <c r="D1240" s="64">
        <v>41346</v>
      </c>
      <c r="E1240">
        <v>5.9327561020996455E-3</v>
      </c>
      <c r="F1240">
        <v>3.2431024320279868E-2</v>
      </c>
      <c r="G1240" s="40">
        <f t="shared" si="49"/>
        <v>0</v>
      </c>
      <c r="H1240" s="33">
        <f t="shared" si="50"/>
        <v>-3.2431024320279868E-2</v>
      </c>
      <c r="I1240" s="43"/>
    </row>
    <row r="1241" spans="2:9" ht="15">
      <c r="B1241" s="32">
        <v>2</v>
      </c>
      <c r="C1241" s="66" t="s">
        <v>48</v>
      </c>
      <c r="D1241" s="64">
        <v>41347</v>
      </c>
      <c r="E1241">
        <v>-2.4311854285219425E-4</v>
      </c>
      <c r="F1241">
        <v>2.7989404108503084E-2</v>
      </c>
      <c r="G1241" s="40">
        <f t="shared" si="49"/>
        <v>0</v>
      </c>
      <c r="H1241" s="33">
        <f t="shared" si="50"/>
        <v>-2.7989404108503084E-2</v>
      </c>
      <c r="I1241" s="43"/>
    </row>
    <row r="1242" spans="2:9" ht="15">
      <c r="B1242" s="32">
        <v>2</v>
      </c>
      <c r="C1242" s="66" t="s">
        <v>48</v>
      </c>
      <c r="D1242" s="64">
        <v>41348</v>
      </c>
      <c r="E1242">
        <v>5.4251178897626318E-3</v>
      </c>
      <c r="F1242">
        <v>3.2204289297296324E-2</v>
      </c>
      <c r="G1242" s="40">
        <f t="shared" si="49"/>
        <v>0</v>
      </c>
      <c r="H1242" s="33">
        <f t="shared" si="50"/>
        <v>-3.2204289297296324E-2</v>
      </c>
      <c r="I1242" s="43"/>
    </row>
    <row r="1243" spans="2:9" ht="15">
      <c r="B1243" s="32">
        <v>2</v>
      </c>
      <c r="C1243" s="66" t="s">
        <v>48</v>
      </c>
      <c r="D1243" s="64">
        <v>41351</v>
      </c>
      <c r="E1243">
        <v>6.4670712764263172E-3</v>
      </c>
      <c r="F1243">
        <v>2.8044267057646916E-2</v>
      </c>
      <c r="G1243" s="40">
        <f t="shared" si="49"/>
        <v>0</v>
      </c>
      <c r="H1243" s="33">
        <f t="shared" si="50"/>
        <v>-2.8044267057646916E-2</v>
      </c>
      <c r="I1243" s="43"/>
    </row>
    <row r="1244" spans="2:9" ht="15">
      <c r="B1244" s="32">
        <v>2</v>
      </c>
      <c r="C1244" s="66" t="s">
        <v>48</v>
      </c>
      <c r="D1244" s="64">
        <v>41352</v>
      </c>
      <c r="E1244">
        <v>1.4051475017873294E-2</v>
      </c>
      <c r="F1244">
        <v>3.2076873094052424E-2</v>
      </c>
      <c r="G1244" s="40">
        <f t="shared" si="49"/>
        <v>0</v>
      </c>
      <c r="H1244" s="33">
        <f t="shared" si="50"/>
        <v>-3.2076873094052424E-2</v>
      </c>
      <c r="I1244" s="43"/>
    </row>
    <row r="1245" spans="2:9" ht="15">
      <c r="B1245" s="32">
        <v>2</v>
      </c>
      <c r="C1245" s="66" t="s">
        <v>48</v>
      </c>
      <c r="D1245" s="64">
        <v>41353</v>
      </c>
      <c r="E1245">
        <v>-3.2258222023058281E-3</v>
      </c>
      <c r="F1245">
        <v>2.8809234700522327E-2</v>
      </c>
      <c r="G1245" s="40">
        <f t="shared" si="49"/>
        <v>0</v>
      </c>
      <c r="H1245" s="33">
        <f t="shared" si="50"/>
        <v>-2.8809234700522327E-2</v>
      </c>
      <c r="I1245" s="43"/>
    </row>
    <row r="1246" spans="2:9" ht="15">
      <c r="B1246" s="32">
        <v>2</v>
      </c>
      <c r="C1246" s="66" t="s">
        <v>48</v>
      </c>
      <c r="D1246" s="64">
        <v>41354</v>
      </c>
      <c r="E1246">
        <v>9.131380456334881E-3</v>
      </c>
      <c r="F1246">
        <v>3.5676013174046395E-2</v>
      </c>
      <c r="G1246" s="40">
        <f t="shared" si="49"/>
        <v>0</v>
      </c>
      <c r="H1246" s="33">
        <f t="shared" si="50"/>
        <v>-3.5676013174046395E-2</v>
      </c>
      <c r="I1246" s="43"/>
    </row>
    <row r="1247" spans="2:9" ht="15">
      <c r="B1247" s="32">
        <v>2</v>
      </c>
      <c r="C1247" s="66" t="s">
        <v>48</v>
      </c>
      <c r="D1247" s="64">
        <v>41355</v>
      </c>
      <c r="E1247">
        <v>-2.3214085211389346E-3</v>
      </c>
      <c r="F1247">
        <v>4.4323499929748982E-2</v>
      </c>
      <c r="G1247" s="40">
        <f t="shared" si="49"/>
        <v>0</v>
      </c>
      <c r="H1247" s="33">
        <f t="shared" si="50"/>
        <v>-4.4323499929748982E-2</v>
      </c>
      <c r="I1247" s="43"/>
    </row>
    <row r="1248" spans="2:9" ht="15">
      <c r="B1248" s="32">
        <v>2</v>
      </c>
      <c r="C1248" s="66" t="s">
        <v>48</v>
      </c>
      <c r="D1248" s="64">
        <v>41358</v>
      </c>
      <c r="E1248">
        <v>7.3071800388966324E-3</v>
      </c>
      <c r="F1248">
        <v>4.6785396066146775E-2</v>
      </c>
      <c r="G1248" s="40">
        <f t="shared" si="49"/>
        <v>0</v>
      </c>
      <c r="H1248" s="33">
        <f t="shared" si="50"/>
        <v>-4.6785396066146775E-2</v>
      </c>
      <c r="I1248" s="43"/>
    </row>
    <row r="1249" spans="2:9" ht="15">
      <c r="B1249" s="32">
        <v>2</v>
      </c>
      <c r="C1249" s="66" t="s">
        <v>48</v>
      </c>
      <c r="D1249" s="64">
        <v>41359</v>
      </c>
      <c r="E1249">
        <v>3.0902820500813277E-3</v>
      </c>
      <c r="F1249">
        <v>4.1780417880846389E-2</v>
      </c>
      <c r="G1249" s="40">
        <f t="shared" si="49"/>
        <v>0</v>
      </c>
      <c r="H1249" s="33">
        <f t="shared" si="50"/>
        <v>-4.1780417880846389E-2</v>
      </c>
      <c r="I1249" s="43"/>
    </row>
    <row r="1250" spans="2:9" ht="15">
      <c r="B1250" s="32">
        <v>2</v>
      </c>
      <c r="C1250" s="66" t="s">
        <v>48</v>
      </c>
      <c r="D1250" s="64">
        <v>41360</v>
      </c>
      <c r="E1250">
        <v>1.5794248395900823E-2</v>
      </c>
      <c r="F1250">
        <v>4.6563354440621992E-2</v>
      </c>
      <c r="G1250" s="40">
        <f t="shared" si="49"/>
        <v>0</v>
      </c>
      <c r="H1250" s="33">
        <f t="shared" si="50"/>
        <v>-4.6563354440621992E-2</v>
      </c>
      <c r="I1250" s="43"/>
    </row>
    <row r="1251" spans="2:9" ht="15">
      <c r="B1251" s="32">
        <v>2</v>
      </c>
      <c r="C1251" s="66" t="s">
        <v>48</v>
      </c>
      <c r="D1251" s="64">
        <v>41361</v>
      </c>
      <c r="E1251">
        <v>1.5291741924803759E-2</v>
      </c>
      <c r="F1251">
        <v>3.9576679914580914E-2</v>
      </c>
      <c r="G1251" s="40">
        <f t="shared" si="49"/>
        <v>0</v>
      </c>
      <c r="H1251" s="33">
        <f t="shared" si="50"/>
        <v>-3.9576679914580914E-2</v>
      </c>
      <c r="I1251" s="43"/>
    </row>
    <row r="1252" spans="2:9" ht="15">
      <c r="B1252" s="32">
        <v>2</v>
      </c>
      <c r="C1252" s="66" t="s">
        <v>48</v>
      </c>
      <c r="D1252" s="64">
        <v>41365</v>
      </c>
      <c r="E1252">
        <v>1.6934560511864483E-2</v>
      </c>
      <c r="F1252">
        <v>3.7095946255379396E-2</v>
      </c>
      <c r="G1252" s="40">
        <f t="shared" si="49"/>
        <v>0</v>
      </c>
      <c r="H1252" s="33">
        <f t="shared" si="50"/>
        <v>-3.7095946255379396E-2</v>
      </c>
      <c r="I1252" s="43"/>
    </row>
    <row r="1253" spans="2:9" ht="15">
      <c r="B1253" s="32">
        <v>2</v>
      </c>
      <c r="C1253" s="66" t="s">
        <v>48</v>
      </c>
      <c r="D1253" s="64">
        <v>41366</v>
      </c>
      <c r="E1253">
        <v>-1.1458498389421479E-2</v>
      </c>
      <c r="F1253">
        <v>3.5991981864032394E-2</v>
      </c>
      <c r="G1253" s="40">
        <f t="shared" si="49"/>
        <v>0</v>
      </c>
      <c r="H1253" s="33">
        <f t="shared" si="50"/>
        <v>-3.5991981864032394E-2</v>
      </c>
      <c r="I1253" s="43"/>
    </row>
    <row r="1254" spans="2:9" ht="15">
      <c r="B1254" s="32">
        <v>2</v>
      </c>
      <c r="C1254" s="66" t="s">
        <v>48</v>
      </c>
      <c r="D1254" s="64">
        <v>41367</v>
      </c>
      <c r="E1254">
        <v>1.3349475961846657E-2</v>
      </c>
      <c r="F1254">
        <v>3.6551381650358213E-2</v>
      </c>
      <c r="G1254" s="40">
        <f t="shared" si="49"/>
        <v>0</v>
      </c>
      <c r="H1254" s="33">
        <f t="shared" si="50"/>
        <v>-3.6551381650358213E-2</v>
      </c>
      <c r="I1254" s="43"/>
    </row>
    <row r="1255" spans="2:9" ht="15">
      <c r="B1255" s="32">
        <v>2</v>
      </c>
      <c r="C1255" s="66" t="s">
        <v>48</v>
      </c>
      <c r="D1255" s="64">
        <v>41368</v>
      </c>
      <c r="E1255">
        <v>-5.1221163632693134E-3</v>
      </c>
      <c r="F1255">
        <v>5.162589711763256E-2</v>
      </c>
      <c r="G1255" s="40">
        <f t="shared" si="49"/>
        <v>0</v>
      </c>
      <c r="H1255" s="33">
        <f t="shared" si="50"/>
        <v>-5.162589711763256E-2</v>
      </c>
      <c r="I1255" s="43"/>
    </row>
    <row r="1256" spans="2:9" ht="15">
      <c r="B1256" s="32">
        <v>2</v>
      </c>
      <c r="C1256" s="66" t="s">
        <v>48</v>
      </c>
      <c r="D1256" s="64">
        <v>41369</v>
      </c>
      <c r="E1256">
        <v>-7.5415276523251862E-3</v>
      </c>
      <c r="F1256">
        <v>4.6543831748926963E-2</v>
      </c>
      <c r="G1256" s="40">
        <f t="shared" si="49"/>
        <v>0</v>
      </c>
      <c r="H1256" s="33">
        <f t="shared" si="50"/>
        <v>-4.6543831748926963E-2</v>
      </c>
      <c r="I1256" s="43"/>
    </row>
    <row r="1257" spans="2:9" ht="15">
      <c r="B1257" s="32">
        <v>2</v>
      </c>
      <c r="C1257" s="66" t="s">
        <v>48</v>
      </c>
      <c r="D1257" s="64">
        <v>41372</v>
      </c>
      <c r="E1257">
        <v>-5.0154971446874086E-3</v>
      </c>
      <c r="F1257">
        <v>4.2900832085547048E-2</v>
      </c>
      <c r="G1257" s="40">
        <f t="shared" si="49"/>
        <v>0</v>
      </c>
      <c r="H1257" s="33">
        <f t="shared" si="50"/>
        <v>-4.2900832085547048E-2</v>
      </c>
      <c r="I1257" s="43"/>
    </row>
    <row r="1258" spans="2:9" ht="15">
      <c r="B1258" s="32">
        <v>2</v>
      </c>
      <c r="C1258" s="66" t="s">
        <v>48</v>
      </c>
      <c r="D1258" s="64">
        <v>41373</v>
      </c>
      <c r="E1258">
        <v>-3.9027646966474094E-3</v>
      </c>
      <c r="F1258">
        <v>4.3855808580666247E-2</v>
      </c>
      <c r="G1258" s="40">
        <f t="shared" si="49"/>
        <v>0</v>
      </c>
      <c r="H1258" s="33">
        <f t="shared" si="50"/>
        <v>-4.3855808580666247E-2</v>
      </c>
      <c r="I1258" s="43"/>
    </row>
    <row r="1259" spans="2:9" ht="15">
      <c r="B1259" s="32">
        <v>2</v>
      </c>
      <c r="C1259" s="66" t="s">
        <v>48</v>
      </c>
      <c r="D1259" s="64">
        <v>41374</v>
      </c>
      <c r="E1259">
        <v>-5.652895337574293E-3</v>
      </c>
      <c r="F1259">
        <v>3.9679802073578324E-2</v>
      </c>
      <c r="G1259" s="40">
        <f t="shared" si="49"/>
        <v>0</v>
      </c>
      <c r="H1259" s="33">
        <f t="shared" si="50"/>
        <v>-3.9679802073578324E-2</v>
      </c>
      <c r="I1259" s="43"/>
    </row>
    <row r="1260" spans="2:9" ht="15">
      <c r="B1260" s="32">
        <v>2</v>
      </c>
      <c r="C1260" s="66" t="s">
        <v>48</v>
      </c>
      <c r="D1260" s="64">
        <v>41375</v>
      </c>
      <c r="E1260">
        <v>-9.1925114203101899E-3</v>
      </c>
      <c r="F1260">
        <v>5.7947325457311738E-2</v>
      </c>
      <c r="G1260" s="40">
        <f t="shared" si="49"/>
        <v>0</v>
      </c>
      <c r="H1260" s="33">
        <f t="shared" si="50"/>
        <v>-5.7947325457311738E-2</v>
      </c>
      <c r="I1260" s="43"/>
    </row>
    <row r="1261" spans="2:9" ht="15">
      <c r="B1261" s="32">
        <v>2</v>
      </c>
      <c r="C1261" s="66" t="s">
        <v>48</v>
      </c>
      <c r="D1261" s="64">
        <v>41376</v>
      </c>
      <c r="E1261">
        <v>-2.3250989446914616E-3</v>
      </c>
      <c r="F1261">
        <v>5.107070923632611E-2</v>
      </c>
      <c r="G1261" s="40">
        <f t="shared" si="49"/>
        <v>0</v>
      </c>
      <c r="H1261" s="33">
        <f t="shared" si="50"/>
        <v>-5.107070923632611E-2</v>
      </c>
      <c r="I1261" s="43"/>
    </row>
    <row r="1262" spans="2:9" ht="15">
      <c r="B1262" s="32">
        <v>2</v>
      </c>
      <c r="C1262" s="66" t="s">
        <v>48</v>
      </c>
      <c r="D1262" s="64">
        <v>41379</v>
      </c>
      <c r="E1262">
        <v>1.9065214256458241E-2</v>
      </c>
      <c r="F1262">
        <v>4.4723658962273045E-2</v>
      </c>
      <c r="G1262" s="40">
        <f t="shared" si="49"/>
        <v>0</v>
      </c>
      <c r="H1262" s="33">
        <f t="shared" si="50"/>
        <v>-4.4723658962273045E-2</v>
      </c>
      <c r="I1262" s="43"/>
    </row>
    <row r="1263" spans="2:9" ht="15">
      <c r="B1263" s="32">
        <v>2</v>
      </c>
      <c r="C1263" s="66" t="s">
        <v>48</v>
      </c>
      <c r="D1263" s="64">
        <v>41380</v>
      </c>
      <c r="E1263">
        <v>1.2019688682433305E-2</v>
      </c>
      <c r="F1263">
        <v>9.8082995783773053E-2</v>
      </c>
      <c r="G1263" s="40">
        <f t="shared" si="49"/>
        <v>0</v>
      </c>
      <c r="H1263" s="33">
        <f t="shared" si="50"/>
        <v>-9.8082995783773053E-2</v>
      </c>
      <c r="I1263" s="43"/>
    </row>
    <row r="1264" spans="2:9" ht="15">
      <c r="B1264" s="32">
        <v>2</v>
      </c>
      <c r="C1264" s="66" t="s">
        <v>48</v>
      </c>
      <c r="D1264" s="64">
        <v>41381</v>
      </c>
      <c r="E1264">
        <v>2.8932819492073492E-2</v>
      </c>
      <c r="F1264">
        <v>9.992308934095423E-2</v>
      </c>
      <c r="G1264" s="40">
        <f t="shared" si="49"/>
        <v>0</v>
      </c>
      <c r="H1264" s="33">
        <f t="shared" si="50"/>
        <v>-9.992308934095423E-2</v>
      </c>
      <c r="I1264" s="43"/>
    </row>
    <row r="1265" spans="2:9" ht="15">
      <c r="B1265" s="32">
        <v>2</v>
      </c>
      <c r="C1265" s="66" t="s">
        <v>48</v>
      </c>
      <c r="D1265" s="64">
        <v>41382</v>
      </c>
      <c r="E1265">
        <v>2.6304903263459245E-2</v>
      </c>
      <c r="F1265">
        <v>0.10170938405862377</v>
      </c>
      <c r="G1265" s="40">
        <f t="shared" si="49"/>
        <v>0</v>
      </c>
      <c r="H1265" s="33">
        <f t="shared" si="50"/>
        <v>-0.10170938405862377</v>
      </c>
      <c r="I1265" s="43"/>
    </row>
    <row r="1266" spans="2:9" ht="15">
      <c r="B1266" s="32">
        <v>2</v>
      </c>
      <c r="C1266" s="66" t="s">
        <v>48</v>
      </c>
      <c r="D1266" s="64">
        <v>41383</v>
      </c>
      <c r="E1266">
        <v>2.6859918015746054E-2</v>
      </c>
      <c r="F1266">
        <v>9.0184691610188633E-2</v>
      </c>
      <c r="G1266" s="40">
        <f t="shared" si="49"/>
        <v>0</v>
      </c>
      <c r="H1266" s="33">
        <f t="shared" si="50"/>
        <v>-9.0184691610188633E-2</v>
      </c>
      <c r="I1266" s="43"/>
    </row>
    <row r="1267" spans="2:9" ht="15">
      <c r="B1267" s="32">
        <v>2</v>
      </c>
      <c r="C1267" s="66" t="s">
        <v>48</v>
      </c>
      <c r="D1267" s="64">
        <v>41386</v>
      </c>
      <c r="E1267">
        <v>3.2688683669889862E-2</v>
      </c>
      <c r="F1267">
        <v>8.3856014301529419E-2</v>
      </c>
      <c r="G1267" s="40">
        <f t="shared" si="49"/>
        <v>0</v>
      </c>
      <c r="H1267" s="33">
        <f t="shared" si="50"/>
        <v>-8.3856014301529419E-2</v>
      </c>
      <c r="I1267" s="43"/>
    </row>
    <row r="1268" spans="2:9" ht="15">
      <c r="B1268" s="32">
        <v>2</v>
      </c>
      <c r="C1268" s="66" t="s">
        <v>48</v>
      </c>
      <c r="D1268" s="64">
        <v>41387</v>
      </c>
      <c r="E1268">
        <v>2.4229332146987304E-2</v>
      </c>
      <c r="F1268">
        <v>7.3421272395364542E-2</v>
      </c>
      <c r="G1268" s="40">
        <f t="shared" si="49"/>
        <v>0</v>
      </c>
      <c r="H1268" s="33">
        <f t="shared" si="50"/>
        <v>-7.3421272395364542E-2</v>
      </c>
      <c r="I1268" s="43"/>
    </row>
    <row r="1269" spans="2:9" ht="15">
      <c r="B1269" s="32">
        <v>2</v>
      </c>
      <c r="C1269" s="66" t="s">
        <v>48</v>
      </c>
      <c r="D1269" s="64">
        <v>41388</v>
      </c>
      <c r="E1269">
        <v>2.9439631026737523E-2</v>
      </c>
      <c r="F1269">
        <v>7.4225053035694752E-2</v>
      </c>
      <c r="G1269" s="40">
        <f t="shared" si="49"/>
        <v>0</v>
      </c>
      <c r="H1269" s="33">
        <f t="shared" si="50"/>
        <v>-7.4225053035694752E-2</v>
      </c>
      <c r="I1269" s="43"/>
    </row>
    <row r="1270" spans="2:9" ht="15">
      <c r="B1270" s="32">
        <v>2</v>
      </c>
      <c r="C1270" s="66" t="s">
        <v>48</v>
      </c>
      <c r="D1270" s="64">
        <v>41389</v>
      </c>
      <c r="E1270">
        <v>2.954355511495077E-2</v>
      </c>
      <c r="F1270">
        <v>6.298205083852533E-2</v>
      </c>
      <c r="G1270" s="40">
        <f t="shared" si="49"/>
        <v>0</v>
      </c>
      <c r="H1270" s="33">
        <f t="shared" si="50"/>
        <v>-6.298205083852533E-2</v>
      </c>
      <c r="I1270" s="43"/>
    </row>
    <row r="1271" spans="2:9" ht="15">
      <c r="B1271" s="32">
        <v>2</v>
      </c>
      <c r="C1271" s="66" t="s">
        <v>48</v>
      </c>
      <c r="D1271" s="64">
        <v>41390</v>
      </c>
      <c r="E1271">
        <v>2.7693449204909015E-2</v>
      </c>
      <c r="F1271">
        <v>5.5693283867992507E-2</v>
      </c>
      <c r="G1271" s="40">
        <f t="shared" si="49"/>
        <v>0</v>
      </c>
      <c r="H1271" s="33">
        <f t="shared" si="50"/>
        <v>-5.5693283867992507E-2</v>
      </c>
      <c r="I1271" s="43"/>
    </row>
    <row r="1272" spans="2:9" ht="15">
      <c r="B1272" s="32">
        <v>2</v>
      </c>
      <c r="C1272" s="66" t="s">
        <v>48</v>
      </c>
      <c r="D1272" s="64">
        <v>41393</v>
      </c>
      <c r="E1272">
        <v>2.4845477540740291E-2</v>
      </c>
      <c r="F1272">
        <v>4.7799267320632673E-2</v>
      </c>
      <c r="G1272" s="40">
        <f t="shared" si="49"/>
        <v>0</v>
      </c>
      <c r="H1272" s="33">
        <f t="shared" si="50"/>
        <v>-4.7799267320632673E-2</v>
      </c>
      <c r="I1272" s="43"/>
    </row>
    <row r="1273" spans="2:9" ht="15">
      <c r="B1273" s="32">
        <v>2</v>
      </c>
      <c r="C1273" s="66" t="s">
        <v>48</v>
      </c>
      <c r="D1273" s="64">
        <v>41394</v>
      </c>
      <c r="E1273">
        <v>2.2406548923478375E-2</v>
      </c>
      <c r="F1273">
        <v>4.9213270877571845E-2</v>
      </c>
      <c r="G1273" s="40">
        <f t="shared" si="49"/>
        <v>0</v>
      </c>
      <c r="H1273" s="33">
        <f t="shared" si="50"/>
        <v>-4.9213270877571845E-2</v>
      </c>
      <c r="I1273" s="43"/>
    </row>
    <row r="1274" spans="2:9" ht="15">
      <c r="B1274" s="32">
        <v>2</v>
      </c>
      <c r="C1274" s="66" t="s">
        <v>48</v>
      </c>
      <c r="D1274" s="64">
        <v>41395</v>
      </c>
      <c r="E1274">
        <v>4.184908829181655E-2</v>
      </c>
      <c r="F1274">
        <v>4.2861832395346508E-2</v>
      </c>
      <c r="G1274" s="40">
        <f t="shared" si="49"/>
        <v>0</v>
      </c>
      <c r="H1274" s="33">
        <f t="shared" si="50"/>
        <v>-4.2861832395346508E-2</v>
      </c>
      <c r="I1274" s="43"/>
    </row>
    <row r="1275" spans="2:9" ht="15">
      <c r="B1275" s="32">
        <v>2</v>
      </c>
      <c r="C1275" s="66" t="s">
        <v>48</v>
      </c>
      <c r="D1275" s="64">
        <v>41396</v>
      </c>
      <c r="E1275">
        <v>3.758618746278497E-2</v>
      </c>
      <c r="F1275">
        <v>5.1457705679390411E-2</v>
      </c>
      <c r="G1275" s="40">
        <f t="shared" si="49"/>
        <v>0</v>
      </c>
      <c r="H1275" s="33">
        <f t="shared" si="50"/>
        <v>-5.1457705679390411E-2</v>
      </c>
      <c r="I1275" s="43"/>
    </row>
    <row r="1276" spans="2:9" ht="15">
      <c r="B1276" s="32">
        <v>2</v>
      </c>
      <c r="C1276" s="66" t="s">
        <v>48</v>
      </c>
      <c r="D1276" s="64">
        <v>41397</v>
      </c>
      <c r="E1276">
        <v>2.2084291966648628E-2</v>
      </c>
      <c r="F1276">
        <v>5.6878781147785711E-2</v>
      </c>
      <c r="G1276" s="40">
        <f t="shared" si="49"/>
        <v>0</v>
      </c>
      <c r="H1276" s="33">
        <f t="shared" si="50"/>
        <v>-5.6878781147785711E-2</v>
      </c>
      <c r="I1276" s="43"/>
    </row>
    <row r="1277" spans="2:9" ht="15">
      <c r="B1277" s="32">
        <v>2</v>
      </c>
      <c r="C1277" s="66" t="s">
        <v>48</v>
      </c>
      <c r="D1277" s="64">
        <v>41400</v>
      </c>
      <c r="E1277">
        <v>3.0425742856767357E-2</v>
      </c>
      <c r="F1277">
        <v>6.3194112880153461E-2</v>
      </c>
      <c r="G1277" s="40">
        <f t="shared" si="49"/>
        <v>0</v>
      </c>
      <c r="H1277" s="33">
        <f t="shared" si="50"/>
        <v>-6.3194112880153461E-2</v>
      </c>
      <c r="I1277" s="43"/>
    </row>
    <row r="1278" spans="2:9" ht="15">
      <c r="B1278" s="32">
        <v>2</v>
      </c>
      <c r="C1278" s="66" t="s">
        <v>48</v>
      </c>
      <c r="D1278" s="64">
        <v>41401</v>
      </c>
      <c r="E1278">
        <v>2.4501235038235869E-2</v>
      </c>
      <c r="F1278">
        <v>5.4132839131122559E-2</v>
      </c>
      <c r="G1278" s="40">
        <f t="shared" si="49"/>
        <v>0</v>
      </c>
      <c r="H1278" s="33">
        <f t="shared" si="50"/>
        <v>-5.4132839131122559E-2</v>
      </c>
      <c r="I1278" s="43"/>
    </row>
    <row r="1279" spans="2:9" ht="15">
      <c r="B1279" s="32">
        <v>2</v>
      </c>
      <c r="C1279" s="66" t="s">
        <v>48</v>
      </c>
      <c r="D1279" s="64">
        <v>41402</v>
      </c>
      <c r="E1279">
        <v>2.2091601071660527E-2</v>
      </c>
      <c r="F1279">
        <v>5.0221848498213671E-2</v>
      </c>
      <c r="G1279" s="40">
        <f t="shared" si="49"/>
        <v>0</v>
      </c>
      <c r="H1279" s="33">
        <f t="shared" si="50"/>
        <v>-5.0221848498213671E-2</v>
      </c>
      <c r="I1279" s="43"/>
    </row>
    <row r="1280" spans="2:9" ht="15">
      <c r="B1280" s="32">
        <v>2</v>
      </c>
      <c r="C1280" s="66" t="s">
        <v>48</v>
      </c>
      <c r="D1280" s="64">
        <v>41403</v>
      </c>
      <c r="E1280">
        <v>1.7477444910000806E-2</v>
      </c>
      <c r="F1280">
        <v>4.5547166127679083E-2</v>
      </c>
      <c r="G1280" s="40">
        <f t="shared" si="49"/>
        <v>0</v>
      </c>
      <c r="H1280" s="33">
        <f t="shared" si="50"/>
        <v>-4.5547166127679083E-2</v>
      </c>
      <c r="I1280" s="43"/>
    </row>
    <row r="1281" spans="2:9" ht="15">
      <c r="B1281" s="32">
        <v>2</v>
      </c>
      <c r="C1281" s="66" t="s">
        <v>48</v>
      </c>
      <c r="D1281" s="64">
        <v>41404</v>
      </c>
      <c r="E1281">
        <v>1.0236986064501075E-2</v>
      </c>
      <c r="F1281">
        <v>4.1236381923646058E-2</v>
      </c>
      <c r="G1281" s="40">
        <f t="shared" si="49"/>
        <v>0</v>
      </c>
      <c r="H1281" s="33">
        <f t="shared" si="50"/>
        <v>-4.1236381923646058E-2</v>
      </c>
      <c r="I1281" s="43"/>
    </row>
    <row r="1282" spans="2:9" ht="15">
      <c r="B1282" s="32">
        <v>2</v>
      </c>
      <c r="C1282" s="66" t="s">
        <v>48</v>
      </c>
      <c r="D1282" s="64">
        <v>41407</v>
      </c>
      <c r="E1282">
        <v>9.6425798335291191E-3</v>
      </c>
      <c r="F1282">
        <v>3.880865534650995E-2</v>
      </c>
      <c r="G1282" s="40">
        <f t="shared" si="49"/>
        <v>0</v>
      </c>
      <c r="H1282" s="33">
        <f t="shared" si="50"/>
        <v>-3.880865534650995E-2</v>
      </c>
      <c r="I1282" s="43"/>
    </row>
    <row r="1283" spans="2:9" ht="15">
      <c r="B1283" s="32">
        <v>2</v>
      </c>
      <c r="C1283" s="66" t="s">
        <v>48</v>
      </c>
      <c r="D1283" s="64">
        <v>41408</v>
      </c>
      <c r="E1283">
        <v>5.8724751452849944E-3</v>
      </c>
      <c r="F1283">
        <v>3.2930659259198615E-2</v>
      </c>
      <c r="G1283" s="40">
        <f t="shared" si="49"/>
        <v>0</v>
      </c>
      <c r="H1283" s="33">
        <f t="shared" si="50"/>
        <v>-3.2930659259198615E-2</v>
      </c>
      <c r="I1283" s="43"/>
    </row>
    <row r="1284" spans="2:9" ht="15">
      <c r="B1284" s="32">
        <v>2</v>
      </c>
      <c r="C1284" s="66" t="s">
        <v>48</v>
      </c>
      <c r="D1284" s="64">
        <v>41409</v>
      </c>
      <c r="E1284">
        <v>-6.3015647582407297E-3</v>
      </c>
      <c r="F1284">
        <v>4.8206262616798654E-2</v>
      </c>
      <c r="G1284" s="40">
        <f t="shared" si="49"/>
        <v>0</v>
      </c>
      <c r="H1284" s="33">
        <f t="shared" si="50"/>
        <v>-4.8206262616798654E-2</v>
      </c>
      <c r="I1284" s="43"/>
    </row>
    <row r="1285" spans="2:9" ht="15">
      <c r="B1285" s="32">
        <v>2</v>
      </c>
      <c r="C1285" s="66" t="s">
        <v>48</v>
      </c>
      <c r="D1285" s="64">
        <v>41410</v>
      </c>
      <c r="E1285">
        <v>2.384392087307674E-3</v>
      </c>
      <c r="F1285">
        <v>4.5469500602674705E-2</v>
      </c>
      <c r="G1285" s="40">
        <f t="shared" si="49"/>
        <v>0</v>
      </c>
      <c r="H1285" s="33">
        <f t="shared" si="50"/>
        <v>-4.5469500602674705E-2</v>
      </c>
      <c r="I1285" s="43"/>
    </row>
    <row r="1286" spans="2:9" ht="15">
      <c r="B1286" s="32">
        <v>2</v>
      </c>
      <c r="C1286" s="66" t="s">
        <v>48</v>
      </c>
      <c r="D1286" s="64">
        <v>41411</v>
      </c>
      <c r="E1286">
        <v>-2.2273596854390121E-2</v>
      </c>
      <c r="F1286">
        <v>4.3252820668060646E-2</v>
      </c>
      <c r="G1286" s="40">
        <f t="shared" si="49"/>
        <v>0</v>
      </c>
      <c r="H1286" s="33">
        <f t="shared" si="50"/>
        <v>-4.3252820668060646E-2</v>
      </c>
      <c r="I1286" s="43"/>
    </row>
    <row r="1287" spans="2:9" ht="15">
      <c r="B1287" s="32">
        <v>2</v>
      </c>
      <c r="C1287" s="66" t="s">
        <v>48</v>
      </c>
      <c r="D1287" s="64">
        <v>41414</v>
      </c>
      <c r="E1287">
        <v>-1.5647288197332188E-2</v>
      </c>
      <c r="F1287">
        <v>5.4205358356244508E-2</v>
      </c>
      <c r="G1287" s="40">
        <f t="shared" si="49"/>
        <v>0</v>
      </c>
      <c r="H1287" s="33">
        <f t="shared" si="50"/>
        <v>-5.4205358356244508E-2</v>
      </c>
      <c r="I1287" s="43"/>
    </row>
    <row r="1288" spans="2:9" ht="15">
      <c r="B1288" s="32">
        <v>2</v>
      </c>
      <c r="C1288" s="66" t="s">
        <v>48</v>
      </c>
      <c r="D1288" s="64">
        <v>41415</v>
      </c>
      <c r="E1288">
        <v>-2.2894240777302066E-2</v>
      </c>
      <c r="F1288">
        <v>4.6077239683785624E-2</v>
      </c>
      <c r="G1288" s="40">
        <f t="shared" si="49"/>
        <v>0</v>
      </c>
      <c r="H1288" s="33">
        <f t="shared" si="50"/>
        <v>-4.6077239683785624E-2</v>
      </c>
      <c r="I1288" s="43"/>
    </row>
    <row r="1289" spans="2:9" ht="15">
      <c r="B1289" s="32">
        <v>2</v>
      </c>
      <c r="C1289" s="66" t="s">
        <v>48</v>
      </c>
      <c r="D1289" s="64">
        <v>41416</v>
      </c>
      <c r="E1289">
        <v>-2.8461721742424118E-2</v>
      </c>
      <c r="F1289">
        <v>3.9667585701627879E-2</v>
      </c>
      <c r="G1289" s="40">
        <f t="shared" si="49"/>
        <v>0</v>
      </c>
      <c r="H1289" s="33">
        <f t="shared" si="50"/>
        <v>-3.9667585701627879E-2</v>
      </c>
      <c r="I1289" s="43"/>
    </row>
    <row r="1290" spans="2:9" ht="15">
      <c r="B1290" s="32">
        <v>2</v>
      </c>
      <c r="C1290" s="66" t="s">
        <v>48</v>
      </c>
      <c r="D1290" s="64">
        <v>41417</v>
      </c>
      <c r="E1290">
        <v>-1.7079151877719134E-2</v>
      </c>
      <c r="F1290">
        <v>4.6678427290275756E-2</v>
      </c>
      <c r="G1290" s="40">
        <f t="shared" si="49"/>
        <v>0</v>
      </c>
      <c r="H1290" s="33">
        <f t="shared" si="50"/>
        <v>-4.6678427290275756E-2</v>
      </c>
      <c r="I1290" s="43"/>
    </row>
    <row r="1291" spans="2:9" ht="15">
      <c r="B1291" s="32">
        <v>2</v>
      </c>
      <c r="C1291" s="66" t="s">
        <v>48</v>
      </c>
      <c r="D1291" s="64">
        <v>41418</v>
      </c>
      <c r="E1291">
        <v>-3.7777201398574434E-3</v>
      </c>
      <c r="F1291">
        <v>4.1215442546462526E-2</v>
      </c>
      <c r="G1291" s="40">
        <f t="shared" ref="G1291:G1354" si="51">--(E1291&lt;-F1291)</f>
        <v>0</v>
      </c>
      <c r="H1291" s="33">
        <f t="shared" ref="H1291:H1354" si="52">-F1291</f>
        <v>-4.1215442546462526E-2</v>
      </c>
      <c r="I1291" s="43"/>
    </row>
    <row r="1292" spans="2:9" ht="15">
      <c r="B1292" s="32">
        <v>2</v>
      </c>
      <c r="C1292" s="66" t="s">
        <v>48</v>
      </c>
      <c r="D1292" s="64">
        <v>41422</v>
      </c>
      <c r="E1292">
        <v>-1.0445555670386852E-2</v>
      </c>
      <c r="F1292">
        <v>3.5038298323252788E-2</v>
      </c>
      <c r="G1292" s="40">
        <f t="shared" si="51"/>
        <v>0</v>
      </c>
      <c r="H1292" s="33">
        <f t="shared" si="52"/>
        <v>-3.5038298323252788E-2</v>
      </c>
      <c r="I1292" s="43"/>
    </row>
    <row r="1293" spans="2:9" ht="15">
      <c r="B1293" s="32">
        <v>2</v>
      </c>
      <c r="C1293" s="66" t="s">
        <v>48</v>
      </c>
      <c r="D1293" s="64">
        <v>41423</v>
      </c>
      <c r="E1293">
        <v>-1.3577883329265461E-2</v>
      </c>
      <c r="F1293">
        <v>3.8592420636279899E-2</v>
      </c>
      <c r="G1293" s="40">
        <f t="shared" si="51"/>
        <v>0</v>
      </c>
      <c r="H1293" s="33">
        <f t="shared" si="52"/>
        <v>-3.8592420636279899E-2</v>
      </c>
      <c r="I1293" s="43"/>
    </row>
    <row r="1294" spans="2:9" ht="15">
      <c r="B1294" s="32">
        <v>2</v>
      </c>
      <c r="C1294" s="66" t="s">
        <v>48</v>
      </c>
      <c r="D1294" s="64">
        <v>41424</v>
      </c>
      <c r="E1294">
        <v>-2.5646285237670874E-2</v>
      </c>
      <c r="F1294">
        <v>4.2783358054516413E-2</v>
      </c>
      <c r="G1294" s="40">
        <f t="shared" si="51"/>
        <v>0</v>
      </c>
      <c r="H1294" s="33">
        <f t="shared" si="52"/>
        <v>-4.2783358054516413E-2</v>
      </c>
      <c r="I1294" s="43"/>
    </row>
    <row r="1295" spans="2:9" ht="15">
      <c r="B1295" s="32">
        <v>2</v>
      </c>
      <c r="C1295" s="66" t="s">
        <v>48</v>
      </c>
      <c r="D1295" s="64">
        <v>41425</v>
      </c>
      <c r="E1295">
        <v>3.4403603111199388E-3</v>
      </c>
      <c r="F1295">
        <v>3.900370807894158E-2</v>
      </c>
      <c r="G1295" s="40">
        <f t="shared" si="51"/>
        <v>0</v>
      </c>
      <c r="H1295" s="33">
        <f t="shared" si="52"/>
        <v>-3.900370807894158E-2</v>
      </c>
      <c r="I1295" s="43"/>
    </row>
    <row r="1296" spans="2:9" ht="15">
      <c r="B1296" s="32">
        <v>2</v>
      </c>
      <c r="C1296" s="66" t="s">
        <v>48</v>
      </c>
      <c r="D1296" s="64">
        <v>41428</v>
      </c>
      <c r="E1296">
        <v>-8.3804808614518222E-3</v>
      </c>
      <c r="F1296">
        <v>6.5131675067595124E-2</v>
      </c>
      <c r="G1296" s="40">
        <f t="shared" si="51"/>
        <v>0</v>
      </c>
      <c r="H1296" s="33">
        <f t="shared" si="52"/>
        <v>-6.5131675067595124E-2</v>
      </c>
      <c r="I1296" s="43"/>
    </row>
    <row r="1297" spans="2:9" ht="15">
      <c r="B1297" s="32">
        <v>2</v>
      </c>
      <c r="C1297" s="66" t="s">
        <v>48</v>
      </c>
      <c r="D1297" s="64">
        <v>41429</v>
      </c>
      <c r="E1297">
        <v>4.6844429183954261E-3</v>
      </c>
      <c r="F1297">
        <v>5.9875923319579735E-2</v>
      </c>
      <c r="G1297" s="40">
        <f t="shared" si="51"/>
        <v>0</v>
      </c>
      <c r="H1297" s="33">
        <f t="shared" si="52"/>
        <v>-5.9875923319579735E-2</v>
      </c>
      <c r="I1297" s="43"/>
    </row>
    <row r="1298" spans="2:9" ht="15">
      <c r="B1298" s="32">
        <v>2</v>
      </c>
      <c r="C1298" s="66" t="s">
        <v>48</v>
      </c>
      <c r="D1298" s="64">
        <v>41430</v>
      </c>
      <c r="E1298">
        <v>2.6320961504366913E-2</v>
      </c>
      <c r="F1298">
        <v>5.5172732753838251E-2</v>
      </c>
      <c r="G1298" s="40">
        <f t="shared" si="51"/>
        <v>0</v>
      </c>
      <c r="H1298" s="33">
        <f t="shared" si="52"/>
        <v>-5.5172732753838251E-2</v>
      </c>
      <c r="I1298" s="43"/>
    </row>
    <row r="1299" spans="2:9" ht="15">
      <c r="B1299" s="32">
        <v>2</v>
      </c>
      <c r="C1299" s="66" t="s">
        <v>48</v>
      </c>
      <c r="D1299" s="64">
        <v>41431</v>
      </c>
      <c r="E1299">
        <v>3.9182054554336432E-3</v>
      </c>
      <c r="F1299">
        <v>7.1478550043472991E-2</v>
      </c>
      <c r="G1299" s="40">
        <f t="shared" si="51"/>
        <v>0</v>
      </c>
      <c r="H1299" s="33">
        <f t="shared" si="52"/>
        <v>-7.1478550043472991E-2</v>
      </c>
      <c r="I1299" s="43"/>
    </row>
    <row r="1300" spans="2:9" ht="15">
      <c r="B1300" s="32">
        <v>2</v>
      </c>
      <c r="C1300" s="66" t="s">
        <v>48</v>
      </c>
      <c r="D1300" s="64">
        <v>41432</v>
      </c>
      <c r="E1300">
        <v>-3.4160133717993091E-2</v>
      </c>
      <c r="F1300">
        <v>6.9005338619198858E-2</v>
      </c>
      <c r="G1300" s="40">
        <f t="shared" si="51"/>
        <v>0</v>
      </c>
      <c r="H1300" s="33">
        <f t="shared" si="52"/>
        <v>-6.9005338619198858E-2</v>
      </c>
      <c r="I1300" s="43"/>
    </row>
    <row r="1301" spans="2:9" ht="15">
      <c r="B1301" s="32">
        <v>2</v>
      </c>
      <c r="C1301" s="66" t="s">
        <v>48</v>
      </c>
      <c r="D1301" s="64">
        <v>41435</v>
      </c>
      <c r="E1301">
        <v>-3.1147040799494263E-2</v>
      </c>
      <c r="F1301">
        <v>7.6757907844843626E-2</v>
      </c>
      <c r="G1301" s="40">
        <f t="shared" si="51"/>
        <v>0</v>
      </c>
      <c r="H1301" s="33">
        <f t="shared" si="52"/>
        <v>-7.6757907844843626E-2</v>
      </c>
      <c r="I1301" s="43"/>
    </row>
    <row r="1302" spans="2:9" ht="15">
      <c r="B1302" s="32">
        <v>2</v>
      </c>
      <c r="C1302" s="66" t="s">
        <v>48</v>
      </c>
      <c r="D1302" s="64">
        <v>41436</v>
      </c>
      <c r="E1302">
        <v>-3.3161145466372943E-2</v>
      </c>
      <c r="F1302">
        <v>6.514523991378933E-2</v>
      </c>
      <c r="G1302" s="40">
        <f t="shared" si="51"/>
        <v>0</v>
      </c>
      <c r="H1302" s="33">
        <f t="shared" si="52"/>
        <v>-6.514523991378933E-2</v>
      </c>
      <c r="I1302" s="43"/>
    </row>
    <row r="1303" spans="2:9" ht="15">
      <c r="B1303" s="32">
        <v>2</v>
      </c>
      <c r="C1303" s="66" t="s">
        <v>48</v>
      </c>
      <c r="D1303" s="64">
        <v>41437</v>
      </c>
      <c r="E1303">
        <v>-1.5303912518819018E-2</v>
      </c>
      <c r="F1303">
        <v>6.8071926757671694E-2</v>
      </c>
      <c r="G1303" s="40">
        <f t="shared" si="51"/>
        <v>0</v>
      </c>
      <c r="H1303" s="33">
        <f t="shared" si="52"/>
        <v>-6.8071926757671694E-2</v>
      </c>
      <c r="I1303" s="43"/>
    </row>
    <row r="1304" spans="2:9" ht="15">
      <c r="B1304" s="32">
        <v>2</v>
      </c>
      <c r="C1304" s="66" t="s">
        <v>48</v>
      </c>
      <c r="D1304" s="64">
        <v>41438</v>
      </c>
      <c r="E1304">
        <v>-2.0435191111318751E-2</v>
      </c>
      <c r="F1304">
        <v>6.6383434122304588E-2</v>
      </c>
      <c r="G1304" s="40">
        <f t="shared" si="51"/>
        <v>0</v>
      </c>
      <c r="H1304" s="33">
        <f t="shared" si="52"/>
        <v>-6.6383434122304588E-2</v>
      </c>
      <c r="I1304" s="43"/>
    </row>
    <row r="1305" spans="2:9" ht="15">
      <c r="B1305" s="32">
        <v>2</v>
      </c>
      <c r="C1305" s="66" t="s">
        <v>48</v>
      </c>
      <c r="D1305" s="64">
        <v>41439</v>
      </c>
      <c r="E1305">
        <v>-8.3520989279826097E-3</v>
      </c>
      <c r="F1305">
        <v>8.0228997556782075E-2</v>
      </c>
      <c r="G1305" s="40">
        <f t="shared" si="51"/>
        <v>0</v>
      </c>
      <c r="H1305" s="33">
        <f t="shared" si="52"/>
        <v>-8.0228997556782075E-2</v>
      </c>
      <c r="I1305" s="43"/>
    </row>
    <row r="1306" spans="2:9" ht="15">
      <c r="B1306" s="32">
        <v>2</v>
      </c>
      <c r="C1306" s="66" t="s">
        <v>48</v>
      </c>
      <c r="D1306" s="64">
        <v>41442</v>
      </c>
      <c r="E1306">
        <v>-2.0189763799466576E-2</v>
      </c>
      <c r="F1306">
        <v>7.1849385757247697E-2</v>
      </c>
      <c r="G1306" s="40">
        <f t="shared" si="51"/>
        <v>0</v>
      </c>
      <c r="H1306" s="33">
        <f t="shared" si="52"/>
        <v>-7.1849385757247697E-2</v>
      </c>
      <c r="I1306" s="43"/>
    </row>
    <row r="1307" spans="2:9" ht="15">
      <c r="B1307" s="32">
        <v>2</v>
      </c>
      <c r="C1307" s="66" t="s">
        <v>48</v>
      </c>
      <c r="D1307" s="64">
        <v>41443</v>
      </c>
      <c r="E1307">
        <v>-2.2561527679412663E-2</v>
      </c>
      <c r="F1307">
        <v>6.7661757131656911E-2</v>
      </c>
      <c r="G1307" s="40">
        <f t="shared" si="51"/>
        <v>0</v>
      </c>
      <c r="H1307" s="33">
        <f t="shared" si="52"/>
        <v>-6.7661757131656911E-2</v>
      </c>
      <c r="I1307" s="43"/>
    </row>
    <row r="1308" spans="2:9" ht="15">
      <c r="B1308" s="32">
        <v>2</v>
      </c>
      <c r="C1308" s="66" t="s">
        <v>48</v>
      </c>
      <c r="D1308" s="64">
        <v>41444</v>
      </c>
      <c r="E1308">
        <v>-9.1582830450773756E-3</v>
      </c>
      <c r="F1308">
        <v>6.4876528229346087E-2</v>
      </c>
      <c r="G1308" s="40">
        <f t="shared" si="51"/>
        <v>0</v>
      </c>
      <c r="H1308" s="33">
        <f t="shared" si="52"/>
        <v>-6.4876528229346087E-2</v>
      </c>
      <c r="I1308" s="43"/>
    </row>
    <row r="1309" spans="2:9" ht="15">
      <c r="B1309" s="32">
        <v>2</v>
      </c>
      <c r="C1309" s="66" t="s">
        <v>48</v>
      </c>
      <c r="D1309" s="64">
        <v>41445</v>
      </c>
      <c r="E1309">
        <v>1.6993849597694677E-2</v>
      </c>
      <c r="F1309">
        <v>7.7321451440208966E-2</v>
      </c>
      <c r="G1309" s="40">
        <f t="shared" si="51"/>
        <v>0</v>
      </c>
      <c r="H1309" s="33">
        <f t="shared" si="52"/>
        <v>-7.7321451440208966E-2</v>
      </c>
      <c r="I1309" s="43"/>
    </row>
    <row r="1310" spans="2:9" ht="15">
      <c r="B1310" s="32">
        <v>2</v>
      </c>
      <c r="C1310" s="66" t="s">
        <v>48</v>
      </c>
      <c r="D1310" s="64">
        <v>41446</v>
      </c>
      <c r="E1310">
        <v>2.4477676136744897E-2</v>
      </c>
      <c r="F1310">
        <v>0.11843091967487078</v>
      </c>
      <c r="G1310" s="40">
        <f t="shared" si="51"/>
        <v>0</v>
      </c>
      <c r="H1310" s="33">
        <f t="shared" si="52"/>
        <v>-0.11843091967487078</v>
      </c>
      <c r="I1310" s="43"/>
    </row>
    <row r="1311" spans="2:9" ht="15">
      <c r="B1311" s="32">
        <v>2</v>
      </c>
      <c r="C1311" s="66" t="s">
        <v>48</v>
      </c>
      <c r="D1311" s="64">
        <v>41449</v>
      </c>
      <c r="E1311">
        <v>4.193485020017107E-2</v>
      </c>
      <c r="F1311">
        <v>0.10102651267814176</v>
      </c>
      <c r="G1311" s="40">
        <f t="shared" si="51"/>
        <v>0</v>
      </c>
      <c r="H1311" s="33">
        <f t="shared" si="52"/>
        <v>-0.10102651267814176</v>
      </c>
      <c r="I1311" s="43"/>
    </row>
    <row r="1312" spans="2:9" ht="15">
      <c r="B1312" s="32">
        <v>2</v>
      </c>
      <c r="C1312" s="66" t="s">
        <v>48</v>
      </c>
      <c r="D1312" s="64">
        <v>41450</v>
      </c>
      <c r="E1312">
        <v>3.9686055663859854E-2</v>
      </c>
      <c r="F1312">
        <v>9.8036531655371323E-2</v>
      </c>
      <c r="G1312" s="40">
        <f t="shared" si="51"/>
        <v>0</v>
      </c>
      <c r="H1312" s="33">
        <f t="shared" si="52"/>
        <v>-9.8036531655371323E-2</v>
      </c>
      <c r="I1312" s="43"/>
    </row>
    <row r="1313" spans="2:9" ht="15">
      <c r="B1313" s="32">
        <v>2</v>
      </c>
      <c r="C1313" s="66" t="s">
        <v>48</v>
      </c>
      <c r="D1313" s="64">
        <v>41451</v>
      </c>
      <c r="E1313">
        <v>3.0322841733199546E-2</v>
      </c>
      <c r="F1313">
        <v>9.0961353510096682E-2</v>
      </c>
      <c r="G1313" s="40">
        <f t="shared" si="51"/>
        <v>0</v>
      </c>
      <c r="H1313" s="33">
        <f t="shared" si="52"/>
        <v>-9.0961353510096682E-2</v>
      </c>
      <c r="I1313" s="43"/>
    </row>
    <row r="1314" spans="2:9" ht="15">
      <c r="B1314" s="32">
        <v>2</v>
      </c>
      <c r="C1314" s="66" t="s">
        <v>48</v>
      </c>
      <c r="D1314" s="64">
        <v>41452</v>
      </c>
      <c r="E1314">
        <v>3.7605363801743508E-2</v>
      </c>
      <c r="F1314">
        <v>8.5660776176420483E-2</v>
      </c>
      <c r="G1314" s="40">
        <f t="shared" si="51"/>
        <v>0</v>
      </c>
      <c r="H1314" s="33">
        <f t="shared" si="52"/>
        <v>-8.5660776176420483E-2</v>
      </c>
      <c r="I1314" s="43"/>
    </row>
    <row r="1315" spans="2:9" ht="15">
      <c r="B1315" s="32">
        <v>2</v>
      </c>
      <c r="C1315" s="66" t="s">
        <v>48</v>
      </c>
      <c r="D1315" s="64">
        <v>41453</v>
      </c>
      <c r="E1315">
        <v>4.498588255948377E-2</v>
      </c>
      <c r="F1315">
        <v>7.6564116100294899E-2</v>
      </c>
      <c r="G1315" s="40">
        <f t="shared" si="51"/>
        <v>0</v>
      </c>
      <c r="H1315" s="33">
        <f t="shared" si="52"/>
        <v>-7.6564116100294899E-2</v>
      </c>
      <c r="I1315" s="43"/>
    </row>
    <row r="1316" spans="2:9" ht="15">
      <c r="B1316" s="32">
        <v>2</v>
      </c>
      <c r="C1316" s="66" t="s">
        <v>48</v>
      </c>
      <c r="D1316" s="64">
        <v>41456</v>
      </c>
      <c r="E1316">
        <v>4.0970618119915869E-2</v>
      </c>
      <c r="F1316">
        <v>6.7087352028491351E-2</v>
      </c>
      <c r="G1316" s="40">
        <f t="shared" si="51"/>
        <v>0</v>
      </c>
      <c r="H1316" s="33">
        <f t="shared" si="52"/>
        <v>-6.7087352028491351E-2</v>
      </c>
      <c r="I1316" s="43"/>
    </row>
    <row r="1317" spans="2:9" ht="15">
      <c r="B1317" s="32">
        <v>2</v>
      </c>
      <c r="C1317" s="66" t="s">
        <v>48</v>
      </c>
      <c r="D1317" s="64">
        <v>41457</v>
      </c>
      <c r="E1317">
        <v>3.7800019604662616E-2</v>
      </c>
      <c r="F1317">
        <v>6.0668095675174505E-2</v>
      </c>
      <c r="G1317" s="40">
        <f t="shared" si="51"/>
        <v>0</v>
      </c>
      <c r="H1317" s="33">
        <f t="shared" si="52"/>
        <v>-6.0668095675174505E-2</v>
      </c>
      <c r="I1317" s="43"/>
    </row>
    <row r="1318" spans="2:9" ht="15">
      <c r="B1318" s="32">
        <v>2</v>
      </c>
      <c r="C1318" s="66" t="s">
        <v>48</v>
      </c>
      <c r="D1318" s="64">
        <v>41458</v>
      </c>
      <c r="E1318">
        <v>3.9746518189117452E-2</v>
      </c>
      <c r="F1318">
        <v>5.1522293111797977E-2</v>
      </c>
      <c r="G1318" s="40">
        <f t="shared" si="51"/>
        <v>0</v>
      </c>
      <c r="H1318" s="33">
        <f t="shared" si="52"/>
        <v>-5.1522293111797977E-2</v>
      </c>
      <c r="I1318" s="43"/>
    </row>
    <row r="1319" spans="2:9" ht="15">
      <c r="B1319" s="32">
        <v>2</v>
      </c>
      <c r="C1319" s="66" t="s">
        <v>48</v>
      </c>
      <c r="D1319" s="64">
        <v>41460</v>
      </c>
      <c r="E1319">
        <v>3.4616813908763255E-2</v>
      </c>
      <c r="F1319">
        <v>4.38355455050842E-2</v>
      </c>
      <c r="G1319" s="40">
        <f t="shared" si="51"/>
        <v>0</v>
      </c>
      <c r="H1319" s="33">
        <f t="shared" si="52"/>
        <v>-4.38355455050842E-2</v>
      </c>
      <c r="I1319" s="43"/>
    </row>
    <row r="1320" spans="2:9" ht="15">
      <c r="B1320" s="32">
        <v>2</v>
      </c>
      <c r="C1320" s="66" t="s">
        <v>48</v>
      </c>
      <c r="D1320" s="64">
        <v>41463</v>
      </c>
      <c r="E1320">
        <v>3.0987764627466774E-2</v>
      </c>
      <c r="F1320">
        <v>5.4264768482437838E-2</v>
      </c>
      <c r="G1320" s="40">
        <f t="shared" si="51"/>
        <v>0</v>
      </c>
      <c r="H1320" s="33">
        <f t="shared" si="52"/>
        <v>-5.4264768482437838E-2</v>
      </c>
      <c r="I1320" s="43"/>
    </row>
    <row r="1321" spans="2:9" ht="15">
      <c r="B1321" s="32">
        <v>2</v>
      </c>
      <c r="C1321" s="66" t="s">
        <v>48</v>
      </c>
      <c r="D1321" s="64">
        <v>41464</v>
      </c>
      <c r="E1321">
        <v>2.5815065166788109E-2</v>
      </c>
      <c r="F1321">
        <v>5.0357558918402129E-2</v>
      </c>
      <c r="G1321" s="40">
        <f t="shared" si="51"/>
        <v>0</v>
      </c>
      <c r="H1321" s="33">
        <f t="shared" si="52"/>
        <v>-5.0357558918402129E-2</v>
      </c>
      <c r="I1321" s="43"/>
    </row>
    <row r="1322" spans="2:9" ht="15">
      <c r="B1322" s="32">
        <v>2</v>
      </c>
      <c r="C1322" s="66" t="s">
        <v>48</v>
      </c>
      <c r="D1322" s="64">
        <v>41465</v>
      </c>
      <c r="E1322">
        <v>2.3779835612613986E-2</v>
      </c>
      <c r="F1322">
        <v>5.1109517822645764E-2</v>
      </c>
      <c r="G1322" s="40">
        <f t="shared" si="51"/>
        <v>0</v>
      </c>
      <c r="H1322" s="33">
        <f t="shared" si="52"/>
        <v>-5.1109517822645764E-2</v>
      </c>
      <c r="I1322" s="43"/>
    </row>
    <row r="1323" spans="2:9" ht="15">
      <c r="B1323" s="32">
        <v>2</v>
      </c>
      <c r="C1323" s="66" t="s">
        <v>48</v>
      </c>
      <c r="D1323" s="64">
        <v>41466</v>
      </c>
      <c r="E1323">
        <v>6.4981193180893015E-3</v>
      </c>
      <c r="F1323">
        <v>4.3373623633983338E-2</v>
      </c>
      <c r="G1323" s="40">
        <f t="shared" si="51"/>
        <v>0</v>
      </c>
      <c r="H1323" s="33">
        <f t="shared" si="52"/>
        <v>-4.3373623633983338E-2</v>
      </c>
      <c r="I1323" s="43"/>
    </row>
    <row r="1324" spans="2:9" ht="15">
      <c r="B1324" s="32">
        <v>2</v>
      </c>
      <c r="C1324" s="66" t="s">
        <v>48</v>
      </c>
      <c r="D1324" s="64">
        <v>41467</v>
      </c>
      <c r="E1324">
        <v>5.9695998452484744E-3</v>
      </c>
      <c r="F1324">
        <v>6.4040413500786528E-2</v>
      </c>
      <c r="G1324" s="40">
        <f t="shared" si="51"/>
        <v>0</v>
      </c>
      <c r="H1324" s="33">
        <f t="shared" si="52"/>
        <v>-6.4040413500786528E-2</v>
      </c>
      <c r="I1324" s="43"/>
    </row>
    <row r="1325" spans="2:9" ht="15">
      <c r="B1325" s="32">
        <v>2</v>
      </c>
      <c r="C1325" s="66" t="s">
        <v>48</v>
      </c>
      <c r="D1325" s="64">
        <v>41470</v>
      </c>
      <c r="E1325">
        <v>5.4236156450446771E-3</v>
      </c>
      <c r="F1325">
        <v>5.5648517447215481E-2</v>
      </c>
      <c r="G1325" s="40">
        <f t="shared" si="51"/>
        <v>0</v>
      </c>
      <c r="H1325" s="33">
        <f t="shared" si="52"/>
        <v>-5.5648517447215481E-2</v>
      </c>
      <c r="I1325" s="43"/>
    </row>
    <row r="1326" spans="2:9" ht="15">
      <c r="B1326" s="32">
        <v>2</v>
      </c>
      <c r="C1326" s="66" t="s">
        <v>48</v>
      </c>
      <c r="D1326" s="64">
        <v>41471</v>
      </c>
      <c r="E1326">
        <v>5.3962369598830051E-3</v>
      </c>
      <c r="F1326">
        <v>4.7521261191203083E-2</v>
      </c>
      <c r="G1326" s="40">
        <f t="shared" si="51"/>
        <v>0</v>
      </c>
      <c r="H1326" s="33">
        <f t="shared" si="52"/>
        <v>-4.7521261191203083E-2</v>
      </c>
      <c r="I1326" s="43"/>
    </row>
    <row r="1327" spans="2:9" ht="15">
      <c r="B1327" s="32">
        <v>2</v>
      </c>
      <c r="C1327" s="66" t="s">
        <v>48</v>
      </c>
      <c r="D1327" s="64">
        <v>41472</v>
      </c>
      <c r="E1327">
        <v>2.9997777130583714E-3</v>
      </c>
      <c r="F1327">
        <v>4.2838797114090776E-2</v>
      </c>
      <c r="G1327" s="40">
        <f t="shared" si="51"/>
        <v>0</v>
      </c>
      <c r="H1327" s="33">
        <f t="shared" si="52"/>
        <v>-4.2838797114090776E-2</v>
      </c>
      <c r="I1327" s="43"/>
    </row>
    <row r="1328" spans="2:9" ht="15">
      <c r="B1328" s="32">
        <v>2</v>
      </c>
      <c r="C1328" s="66" t="s">
        <v>48</v>
      </c>
      <c r="D1328" s="64">
        <v>41473</v>
      </c>
      <c r="E1328">
        <v>-2.1569828676177849E-3</v>
      </c>
      <c r="F1328">
        <v>3.7915750616315698E-2</v>
      </c>
      <c r="G1328" s="40">
        <f t="shared" si="51"/>
        <v>0</v>
      </c>
      <c r="H1328" s="33">
        <f t="shared" si="52"/>
        <v>-3.7915750616315698E-2</v>
      </c>
      <c r="I1328" s="43"/>
    </row>
    <row r="1329" spans="2:9" ht="15">
      <c r="B1329" s="32">
        <v>2</v>
      </c>
      <c r="C1329" s="66" t="s">
        <v>48</v>
      </c>
      <c r="D1329" s="64">
        <v>41474</v>
      </c>
      <c r="E1329">
        <v>8.6968498170056918E-3</v>
      </c>
      <c r="F1329">
        <v>3.7643011461557838E-2</v>
      </c>
      <c r="G1329" s="40">
        <f t="shared" si="51"/>
        <v>0</v>
      </c>
      <c r="H1329" s="33">
        <f t="shared" si="52"/>
        <v>-3.7643011461557838E-2</v>
      </c>
      <c r="I1329" s="43"/>
    </row>
    <row r="1330" spans="2:9" ht="15">
      <c r="B1330" s="32">
        <v>2</v>
      </c>
      <c r="C1330" s="66" t="s">
        <v>48</v>
      </c>
      <c r="D1330" s="64">
        <v>41477</v>
      </c>
      <c r="E1330">
        <v>8.3050017444552537E-3</v>
      </c>
      <c r="F1330">
        <v>3.2549278596373993E-2</v>
      </c>
      <c r="G1330" s="40">
        <f t="shared" si="51"/>
        <v>0</v>
      </c>
      <c r="H1330" s="33">
        <f t="shared" si="52"/>
        <v>-3.2549278596373993E-2</v>
      </c>
      <c r="I1330" s="43"/>
    </row>
    <row r="1331" spans="2:9" ht="15">
      <c r="B1331" s="32">
        <v>2</v>
      </c>
      <c r="C1331" s="66" t="s">
        <v>48</v>
      </c>
      <c r="D1331" s="64">
        <v>41478</v>
      </c>
      <c r="E1331">
        <v>8.677724526353181E-3</v>
      </c>
      <c r="F1331">
        <v>2.8728251835707718E-2</v>
      </c>
      <c r="G1331" s="40">
        <f t="shared" si="51"/>
        <v>0</v>
      </c>
      <c r="H1331" s="33">
        <f t="shared" si="52"/>
        <v>-2.8728251835707718E-2</v>
      </c>
      <c r="I1331" s="43"/>
    </row>
    <row r="1332" spans="2:9" ht="15">
      <c r="B1332" s="32">
        <v>2</v>
      </c>
      <c r="C1332" s="66" t="s">
        <v>48</v>
      </c>
      <c r="D1332" s="64">
        <v>41479</v>
      </c>
      <c r="E1332">
        <v>6.7567545992357481E-3</v>
      </c>
      <c r="F1332">
        <v>2.542227751290746E-2</v>
      </c>
      <c r="G1332" s="40">
        <f t="shared" si="51"/>
        <v>0</v>
      </c>
      <c r="H1332" s="33">
        <f t="shared" si="52"/>
        <v>-2.542227751290746E-2</v>
      </c>
      <c r="I1332" s="43"/>
    </row>
    <row r="1333" spans="2:9" ht="15">
      <c r="B1333" s="32">
        <v>2</v>
      </c>
      <c r="C1333" s="66" t="s">
        <v>48</v>
      </c>
      <c r="D1333" s="64">
        <v>41480</v>
      </c>
      <c r="E1333">
        <v>3.9041867391453877E-4</v>
      </c>
      <c r="F1333">
        <v>2.6196950278957128E-2</v>
      </c>
      <c r="G1333" s="40">
        <f t="shared" si="51"/>
        <v>0</v>
      </c>
      <c r="H1333" s="33">
        <f t="shared" si="52"/>
        <v>-2.6196950278957128E-2</v>
      </c>
      <c r="I1333" s="43"/>
    </row>
    <row r="1334" spans="2:9" ht="15">
      <c r="B1334" s="32">
        <v>2</v>
      </c>
      <c r="C1334" s="66" t="s">
        <v>48</v>
      </c>
      <c r="D1334" s="64">
        <v>41481</v>
      </c>
      <c r="E1334">
        <v>3.4403883849432049E-3</v>
      </c>
      <c r="F1334">
        <v>2.4349627453297721E-2</v>
      </c>
      <c r="G1334" s="40">
        <f t="shared" si="51"/>
        <v>0</v>
      </c>
      <c r="H1334" s="33">
        <f t="shared" si="52"/>
        <v>-2.4349627453297721E-2</v>
      </c>
      <c r="I1334" s="43"/>
    </row>
    <row r="1335" spans="2:9" ht="15">
      <c r="B1335" s="32">
        <v>2</v>
      </c>
      <c r="C1335" s="66" t="s">
        <v>48</v>
      </c>
      <c r="D1335" s="64">
        <v>41484</v>
      </c>
      <c r="E1335">
        <v>3.6070746150418387E-3</v>
      </c>
      <c r="F1335">
        <v>2.0911211716538591E-2</v>
      </c>
      <c r="G1335" s="40">
        <f t="shared" si="51"/>
        <v>0</v>
      </c>
      <c r="H1335" s="33">
        <f t="shared" si="52"/>
        <v>-2.0911211716538591E-2</v>
      </c>
      <c r="I1335" s="43"/>
    </row>
    <row r="1336" spans="2:9" ht="15">
      <c r="B1336" s="32">
        <v>2</v>
      </c>
      <c r="C1336" s="66" t="s">
        <v>48</v>
      </c>
      <c r="D1336" s="64">
        <v>41485</v>
      </c>
      <c r="E1336">
        <v>2.0797417430511445E-3</v>
      </c>
      <c r="F1336">
        <v>2.2959597302338625E-2</v>
      </c>
      <c r="G1336" s="40">
        <f t="shared" si="51"/>
        <v>0</v>
      </c>
      <c r="H1336" s="33">
        <f t="shared" si="52"/>
        <v>-2.2959597302338625E-2</v>
      </c>
      <c r="I1336" s="43"/>
    </row>
    <row r="1337" spans="2:9" ht="15">
      <c r="B1337" s="32">
        <v>2</v>
      </c>
      <c r="C1337" s="66" t="s">
        <v>48</v>
      </c>
      <c r="D1337" s="64">
        <v>41486</v>
      </c>
      <c r="E1337">
        <v>4.9883702996735835E-3</v>
      </c>
      <c r="F1337">
        <v>1.9536114163898336E-2</v>
      </c>
      <c r="G1337" s="40">
        <f t="shared" si="51"/>
        <v>0</v>
      </c>
      <c r="H1337" s="33">
        <f t="shared" si="52"/>
        <v>-1.9536114163898336E-2</v>
      </c>
      <c r="I1337" s="43"/>
    </row>
    <row r="1338" spans="2:9" ht="15">
      <c r="B1338" s="32">
        <v>2</v>
      </c>
      <c r="C1338" s="66" t="s">
        <v>48</v>
      </c>
      <c r="D1338" s="64">
        <v>41487</v>
      </c>
      <c r="E1338">
        <v>-1.2664281053356596E-2</v>
      </c>
      <c r="F1338">
        <v>1.6585446308200486E-2</v>
      </c>
      <c r="G1338" s="40">
        <f t="shared" si="51"/>
        <v>0</v>
      </c>
      <c r="H1338" s="33">
        <f t="shared" si="52"/>
        <v>-1.6585446308200486E-2</v>
      </c>
      <c r="I1338" s="43"/>
    </row>
    <row r="1339" spans="2:9" ht="15">
      <c r="B1339" s="32">
        <v>2</v>
      </c>
      <c r="C1339" s="66" t="s">
        <v>48</v>
      </c>
      <c r="D1339" s="64">
        <v>41488</v>
      </c>
      <c r="E1339">
        <v>-2.8687960572499449E-2</v>
      </c>
      <c r="F1339">
        <v>5.0513441424949117E-2</v>
      </c>
      <c r="G1339" s="40">
        <f t="shared" si="51"/>
        <v>0</v>
      </c>
      <c r="H1339" s="33">
        <f t="shared" si="52"/>
        <v>-5.0513441424949117E-2</v>
      </c>
      <c r="I1339" s="43"/>
    </row>
    <row r="1340" spans="2:9" ht="15">
      <c r="B1340" s="32">
        <v>2</v>
      </c>
      <c r="C1340" s="66" t="s">
        <v>48</v>
      </c>
      <c r="D1340" s="64">
        <v>41491</v>
      </c>
      <c r="E1340">
        <v>-3.0517097351394185E-2</v>
      </c>
      <c r="F1340">
        <v>4.3334396298874006E-2</v>
      </c>
      <c r="G1340" s="40">
        <f t="shared" si="51"/>
        <v>0</v>
      </c>
      <c r="H1340" s="33">
        <f t="shared" si="52"/>
        <v>-4.3334396298874006E-2</v>
      </c>
      <c r="I1340" s="43"/>
    </row>
    <row r="1341" spans="2:9" ht="15">
      <c r="B1341" s="32">
        <v>2</v>
      </c>
      <c r="C1341" s="66" t="s">
        <v>48</v>
      </c>
      <c r="D1341" s="64">
        <v>41492</v>
      </c>
      <c r="E1341">
        <v>-3.0695401923188648E-2</v>
      </c>
      <c r="F1341">
        <v>3.7219616958511635E-2</v>
      </c>
      <c r="G1341" s="40">
        <f t="shared" si="51"/>
        <v>0</v>
      </c>
      <c r="H1341" s="33">
        <f t="shared" si="52"/>
        <v>-3.7219616958511635E-2</v>
      </c>
      <c r="I1341" s="43"/>
    </row>
    <row r="1342" spans="2:9" ht="15">
      <c r="B1342" s="32">
        <v>2</v>
      </c>
      <c r="C1342" s="66" t="s">
        <v>48</v>
      </c>
      <c r="D1342" s="64">
        <v>41493</v>
      </c>
      <c r="E1342">
        <v>-2.3068363121860891E-2</v>
      </c>
      <c r="F1342">
        <v>3.8685776149193898E-2</v>
      </c>
      <c r="G1342" s="40">
        <f t="shared" si="51"/>
        <v>0</v>
      </c>
      <c r="H1342" s="33">
        <f t="shared" si="52"/>
        <v>-3.8685776149193898E-2</v>
      </c>
      <c r="I1342" s="43"/>
    </row>
    <row r="1343" spans="2:9" ht="15">
      <c r="B1343" s="32">
        <v>2</v>
      </c>
      <c r="C1343" s="66" t="s">
        <v>48</v>
      </c>
      <c r="D1343" s="64">
        <v>41494</v>
      </c>
      <c r="E1343">
        <v>-3.2742653639343366E-2</v>
      </c>
      <c r="F1343">
        <v>3.602599378023541E-2</v>
      </c>
      <c r="G1343" s="40">
        <f t="shared" si="51"/>
        <v>0</v>
      </c>
      <c r="H1343" s="33">
        <f t="shared" si="52"/>
        <v>-3.602599378023541E-2</v>
      </c>
      <c r="I1343" s="43"/>
    </row>
    <row r="1344" spans="2:9" ht="15">
      <c r="B1344" s="32">
        <v>2</v>
      </c>
      <c r="C1344" s="66" t="s">
        <v>48</v>
      </c>
      <c r="D1344" s="64">
        <v>41495</v>
      </c>
      <c r="E1344">
        <v>-2.0583864229883453E-2</v>
      </c>
      <c r="F1344">
        <v>3.4093217731478498E-2</v>
      </c>
      <c r="G1344" s="40">
        <f t="shared" si="51"/>
        <v>0</v>
      </c>
      <c r="H1344" s="33">
        <f t="shared" si="52"/>
        <v>-3.4093217731478498E-2</v>
      </c>
      <c r="I1344" s="43"/>
    </row>
    <row r="1345" spans="2:9" ht="15">
      <c r="B1345" s="32">
        <v>2</v>
      </c>
      <c r="C1345" s="66" t="s">
        <v>48</v>
      </c>
      <c r="D1345" s="64">
        <v>41498</v>
      </c>
      <c r="E1345">
        <v>-1.5491036640253419E-2</v>
      </c>
      <c r="F1345">
        <v>3.2104593859927949E-2</v>
      </c>
      <c r="G1345" s="40">
        <f t="shared" si="51"/>
        <v>0</v>
      </c>
      <c r="H1345" s="33">
        <f t="shared" si="52"/>
        <v>-3.2104593859927949E-2</v>
      </c>
      <c r="I1345" s="43"/>
    </row>
    <row r="1346" spans="2:9" ht="15">
      <c r="B1346" s="32">
        <v>2</v>
      </c>
      <c r="C1346" s="66" t="s">
        <v>48</v>
      </c>
      <c r="D1346" s="64">
        <v>41499</v>
      </c>
      <c r="E1346">
        <v>-2.2311085774983752E-2</v>
      </c>
      <c r="F1346">
        <v>2.7609291429720198E-2</v>
      </c>
      <c r="G1346" s="40">
        <f t="shared" si="51"/>
        <v>0</v>
      </c>
      <c r="H1346" s="33">
        <f t="shared" si="52"/>
        <v>-2.7609291429720198E-2</v>
      </c>
      <c r="I1346" s="43"/>
    </row>
    <row r="1347" spans="2:9" ht="15">
      <c r="B1347" s="32">
        <v>2</v>
      </c>
      <c r="C1347" s="66" t="s">
        <v>48</v>
      </c>
      <c r="D1347" s="64">
        <v>41500</v>
      </c>
      <c r="E1347">
        <v>-3.3122562199270789E-2</v>
      </c>
      <c r="F1347">
        <v>2.579325316897086E-2</v>
      </c>
      <c r="G1347" s="40">
        <f t="shared" si="51"/>
        <v>1</v>
      </c>
      <c r="H1347" s="33">
        <f t="shared" si="52"/>
        <v>-2.579325316897086E-2</v>
      </c>
      <c r="I1347" s="43">
        <f t="shared" ref="I1286:I1349" si="53">IF(G1347=0,"",E1347)</f>
        <v>-3.3122562199270789E-2</v>
      </c>
    </row>
    <row r="1348" spans="2:9" ht="15">
      <c r="B1348" s="32">
        <v>2</v>
      </c>
      <c r="C1348" s="66" t="s">
        <v>48</v>
      </c>
      <c r="D1348" s="64">
        <v>41501</v>
      </c>
      <c r="E1348">
        <v>-1.5994119234030713E-2</v>
      </c>
      <c r="F1348">
        <v>2.9785751511469328E-2</v>
      </c>
      <c r="G1348" s="40">
        <f t="shared" si="51"/>
        <v>0</v>
      </c>
      <c r="H1348" s="33">
        <f t="shared" si="52"/>
        <v>-2.9785751511469328E-2</v>
      </c>
      <c r="I1348" s="43"/>
    </row>
    <row r="1349" spans="2:9" ht="15">
      <c r="B1349" s="32">
        <v>2</v>
      </c>
      <c r="C1349" s="66" t="s">
        <v>48</v>
      </c>
      <c r="D1349" s="64">
        <v>41502</v>
      </c>
      <c r="E1349">
        <v>-1.0722575107269705E-2</v>
      </c>
      <c r="F1349">
        <v>6.1434797981055243E-2</v>
      </c>
      <c r="G1349" s="40">
        <f t="shared" si="51"/>
        <v>0</v>
      </c>
      <c r="H1349" s="33">
        <f t="shared" si="52"/>
        <v>-6.1434797981055243E-2</v>
      </c>
      <c r="I1349" s="43"/>
    </row>
    <row r="1350" spans="2:9" ht="15">
      <c r="B1350" s="32">
        <v>2</v>
      </c>
      <c r="C1350" s="66" t="s">
        <v>48</v>
      </c>
      <c r="D1350" s="64">
        <v>41505</v>
      </c>
      <c r="E1350">
        <v>-7.9841644741618367E-3</v>
      </c>
      <c r="F1350">
        <v>5.3698013539814668E-2</v>
      </c>
      <c r="G1350" s="40">
        <f t="shared" si="51"/>
        <v>0</v>
      </c>
      <c r="H1350" s="33">
        <f t="shared" si="52"/>
        <v>-5.3698013539814668E-2</v>
      </c>
      <c r="I1350" s="43"/>
    </row>
    <row r="1351" spans="2:9" ht="15">
      <c r="B1351" s="32">
        <v>2</v>
      </c>
      <c r="C1351" s="66" t="s">
        <v>48</v>
      </c>
      <c r="D1351" s="64">
        <v>41506</v>
      </c>
      <c r="E1351">
        <v>-7.6425022452992764E-3</v>
      </c>
      <c r="F1351">
        <v>5.1056569782497147E-2</v>
      </c>
      <c r="G1351" s="40">
        <f t="shared" si="51"/>
        <v>0</v>
      </c>
      <c r="H1351" s="33">
        <f t="shared" si="52"/>
        <v>-5.1056569782497147E-2</v>
      </c>
      <c r="I1351" s="43"/>
    </row>
    <row r="1352" spans="2:9" ht="15">
      <c r="B1352" s="32">
        <v>2</v>
      </c>
      <c r="C1352" s="66" t="s">
        <v>48</v>
      </c>
      <c r="D1352" s="64">
        <v>41507</v>
      </c>
      <c r="E1352">
        <v>6.2380549776293037E-3</v>
      </c>
      <c r="F1352">
        <v>4.5796241568988899E-2</v>
      </c>
      <c r="G1352" s="40">
        <f t="shared" si="51"/>
        <v>0</v>
      </c>
      <c r="H1352" s="33">
        <f t="shared" si="52"/>
        <v>-4.5796241568988899E-2</v>
      </c>
      <c r="I1352" s="43"/>
    </row>
    <row r="1353" spans="2:9" ht="15">
      <c r="B1353" s="32">
        <v>2</v>
      </c>
      <c r="C1353" s="66" t="s">
        <v>48</v>
      </c>
      <c r="D1353" s="64">
        <v>41508</v>
      </c>
      <c r="E1353">
        <v>-1.135255159373294E-3</v>
      </c>
      <c r="F1353">
        <v>4.4935199463020478E-2</v>
      </c>
      <c r="G1353" s="40">
        <f t="shared" si="51"/>
        <v>0</v>
      </c>
      <c r="H1353" s="33">
        <f t="shared" si="52"/>
        <v>-4.4935199463020478E-2</v>
      </c>
      <c r="I1353" s="43"/>
    </row>
    <row r="1354" spans="2:9" ht="15">
      <c r="B1354" s="32">
        <v>2</v>
      </c>
      <c r="C1354" s="66" t="s">
        <v>48</v>
      </c>
      <c r="D1354" s="64">
        <v>41509</v>
      </c>
      <c r="E1354">
        <v>-5.0200673060016854E-3</v>
      </c>
      <c r="F1354">
        <v>5.0694878126969239E-2</v>
      </c>
      <c r="G1354" s="40">
        <f t="shared" si="51"/>
        <v>0</v>
      </c>
      <c r="H1354" s="33">
        <f t="shared" si="52"/>
        <v>-5.0694878126969239E-2</v>
      </c>
      <c r="I1354" s="43"/>
    </row>
    <row r="1355" spans="2:9" ht="15">
      <c r="B1355" s="32">
        <v>2</v>
      </c>
      <c r="C1355" s="66" t="s">
        <v>48</v>
      </c>
      <c r="D1355" s="64">
        <v>41512</v>
      </c>
      <c r="E1355">
        <v>8.9710542465608611E-3</v>
      </c>
      <c r="F1355">
        <v>4.5667517993257856E-2</v>
      </c>
      <c r="G1355" s="40">
        <f t="shared" ref="G1355:G1418" si="54">--(E1355&lt;-F1355)</f>
        <v>0</v>
      </c>
      <c r="H1355" s="33">
        <f t="shared" ref="H1355:H1418" si="55">-F1355</f>
        <v>-4.5667517993257856E-2</v>
      </c>
      <c r="I1355" s="43"/>
    </row>
    <row r="1356" spans="2:9" ht="15">
      <c r="B1356" s="32">
        <v>2</v>
      </c>
      <c r="C1356" s="66" t="s">
        <v>48</v>
      </c>
      <c r="D1356" s="64">
        <v>41513</v>
      </c>
      <c r="E1356">
        <v>3.2291533892285784E-2</v>
      </c>
      <c r="F1356">
        <v>4.1831363058204764E-2</v>
      </c>
      <c r="G1356" s="40">
        <f t="shared" si="54"/>
        <v>0</v>
      </c>
      <c r="H1356" s="33">
        <f t="shared" si="55"/>
        <v>-4.1831363058204764E-2</v>
      </c>
      <c r="I1356" s="43"/>
    </row>
    <row r="1357" spans="2:9" ht="15">
      <c r="B1357" s="32">
        <v>2</v>
      </c>
      <c r="C1357" s="66" t="s">
        <v>48</v>
      </c>
      <c r="D1357" s="64">
        <v>41514</v>
      </c>
      <c r="E1357">
        <v>3.2595291079971389E-2</v>
      </c>
      <c r="F1357">
        <v>7.1693052041971683E-2</v>
      </c>
      <c r="G1357" s="40">
        <f t="shared" si="54"/>
        <v>0</v>
      </c>
      <c r="H1357" s="33">
        <f t="shared" si="55"/>
        <v>-7.1693052041971683E-2</v>
      </c>
      <c r="I1357" s="43"/>
    </row>
    <row r="1358" spans="2:9" ht="15">
      <c r="B1358" s="32">
        <v>2</v>
      </c>
      <c r="C1358" s="66" t="s">
        <v>48</v>
      </c>
      <c r="D1358" s="64">
        <v>41515</v>
      </c>
      <c r="E1358">
        <v>2.7247672571026449E-2</v>
      </c>
      <c r="F1358">
        <v>6.1764153416056976E-2</v>
      </c>
      <c r="G1358" s="40">
        <f t="shared" si="54"/>
        <v>0</v>
      </c>
      <c r="H1358" s="33">
        <f t="shared" si="55"/>
        <v>-6.1764153416056976E-2</v>
      </c>
      <c r="I1358" s="43"/>
    </row>
    <row r="1359" spans="2:9" ht="15">
      <c r="B1359" s="32">
        <v>2</v>
      </c>
      <c r="C1359" s="66" t="s">
        <v>48</v>
      </c>
      <c r="D1359" s="64">
        <v>41516</v>
      </c>
      <c r="E1359">
        <v>3.3138041097013016E-2</v>
      </c>
      <c r="F1359">
        <v>5.2961914120554572E-2</v>
      </c>
      <c r="G1359" s="40">
        <f t="shared" si="54"/>
        <v>0</v>
      </c>
      <c r="H1359" s="33">
        <f t="shared" si="55"/>
        <v>-5.2961914120554572E-2</v>
      </c>
      <c r="I1359" s="43"/>
    </row>
    <row r="1360" spans="2:9" ht="15">
      <c r="B1360" s="32">
        <v>2</v>
      </c>
      <c r="C1360" s="66" t="s">
        <v>48</v>
      </c>
      <c r="D1360" s="64">
        <v>41520</v>
      </c>
      <c r="E1360">
        <v>3.4659474444571181E-2</v>
      </c>
      <c r="F1360">
        <v>4.661276231352797E-2</v>
      </c>
      <c r="G1360" s="40">
        <f t="shared" si="54"/>
        <v>0</v>
      </c>
      <c r="H1360" s="33">
        <f t="shared" si="55"/>
        <v>-4.661276231352797E-2</v>
      </c>
      <c r="I1360" s="43"/>
    </row>
    <row r="1361" spans="2:9" ht="15">
      <c r="B1361" s="32">
        <v>2</v>
      </c>
      <c r="C1361" s="66" t="s">
        <v>48</v>
      </c>
      <c r="D1361" s="64">
        <v>41521</v>
      </c>
      <c r="E1361">
        <v>3.0784156325080581E-2</v>
      </c>
      <c r="F1361">
        <v>4.2732413910854528E-2</v>
      </c>
      <c r="G1361" s="40">
        <f t="shared" si="54"/>
        <v>0</v>
      </c>
      <c r="H1361" s="33">
        <f t="shared" si="55"/>
        <v>-4.2732413910854528E-2</v>
      </c>
      <c r="I1361" s="43"/>
    </row>
    <row r="1362" spans="2:9" ht="15">
      <c r="B1362" s="32">
        <v>2</v>
      </c>
      <c r="C1362" s="66" t="s">
        <v>48</v>
      </c>
      <c r="D1362" s="64">
        <v>41522</v>
      </c>
      <c r="E1362">
        <v>4.1679146478163176E-2</v>
      </c>
      <c r="F1362">
        <v>4.8011384405596894E-2</v>
      </c>
      <c r="G1362" s="40">
        <f t="shared" si="54"/>
        <v>0</v>
      </c>
      <c r="H1362" s="33">
        <f t="shared" si="55"/>
        <v>-4.8011384405596894E-2</v>
      </c>
      <c r="I1362" s="43"/>
    </row>
    <row r="1363" spans="2:9" ht="15">
      <c r="B1363" s="32">
        <v>2</v>
      </c>
      <c r="C1363" s="66" t="s">
        <v>48</v>
      </c>
      <c r="D1363" s="64">
        <v>41523</v>
      </c>
      <c r="E1363">
        <v>3.9780062436486574E-2</v>
      </c>
      <c r="F1363">
        <v>4.1010012198603542E-2</v>
      </c>
      <c r="G1363" s="40">
        <f t="shared" si="54"/>
        <v>0</v>
      </c>
      <c r="H1363" s="33">
        <f t="shared" si="55"/>
        <v>-4.1010012198603542E-2</v>
      </c>
      <c r="I1363" s="43"/>
    </row>
    <row r="1364" spans="2:9" ht="15">
      <c r="B1364" s="32">
        <v>2</v>
      </c>
      <c r="C1364" s="66" t="s">
        <v>48</v>
      </c>
      <c r="D1364" s="64">
        <v>41526</v>
      </c>
      <c r="E1364">
        <v>2.2593726120909707E-2</v>
      </c>
      <c r="F1364">
        <v>3.4798794310810024E-2</v>
      </c>
      <c r="G1364" s="40">
        <f t="shared" si="54"/>
        <v>0</v>
      </c>
      <c r="H1364" s="33">
        <f t="shared" si="55"/>
        <v>-3.4798794310810024E-2</v>
      </c>
      <c r="I1364" s="43"/>
    </row>
    <row r="1365" spans="2:9" ht="15">
      <c r="B1365" s="32">
        <v>2</v>
      </c>
      <c r="C1365" s="66" t="s">
        <v>48</v>
      </c>
      <c r="D1365" s="64">
        <v>41527</v>
      </c>
      <c r="E1365">
        <v>1.0544027081391683E-2</v>
      </c>
      <c r="F1365">
        <v>4.8683450064562775E-2</v>
      </c>
      <c r="G1365" s="40">
        <f t="shared" si="54"/>
        <v>0</v>
      </c>
      <c r="H1365" s="33">
        <f t="shared" si="55"/>
        <v>-4.8683450064562775E-2</v>
      </c>
      <c r="I1365" s="43"/>
    </row>
    <row r="1366" spans="2:9" ht="15">
      <c r="B1366" s="32">
        <v>2</v>
      </c>
      <c r="C1366" s="66" t="s">
        <v>48</v>
      </c>
      <c r="D1366" s="64">
        <v>41528</v>
      </c>
      <c r="E1366">
        <v>4.8958706879194125E-3</v>
      </c>
      <c r="F1366">
        <v>5.0181388300334299E-2</v>
      </c>
      <c r="G1366" s="40">
        <f t="shared" si="54"/>
        <v>0</v>
      </c>
      <c r="H1366" s="33">
        <f t="shared" si="55"/>
        <v>-5.0181388300334299E-2</v>
      </c>
      <c r="I1366" s="43"/>
    </row>
    <row r="1367" spans="2:9" ht="15">
      <c r="B1367" s="32">
        <v>2</v>
      </c>
      <c r="C1367" s="66" t="s">
        <v>48</v>
      </c>
      <c r="D1367" s="64">
        <v>41529</v>
      </c>
      <c r="E1367">
        <v>5.538787642930032E-3</v>
      </c>
      <c r="F1367">
        <v>4.4202134793565585E-2</v>
      </c>
      <c r="G1367" s="40">
        <f t="shared" si="54"/>
        <v>0</v>
      </c>
      <c r="H1367" s="33">
        <f t="shared" si="55"/>
        <v>-4.4202134793565585E-2</v>
      </c>
      <c r="I1367" s="43"/>
    </row>
    <row r="1368" spans="2:9" ht="15">
      <c r="B1368" s="32">
        <v>2</v>
      </c>
      <c r="C1368" s="66" t="s">
        <v>48</v>
      </c>
      <c r="D1368" s="64">
        <v>41530</v>
      </c>
      <c r="E1368">
        <v>6.3071517644397446E-3</v>
      </c>
      <c r="F1368">
        <v>3.975555069717774E-2</v>
      </c>
      <c r="G1368" s="40">
        <f t="shared" si="54"/>
        <v>0</v>
      </c>
      <c r="H1368" s="33">
        <f t="shared" si="55"/>
        <v>-3.975555069717774E-2</v>
      </c>
      <c r="I1368" s="43"/>
    </row>
    <row r="1369" spans="2:9" ht="15">
      <c r="B1369" s="32">
        <v>2</v>
      </c>
      <c r="C1369" s="66" t="s">
        <v>48</v>
      </c>
      <c r="D1369" s="64">
        <v>41533</v>
      </c>
      <c r="E1369">
        <v>-3.4519786097781946E-3</v>
      </c>
      <c r="F1369">
        <v>3.5345896434976654E-2</v>
      </c>
      <c r="G1369" s="40">
        <f t="shared" si="54"/>
        <v>0</v>
      </c>
      <c r="H1369" s="33">
        <f t="shared" si="55"/>
        <v>-3.5345896434976654E-2</v>
      </c>
      <c r="I1369" s="43"/>
    </row>
    <row r="1370" spans="2:9" ht="15">
      <c r="B1370" s="32">
        <v>2</v>
      </c>
      <c r="C1370" s="66" t="s">
        <v>48</v>
      </c>
      <c r="D1370" s="64">
        <v>41534</v>
      </c>
      <c r="E1370">
        <v>-1.3708327978880774E-2</v>
      </c>
      <c r="F1370">
        <v>3.7254348702814674E-2</v>
      </c>
      <c r="G1370" s="40">
        <f t="shared" si="54"/>
        <v>0</v>
      </c>
      <c r="H1370" s="33">
        <f t="shared" si="55"/>
        <v>-3.7254348702814674E-2</v>
      </c>
      <c r="I1370" s="43"/>
    </row>
    <row r="1371" spans="2:9" ht="15">
      <c r="B1371" s="32">
        <v>2</v>
      </c>
      <c r="C1371" s="66" t="s">
        <v>48</v>
      </c>
      <c r="D1371" s="64">
        <v>41535</v>
      </c>
      <c r="E1371">
        <v>-1.7845725090277043E-2</v>
      </c>
      <c r="F1371">
        <v>3.5604953831672038E-2</v>
      </c>
      <c r="G1371" s="40">
        <f t="shared" si="54"/>
        <v>0</v>
      </c>
      <c r="H1371" s="33">
        <f t="shared" si="55"/>
        <v>-3.5604953831672038E-2</v>
      </c>
      <c r="I1371" s="43"/>
    </row>
    <row r="1372" spans="2:9" ht="15">
      <c r="B1372" s="32">
        <v>2</v>
      </c>
      <c r="C1372" s="66" t="s">
        <v>48</v>
      </c>
      <c r="D1372" s="64">
        <v>41536</v>
      </c>
      <c r="E1372">
        <v>-1.6667962713989404E-2</v>
      </c>
      <c r="F1372">
        <v>5.5971958982152098E-2</v>
      </c>
      <c r="G1372" s="40">
        <f t="shared" si="54"/>
        <v>0</v>
      </c>
      <c r="H1372" s="33">
        <f t="shared" si="55"/>
        <v>-5.5971958982152098E-2</v>
      </c>
      <c r="I1372" s="43"/>
    </row>
    <row r="1373" spans="2:9" ht="15">
      <c r="B1373" s="32">
        <v>2</v>
      </c>
      <c r="C1373" s="66" t="s">
        <v>48</v>
      </c>
      <c r="D1373" s="64">
        <v>41537</v>
      </c>
      <c r="E1373">
        <v>-1.8444881080140973E-2</v>
      </c>
      <c r="F1373">
        <v>4.8033553253214616E-2</v>
      </c>
      <c r="G1373" s="40">
        <f t="shared" si="54"/>
        <v>0</v>
      </c>
      <c r="H1373" s="33">
        <f t="shared" si="55"/>
        <v>-4.8033553253214616E-2</v>
      </c>
      <c r="I1373" s="43"/>
    </row>
    <row r="1374" spans="2:9" ht="15">
      <c r="B1374" s="32">
        <v>2</v>
      </c>
      <c r="C1374" s="66" t="s">
        <v>48</v>
      </c>
      <c r="D1374" s="64">
        <v>41540</v>
      </c>
      <c r="E1374">
        <v>-6.6856555375345295E-3</v>
      </c>
      <c r="F1374">
        <v>4.9559763396298882E-2</v>
      </c>
      <c r="G1374" s="40">
        <f t="shared" si="54"/>
        <v>0</v>
      </c>
      <c r="H1374" s="33">
        <f t="shared" si="55"/>
        <v>-4.9559763396298882E-2</v>
      </c>
      <c r="I1374" s="43"/>
    </row>
    <row r="1375" spans="2:9" ht="15">
      <c r="B1375" s="32">
        <v>2</v>
      </c>
      <c r="C1375" s="66" t="s">
        <v>48</v>
      </c>
      <c r="D1375" s="64">
        <v>41541</v>
      </c>
      <c r="E1375">
        <v>-1.2627881573171074E-2</v>
      </c>
      <c r="F1375">
        <v>4.5908328696454649E-2</v>
      </c>
      <c r="G1375" s="40">
        <f t="shared" si="54"/>
        <v>0</v>
      </c>
      <c r="H1375" s="33">
        <f t="shared" si="55"/>
        <v>-4.5908328696454649E-2</v>
      </c>
      <c r="I1375" s="43"/>
    </row>
    <row r="1376" spans="2:9" ht="15">
      <c r="B1376" s="32">
        <v>2</v>
      </c>
      <c r="C1376" s="66" t="s">
        <v>48</v>
      </c>
      <c r="D1376" s="64">
        <v>41542</v>
      </c>
      <c r="E1376">
        <v>-2.2293406628479673E-2</v>
      </c>
      <c r="F1376">
        <v>4.0248368708703415E-2</v>
      </c>
      <c r="G1376" s="40">
        <f t="shared" si="54"/>
        <v>0</v>
      </c>
      <c r="H1376" s="33">
        <f t="shared" si="55"/>
        <v>-4.0248368708703415E-2</v>
      </c>
      <c r="I1376" s="43"/>
    </row>
    <row r="1377" spans="2:9" ht="15">
      <c r="B1377" s="32">
        <v>2</v>
      </c>
      <c r="C1377" s="66" t="s">
        <v>48</v>
      </c>
      <c r="D1377" s="64">
        <v>41543</v>
      </c>
      <c r="E1377">
        <v>-2.5199030647306664E-2</v>
      </c>
      <c r="F1377">
        <v>3.5782444786262302E-2</v>
      </c>
      <c r="G1377" s="40">
        <f t="shared" si="54"/>
        <v>0</v>
      </c>
      <c r="H1377" s="33">
        <f t="shared" si="55"/>
        <v>-3.5782444786262302E-2</v>
      </c>
      <c r="I1377" s="43"/>
    </row>
    <row r="1378" spans="2:9" ht="15">
      <c r="B1378" s="32">
        <v>2</v>
      </c>
      <c r="C1378" s="66" t="s">
        <v>48</v>
      </c>
      <c r="D1378" s="64">
        <v>41544</v>
      </c>
      <c r="E1378">
        <v>4.7871442116598217E-4</v>
      </c>
      <c r="F1378">
        <v>3.3246378620616107E-2</v>
      </c>
      <c r="G1378" s="40">
        <f t="shared" si="54"/>
        <v>0</v>
      </c>
      <c r="H1378" s="33">
        <f t="shared" si="55"/>
        <v>-3.3246378620616107E-2</v>
      </c>
      <c r="I1378" s="43"/>
    </row>
    <row r="1379" spans="2:9" ht="15">
      <c r="B1379" s="32">
        <v>2</v>
      </c>
      <c r="C1379" s="66" t="s">
        <v>48</v>
      </c>
      <c r="D1379" s="64">
        <v>41547</v>
      </c>
      <c r="E1379">
        <v>1.2792789576537622E-2</v>
      </c>
      <c r="F1379">
        <v>3.2378109923252289E-2</v>
      </c>
      <c r="G1379" s="40">
        <f t="shared" si="54"/>
        <v>0</v>
      </c>
      <c r="H1379" s="33">
        <f t="shared" si="55"/>
        <v>-3.2378109923252289E-2</v>
      </c>
      <c r="I1379" s="43"/>
    </row>
    <row r="1380" spans="2:9" ht="15">
      <c r="B1380" s="32">
        <v>2</v>
      </c>
      <c r="C1380" s="66" t="s">
        <v>48</v>
      </c>
      <c r="D1380" s="64">
        <v>41548</v>
      </c>
      <c r="E1380">
        <v>8.8925064471201409E-3</v>
      </c>
      <c r="F1380">
        <v>3.6180009475287371E-2</v>
      </c>
      <c r="G1380" s="40">
        <f t="shared" si="54"/>
        <v>0</v>
      </c>
      <c r="H1380" s="33">
        <f t="shared" si="55"/>
        <v>-3.6180009475287371E-2</v>
      </c>
      <c r="I1380" s="43"/>
    </row>
    <row r="1381" spans="2:9" ht="15">
      <c r="B1381" s="32">
        <v>2</v>
      </c>
      <c r="C1381" s="66" t="s">
        <v>48</v>
      </c>
      <c r="D1381" s="64">
        <v>41549</v>
      </c>
      <c r="E1381">
        <v>2.4706088065533649E-3</v>
      </c>
      <c r="F1381">
        <v>4.3637547610311148E-2</v>
      </c>
      <c r="G1381" s="40">
        <f t="shared" si="54"/>
        <v>0</v>
      </c>
      <c r="H1381" s="33">
        <f t="shared" si="55"/>
        <v>-4.3637547610311148E-2</v>
      </c>
      <c r="I1381" s="43"/>
    </row>
    <row r="1382" spans="2:9" ht="15">
      <c r="B1382" s="32">
        <v>2</v>
      </c>
      <c r="C1382" s="66" t="s">
        <v>48</v>
      </c>
      <c r="D1382" s="64">
        <v>41550</v>
      </c>
      <c r="E1382">
        <v>2.5223385376549778E-2</v>
      </c>
      <c r="F1382">
        <v>3.7118579693601508E-2</v>
      </c>
      <c r="G1382" s="40">
        <f t="shared" si="54"/>
        <v>0</v>
      </c>
      <c r="H1382" s="33">
        <f t="shared" si="55"/>
        <v>-3.7118579693601508E-2</v>
      </c>
      <c r="I1382" s="43"/>
    </row>
    <row r="1383" spans="2:9" ht="15">
      <c r="B1383" s="32">
        <v>2</v>
      </c>
      <c r="C1383" s="66" t="s">
        <v>48</v>
      </c>
      <c r="D1383" s="64">
        <v>41551</v>
      </c>
      <c r="E1383">
        <v>2.4916232776358349E-2</v>
      </c>
      <c r="F1383">
        <v>4.7168627825362644E-2</v>
      </c>
      <c r="G1383" s="40">
        <f t="shared" si="54"/>
        <v>0</v>
      </c>
      <c r="H1383" s="33">
        <f t="shared" si="55"/>
        <v>-4.7168627825362644E-2</v>
      </c>
      <c r="I1383" s="43"/>
    </row>
    <row r="1384" spans="2:9" ht="15">
      <c r="B1384" s="32">
        <v>2</v>
      </c>
      <c r="C1384" s="66" t="s">
        <v>48</v>
      </c>
      <c r="D1384" s="64">
        <v>41554</v>
      </c>
      <c r="E1384">
        <v>3.9986386085623771E-2</v>
      </c>
      <c r="F1384">
        <v>4.8481713334365045E-2</v>
      </c>
      <c r="G1384" s="40">
        <f t="shared" si="54"/>
        <v>0</v>
      </c>
      <c r="H1384" s="33">
        <f t="shared" si="55"/>
        <v>-4.8481713334365045E-2</v>
      </c>
      <c r="I1384" s="43"/>
    </row>
    <row r="1385" spans="2:9" ht="15">
      <c r="B1385" s="32">
        <v>2</v>
      </c>
      <c r="C1385" s="66" t="s">
        <v>48</v>
      </c>
      <c r="D1385" s="64">
        <v>41555</v>
      </c>
      <c r="E1385">
        <v>5.2486868157226141E-2</v>
      </c>
      <c r="F1385">
        <v>5.2898100924438134E-2</v>
      </c>
      <c r="G1385" s="40">
        <f t="shared" si="54"/>
        <v>0</v>
      </c>
      <c r="H1385" s="33">
        <f t="shared" si="55"/>
        <v>-5.2898100924438134E-2</v>
      </c>
      <c r="I1385" s="43"/>
    </row>
    <row r="1386" spans="2:9" ht="15">
      <c r="B1386" s="32">
        <v>2</v>
      </c>
      <c r="C1386" s="66" t="s">
        <v>48</v>
      </c>
      <c r="D1386" s="64">
        <v>41556</v>
      </c>
      <c r="E1386">
        <v>5.763424294656172E-2</v>
      </c>
      <c r="F1386">
        <v>6.5939154061112656E-2</v>
      </c>
      <c r="G1386" s="40">
        <f t="shared" si="54"/>
        <v>0</v>
      </c>
      <c r="H1386" s="33">
        <f t="shared" si="55"/>
        <v>-6.5939154061112656E-2</v>
      </c>
      <c r="I1386" s="43"/>
    </row>
    <row r="1387" spans="2:9" ht="15">
      <c r="B1387" s="32">
        <v>2</v>
      </c>
      <c r="C1387" s="66" t="s">
        <v>48</v>
      </c>
      <c r="D1387" s="64">
        <v>41557</v>
      </c>
      <c r="E1387">
        <v>3.1302866369626869E-2</v>
      </c>
      <c r="F1387">
        <v>5.599578576385926E-2</v>
      </c>
      <c r="G1387" s="40">
        <f t="shared" si="54"/>
        <v>0</v>
      </c>
      <c r="H1387" s="33">
        <f t="shared" si="55"/>
        <v>-5.599578576385926E-2</v>
      </c>
      <c r="I1387" s="43"/>
    </row>
    <row r="1388" spans="2:9" ht="15">
      <c r="B1388" s="32">
        <v>2</v>
      </c>
      <c r="C1388" s="66" t="s">
        <v>48</v>
      </c>
      <c r="D1388" s="64">
        <v>41558</v>
      </c>
      <c r="E1388">
        <v>2.8289109405501556E-2</v>
      </c>
      <c r="F1388">
        <v>9.6564181410290176E-2</v>
      </c>
      <c r="G1388" s="40">
        <f t="shared" si="54"/>
        <v>0</v>
      </c>
      <c r="H1388" s="33">
        <f t="shared" si="55"/>
        <v>-9.6564181410290176E-2</v>
      </c>
      <c r="I1388" s="43"/>
    </row>
    <row r="1389" spans="2:9" ht="15">
      <c r="B1389" s="32">
        <v>2</v>
      </c>
      <c r="C1389" s="66" t="s">
        <v>48</v>
      </c>
      <c r="D1389" s="64">
        <v>41561</v>
      </c>
      <c r="E1389">
        <v>2.8607882777853533E-2</v>
      </c>
      <c r="F1389">
        <v>8.5491608694876223E-2</v>
      </c>
      <c r="G1389" s="40">
        <f t="shared" si="54"/>
        <v>0</v>
      </c>
      <c r="H1389" s="33">
        <f t="shared" si="55"/>
        <v>-8.5491608694876223E-2</v>
      </c>
      <c r="I1389" s="43"/>
    </row>
    <row r="1390" spans="2:9" ht="15">
      <c r="B1390" s="32">
        <v>2</v>
      </c>
      <c r="C1390" s="66" t="s">
        <v>48</v>
      </c>
      <c r="D1390" s="64">
        <v>41562</v>
      </c>
      <c r="E1390">
        <v>3.7025488411298824E-2</v>
      </c>
      <c r="F1390">
        <v>7.4249048060089071E-2</v>
      </c>
      <c r="G1390" s="40">
        <f t="shared" si="54"/>
        <v>0</v>
      </c>
      <c r="H1390" s="33">
        <f t="shared" si="55"/>
        <v>-7.4249048060089071E-2</v>
      </c>
      <c r="I1390" s="43"/>
    </row>
    <row r="1391" spans="2:9" ht="15">
      <c r="B1391" s="32">
        <v>2</v>
      </c>
      <c r="C1391" s="66" t="s">
        <v>48</v>
      </c>
      <c r="D1391" s="64">
        <v>41563</v>
      </c>
      <c r="E1391">
        <v>2.8861345696323149E-2</v>
      </c>
      <c r="F1391">
        <v>6.8780600281647328E-2</v>
      </c>
      <c r="G1391" s="40">
        <f t="shared" si="54"/>
        <v>0</v>
      </c>
      <c r="H1391" s="33">
        <f t="shared" si="55"/>
        <v>-6.8780600281647328E-2</v>
      </c>
      <c r="I1391" s="43"/>
    </row>
    <row r="1392" spans="2:9" ht="15">
      <c r="B1392" s="32">
        <v>2</v>
      </c>
      <c r="C1392" s="66" t="s">
        <v>48</v>
      </c>
      <c r="D1392" s="64">
        <v>41564</v>
      </c>
      <c r="E1392">
        <v>1.7252182118007831E-2</v>
      </c>
      <c r="F1392">
        <v>7.914490106385319E-2</v>
      </c>
      <c r="G1392" s="40">
        <f t="shared" si="54"/>
        <v>0</v>
      </c>
      <c r="H1392" s="33">
        <f t="shared" si="55"/>
        <v>-7.914490106385319E-2</v>
      </c>
      <c r="I1392" s="43"/>
    </row>
    <row r="1393" spans="2:9" ht="15">
      <c r="B1393" s="32">
        <v>2</v>
      </c>
      <c r="C1393" s="66" t="s">
        <v>48</v>
      </c>
      <c r="D1393" s="64">
        <v>41565</v>
      </c>
      <c r="E1393">
        <v>6.8780055815675922E-3</v>
      </c>
      <c r="F1393">
        <v>7.2073474476093524E-2</v>
      </c>
      <c r="G1393" s="40">
        <f t="shared" si="54"/>
        <v>0</v>
      </c>
      <c r="H1393" s="33">
        <f t="shared" si="55"/>
        <v>-7.2073474476093524E-2</v>
      </c>
      <c r="I1393" s="43"/>
    </row>
    <row r="1394" spans="2:9" ht="15">
      <c r="B1394" s="32">
        <v>2</v>
      </c>
      <c r="C1394" s="66" t="s">
        <v>48</v>
      </c>
      <c r="D1394" s="64">
        <v>41568</v>
      </c>
      <c r="E1394">
        <v>9.6854881223125133E-3</v>
      </c>
      <c r="F1394">
        <v>6.6224911803738212E-2</v>
      </c>
      <c r="G1394" s="40">
        <f t="shared" si="54"/>
        <v>0</v>
      </c>
      <c r="H1394" s="33">
        <f t="shared" si="55"/>
        <v>-6.6224911803738212E-2</v>
      </c>
      <c r="I1394" s="43"/>
    </row>
    <row r="1395" spans="2:9" ht="15">
      <c r="B1395" s="32">
        <v>2</v>
      </c>
      <c r="C1395" s="66" t="s">
        <v>48</v>
      </c>
      <c r="D1395" s="64">
        <v>41569</v>
      </c>
      <c r="E1395">
        <v>7.5285710905612646E-3</v>
      </c>
      <c r="F1395">
        <v>5.6194835625445194E-2</v>
      </c>
      <c r="G1395" s="40">
        <f t="shared" si="54"/>
        <v>0</v>
      </c>
      <c r="H1395" s="33">
        <f t="shared" si="55"/>
        <v>-5.6194835625445194E-2</v>
      </c>
      <c r="I1395" s="43"/>
    </row>
    <row r="1396" spans="2:9" ht="15">
      <c r="B1396" s="32">
        <v>2</v>
      </c>
      <c r="C1396" s="66" t="s">
        <v>48</v>
      </c>
      <c r="D1396" s="64">
        <v>41570</v>
      </c>
      <c r="E1396">
        <v>9.4547934512130283E-3</v>
      </c>
      <c r="F1396">
        <v>5.2627410140855091E-2</v>
      </c>
      <c r="G1396" s="40">
        <f t="shared" si="54"/>
        <v>0</v>
      </c>
      <c r="H1396" s="33">
        <f t="shared" si="55"/>
        <v>-5.2627410140855091E-2</v>
      </c>
      <c r="I1396" s="43"/>
    </row>
    <row r="1397" spans="2:9" ht="15">
      <c r="B1397" s="32">
        <v>2</v>
      </c>
      <c r="C1397" s="66" t="s">
        <v>48</v>
      </c>
      <c r="D1397" s="64">
        <v>41571</v>
      </c>
      <c r="E1397">
        <v>1.0458423550458562E-2</v>
      </c>
      <c r="F1397">
        <v>4.8311411526564402E-2</v>
      </c>
      <c r="G1397" s="40">
        <f t="shared" si="54"/>
        <v>0</v>
      </c>
      <c r="H1397" s="33">
        <f t="shared" si="55"/>
        <v>-4.8311411526564402E-2</v>
      </c>
      <c r="I1397" s="43"/>
    </row>
    <row r="1398" spans="2:9" ht="15">
      <c r="B1398" s="32">
        <v>2</v>
      </c>
      <c r="C1398" s="66" t="s">
        <v>48</v>
      </c>
      <c r="D1398" s="64">
        <v>41572</v>
      </c>
      <c r="E1398">
        <v>-7.1972273778788676E-3</v>
      </c>
      <c r="F1398">
        <v>4.2904674009873904E-2</v>
      </c>
      <c r="G1398" s="40">
        <f t="shared" si="54"/>
        <v>0</v>
      </c>
      <c r="H1398" s="33">
        <f t="shared" si="55"/>
        <v>-4.2904674009873904E-2</v>
      </c>
      <c r="I1398" s="43"/>
    </row>
    <row r="1399" spans="2:9" ht="15">
      <c r="B1399" s="32">
        <v>2</v>
      </c>
      <c r="C1399" s="66" t="s">
        <v>48</v>
      </c>
      <c r="D1399" s="64">
        <v>41575</v>
      </c>
      <c r="E1399">
        <v>4.8121653994694924E-3</v>
      </c>
      <c r="F1399">
        <v>4.0209248359473121E-2</v>
      </c>
      <c r="G1399" s="40">
        <f t="shared" si="54"/>
        <v>0</v>
      </c>
      <c r="H1399" s="33">
        <f t="shared" si="55"/>
        <v>-4.0209248359473121E-2</v>
      </c>
      <c r="I1399" s="43"/>
    </row>
    <row r="1400" spans="2:9" ht="15">
      <c r="B1400" s="32">
        <v>2</v>
      </c>
      <c r="C1400" s="66" t="s">
        <v>48</v>
      </c>
      <c r="D1400" s="64">
        <v>41576</v>
      </c>
      <c r="E1400">
        <v>-3.3825455201252908E-5</v>
      </c>
      <c r="F1400">
        <v>3.4508567193527476E-2</v>
      </c>
      <c r="G1400" s="40">
        <f t="shared" si="54"/>
        <v>0</v>
      </c>
      <c r="H1400" s="33">
        <f t="shared" si="55"/>
        <v>-3.4508567193527476E-2</v>
      </c>
      <c r="I1400" s="43"/>
    </row>
    <row r="1401" spans="2:9" ht="15">
      <c r="B1401" s="32">
        <v>2</v>
      </c>
      <c r="C1401" s="66" t="s">
        <v>48</v>
      </c>
      <c r="D1401" s="64">
        <v>41577</v>
      </c>
      <c r="E1401">
        <v>2.4808180381290512E-3</v>
      </c>
      <c r="F1401">
        <v>3.6432258670829262E-2</v>
      </c>
      <c r="G1401" s="40">
        <f t="shared" si="54"/>
        <v>0</v>
      </c>
      <c r="H1401" s="33">
        <f t="shared" si="55"/>
        <v>-3.6432258670829262E-2</v>
      </c>
      <c r="I1401" s="43"/>
    </row>
    <row r="1402" spans="2:9" ht="15">
      <c r="B1402" s="32">
        <v>2</v>
      </c>
      <c r="C1402" s="66" t="s">
        <v>48</v>
      </c>
      <c r="D1402" s="64">
        <v>41578</v>
      </c>
      <c r="E1402">
        <v>1.4390341822357655E-2</v>
      </c>
      <c r="F1402">
        <v>3.6300020631119381E-2</v>
      </c>
      <c r="G1402" s="40">
        <f t="shared" si="54"/>
        <v>0</v>
      </c>
      <c r="H1402" s="33">
        <f t="shared" si="55"/>
        <v>-3.6300020631119381E-2</v>
      </c>
      <c r="I1402" s="43"/>
    </row>
    <row r="1403" spans="2:9" ht="15">
      <c r="B1403" s="32">
        <v>2</v>
      </c>
      <c r="C1403" s="66" t="s">
        <v>48</v>
      </c>
      <c r="D1403" s="64">
        <v>41579</v>
      </c>
      <c r="E1403">
        <v>1.6316723930007271E-2</v>
      </c>
      <c r="F1403">
        <v>3.4248665820445903E-2</v>
      </c>
      <c r="G1403" s="40">
        <f t="shared" si="54"/>
        <v>0</v>
      </c>
      <c r="H1403" s="33">
        <f t="shared" si="55"/>
        <v>-3.4248665820445903E-2</v>
      </c>
      <c r="I1403" s="43"/>
    </row>
    <row r="1404" spans="2:9" ht="15">
      <c r="B1404" s="32">
        <v>2</v>
      </c>
      <c r="C1404" s="66" t="s">
        <v>48</v>
      </c>
      <c r="D1404" s="64">
        <v>41582</v>
      </c>
      <c r="E1404">
        <v>1.6965671088049916E-2</v>
      </c>
      <c r="F1404">
        <v>3.1175462706528961E-2</v>
      </c>
      <c r="G1404" s="40">
        <f t="shared" si="54"/>
        <v>0</v>
      </c>
      <c r="H1404" s="33">
        <f t="shared" si="55"/>
        <v>-3.1175462706528961E-2</v>
      </c>
      <c r="I1404" s="43"/>
    </row>
    <row r="1405" spans="2:9" ht="15">
      <c r="B1405" s="32">
        <v>2</v>
      </c>
      <c r="C1405" s="66" t="s">
        <v>48</v>
      </c>
      <c r="D1405" s="64">
        <v>41583</v>
      </c>
      <c r="E1405">
        <v>1.6070149181531157E-2</v>
      </c>
      <c r="F1405">
        <v>2.987097389363793E-2</v>
      </c>
      <c r="G1405" s="40">
        <f t="shared" si="54"/>
        <v>0</v>
      </c>
      <c r="H1405" s="33">
        <f t="shared" si="55"/>
        <v>-2.987097389363793E-2</v>
      </c>
      <c r="I1405" s="43"/>
    </row>
    <row r="1406" spans="2:9" ht="15">
      <c r="B1406" s="32">
        <v>2</v>
      </c>
      <c r="C1406" s="66" t="s">
        <v>48</v>
      </c>
      <c r="D1406" s="64">
        <v>41584</v>
      </c>
      <c r="E1406">
        <v>9.7686255925806265E-3</v>
      </c>
      <c r="F1406">
        <v>2.7605255201308885E-2</v>
      </c>
      <c r="G1406" s="40">
        <f t="shared" si="54"/>
        <v>0</v>
      </c>
      <c r="H1406" s="33">
        <f t="shared" si="55"/>
        <v>-2.7605255201308885E-2</v>
      </c>
      <c r="I1406" s="43"/>
    </row>
    <row r="1407" spans="2:9" ht="15">
      <c r="B1407" s="32">
        <v>2</v>
      </c>
      <c r="C1407" s="66" t="s">
        <v>48</v>
      </c>
      <c r="D1407" s="64">
        <v>41585</v>
      </c>
      <c r="E1407">
        <v>1.9396825700389364E-2</v>
      </c>
      <c r="F1407">
        <v>2.8691748445314295E-2</v>
      </c>
      <c r="G1407" s="40">
        <f t="shared" si="54"/>
        <v>0</v>
      </c>
      <c r="H1407" s="33">
        <f t="shared" si="55"/>
        <v>-2.8691748445314295E-2</v>
      </c>
      <c r="I1407" s="43"/>
    </row>
    <row r="1408" spans="2:9" ht="15">
      <c r="B1408" s="32">
        <v>2</v>
      </c>
      <c r="C1408" s="66" t="s">
        <v>48</v>
      </c>
      <c r="D1408" s="64">
        <v>41586</v>
      </c>
      <c r="E1408">
        <v>1.4154322586793278E-2</v>
      </c>
      <c r="F1408">
        <v>5.7107622404708319E-2</v>
      </c>
      <c r="G1408" s="40">
        <f t="shared" si="54"/>
        <v>0</v>
      </c>
      <c r="H1408" s="33">
        <f t="shared" si="55"/>
        <v>-5.7107622404708319E-2</v>
      </c>
      <c r="I1408" s="43"/>
    </row>
    <row r="1409" spans="2:9" ht="15">
      <c r="B1409" s="32">
        <v>2</v>
      </c>
      <c r="C1409" s="66" t="s">
        <v>48</v>
      </c>
      <c r="D1409" s="64">
        <v>41589</v>
      </c>
      <c r="E1409">
        <v>1.8380842524183372E-2</v>
      </c>
      <c r="F1409">
        <v>7.1021216975288293E-2</v>
      </c>
      <c r="G1409" s="40">
        <f t="shared" si="54"/>
        <v>0</v>
      </c>
      <c r="H1409" s="33">
        <f t="shared" si="55"/>
        <v>-7.1021216975288293E-2</v>
      </c>
      <c r="I1409" s="43"/>
    </row>
    <row r="1410" spans="2:9" ht="15">
      <c r="B1410" s="32">
        <v>2</v>
      </c>
      <c r="C1410" s="66" t="s">
        <v>48</v>
      </c>
      <c r="D1410" s="64">
        <v>41590</v>
      </c>
      <c r="E1410">
        <v>1.9489907220870961E-2</v>
      </c>
      <c r="F1410">
        <v>6.0329125637967489E-2</v>
      </c>
      <c r="G1410" s="40">
        <f t="shared" si="54"/>
        <v>0</v>
      </c>
      <c r="H1410" s="33">
        <f t="shared" si="55"/>
        <v>-6.0329125637967489E-2</v>
      </c>
      <c r="I1410" s="43"/>
    </row>
    <row r="1411" spans="2:9" ht="15">
      <c r="B1411" s="32">
        <v>2</v>
      </c>
      <c r="C1411" s="66" t="s">
        <v>48</v>
      </c>
      <c r="D1411" s="64">
        <v>41591</v>
      </c>
      <c r="E1411">
        <v>1.1576947766114287E-2</v>
      </c>
      <c r="F1411">
        <v>5.2017876414342107E-2</v>
      </c>
      <c r="G1411" s="40">
        <f t="shared" si="54"/>
        <v>0</v>
      </c>
      <c r="H1411" s="33">
        <f t="shared" si="55"/>
        <v>-5.2017876414342107E-2</v>
      </c>
      <c r="I1411" s="43"/>
    </row>
    <row r="1412" spans="2:9" ht="15">
      <c r="B1412" s="32">
        <v>2</v>
      </c>
      <c r="C1412" s="66" t="s">
        <v>48</v>
      </c>
      <c r="D1412" s="64">
        <v>41592</v>
      </c>
      <c r="E1412">
        <v>9.2333494291949592E-3</v>
      </c>
      <c r="F1412">
        <v>5.4159990801978732E-2</v>
      </c>
      <c r="G1412" s="40">
        <f t="shared" si="54"/>
        <v>0</v>
      </c>
      <c r="H1412" s="33">
        <f t="shared" si="55"/>
        <v>-5.4159990801978732E-2</v>
      </c>
      <c r="I1412" s="43"/>
    </row>
    <row r="1413" spans="2:9" ht="15">
      <c r="B1413" s="32">
        <v>2</v>
      </c>
      <c r="C1413" s="66" t="s">
        <v>48</v>
      </c>
      <c r="D1413" s="64">
        <v>41593</v>
      </c>
      <c r="E1413">
        <v>4.2342049563428574E-3</v>
      </c>
      <c r="F1413">
        <v>4.9647205163706201E-2</v>
      </c>
      <c r="G1413" s="40">
        <f t="shared" si="54"/>
        <v>0</v>
      </c>
      <c r="H1413" s="33">
        <f t="shared" si="55"/>
        <v>-4.9647205163706201E-2</v>
      </c>
      <c r="I1413" s="43"/>
    </row>
    <row r="1414" spans="2:9" ht="15">
      <c r="B1414" s="32">
        <v>2</v>
      </c>
      <c r="C1414" s="66" t="s">
        <v>48</v>
      </c>
      <c r="D1414" s="64">
        <v>41596</v>
      </c>
      <c r="E1414">
        <v>5.2165337167053849E-3</v>
      </c>
      <c r="F1414">
        <v>4.5206953925334067E-2</v>
      </c>
      <c r="G1414" s="40">
        <f t="shared" si="54"/>
        <v>0</v>
      </c>
      <c r="H1414" s="33">
        <f t="shared" si="55"/>
        <v>-4.5206953925334067E-2</v>
      </c>
      <c r="I1414" s="43"/>
    </row>
    <row r="1415" spans="2:9" ht="15">
      <c r="B1415" s="32">
        <v>2</v>
      </c>
      <c r="C1415" s="66" t="s">
        <v>48</v>
      </c>
      <c r="D1415" s="64">
        <v>41597</v>
      </c>
      <c r="E1415">
        <v>4.0636329015120154E-3</v>
      </c>
      <c r="F1415">
        <v>4.0981180601103957E-2</v>
      </c>
      <c r="G1415" s="40">
        <f t="shared" si="54"/>
        <v>0</v>
      </c>
      <c r="H1415" s="33">
        <f t="shared" si="55"/>
        <v>-4.0981180601103957E-2</v>
      </c>
      <c r="I1415" s="43"/>
    </row>
    <row r="1416" spans="2:9" ht="15">
      <c r="B1416" s="32">
        <v>2</v>
      </c>
      <c r="C1416" s="66" t="s">
        <v>48</v>
      </c>
      <c r="D1416" s="64">
        <v>41598</v>
      </c>
      <c r="E1416">
        <v>6.4015258853808987E-3</v>
      </c>
      <c r="F1416">
        <v>3.5673296390057049E-2</v>
      </c>
      <c r="G1416" s="40">
        <f t="shared" si="54"/>
        <v>0</v>
      </c>
      <c r="H1416" s="33">
        <f t="shared" si="55"/>
        <v>-3.5673296390057049E-2</v>
      </c>
      <c r="I1416" s="43"/>
    </row>
    <row r="1417" spans="2:9" ht="15">
      <c r="B1417" s="32">
        <v>2</v>
      </c>
      <c r="C1417" s="66" t="s">
        <v>48</v>
      </c>
      <c r="D1417" s="64">
        <v>41599</v>
      </c>
      <c r="E1417">
        <v>-6.0431960377194116E-3</v>
      </c>
      <c r="F1417">
        <v>3.3425775957724349E-2</v>
      </c>
      <c r="G1417" s="40">
        <f t="shared" si="54"/>
        <v>0</v>
      </c>
      <c r="H1417" s="33">
        <f t="shared" si="55"/>
        <v>-3.3425775957724349E-2</v>
      </c>
      <c r="I1417" s="43"/>
    </row>
    <row r="1418" spans="2:9" ht="15">
      <c r="B1418" s="32">
        <v>2</v>
      </c>
      <c r="C1418" s="66" t="s">
        <v>48</v>
      </c>
      <c r="D1418" s="64">
        <v>41600</v>
      </c>
      <c r="E1418">
        <v>1.8280870568698759E-4</v>
      </c>
      <c r="F1418">
        <v>4.2398087276214483E-2</v>
      </c>
      <c r="G1418" s="40">
        <f t="shared" si="54"/>
        <v>0</v>
      </c>
      <c r="H1418" s="33">
        <f t="shared" si="55"/>
        <v>-4.2398087276214483E-2</v>
      </c>
      <c r="I1418" s="43"/>
    </row>
    <row r="1419" spans="2:9" ht="15">
      <c r="B1419" s="32">
        <v>2</v>
      </c>
      <c r="C1419" s="66" t="s">
        <v>48</v>
      </c>
      <c r="D1419" s="64">
        <v>41603</v>
      </c>
      <c r="E1419">
        <v>3.2624009664532494E-3</v>
      </c>
      <c r="F1419">
        <v>4.0809837246582693E-2</v>
      </c>
      <c r="G1419" s="40">
        <f t="shared" ref="G1419:G1482" si="56">--(E1419&lt;-F1419)</f>
        <v>0</v>
      </c>
      <c r="H1419" s="33">
        <f t="shared" ref="H1419:H1482" si="57">-F1419</f>
        <v>-4.0809837246582693E-2</v>
      </c>
      <c r="I1419" s="43"/>
    </row>
    <row r="1420" spans="2:9" ht="15">
      <c r="B1420" s="32">
        <v>2</v>
      </c>
      <c r="C1420" s="66" t="s">
        <v>48</v>
      </c>
      <c r="D1420" s="64">
        <v>41604</v>
      </c>
      <c r="E1420">
        <v>-7.2117424972262256E-5</v>
      </c>
      <c r="F1420">
        <v>3.4976200620967658E-2</v>
      </c>
      <c r="G1420" s="40">
        <f t="shared" si="56"/>
        <v>0</v>
      </c>
      <c r="H1420" s="33">
        <f t="shared" si="57"/>
        <v>-3.4976200620967658E-2</v>
      </c>
      <c r="I1420" s="43"/>
    </row>
    <row r="1421" spans="2:9" ht="15">
      <c r="B1421" s="32">
        <v>2</v>
      </c>
      <c r="C1421" s="66" t="s">
        <v>48</v>
      </c>
      <c r="D1421" s="64">
        <v>41605</v>
      </c>
      <c r="E1421">
        <v>-1.3935513286080337E-2</v>
      </c>
      <c r="F1421">
        <v>2.9684018096279699E-2</v>
      </c>
      <c r="G1421" s="40">
        <f t="shared" si="56"/>
        <v>0</v>
      </c>
      <c r="H1421" s="33">
        <f t="shared" si="57"/>
        <v>-2.9684018096279699E-2</v>
      </c>
      <c r="I1421" s="43"/>
    </row>
    <row r="1422" spans="2:9" ht="15">
      <c r="B1422" s="32">
        <v>2</v>
      </c>
      <c r="C1422" s="66" t="s">
        <v>48</v>
      </c>
      <c r="D1422" s="64">
        <v>41607</v>
      </c>
      <c r="E1422">
        <v>-1.6927203859038897E-2</v>
      </c>
      <c r="F1422">
        <v>2.6977224017110245E-2</v>
      </c>
      <c r="G1422" s="40">
        <f t="shared" si="56"/>
        <v>0</v>
      </c>
      <c r="H1422" s="33">
        <f t="shared" si="57"/>
        <v>-2.6977224017110245E-2</v>
      </c>
      <c r="I1422" s="43"/>
    </row>
    <row r="1423" spans="2:9" ht="15">
      <c r="B1423" s="32">
        <v>2</v>
      </c>
      <c r="C1423" s="66" t="s">
        <v>48</v>
      </c>
      <c r="D1423" s="64">
        <v>41610</v>
      </c>
      <c r="E1423">
        <v>-1.4305895318763362E-2</v>
      </c>
      <c r="F1423">
        <v>2.3094511162629887E-2</v>
      </c>
      <c r="G1423" s="40">
        <f t="shared" si="56"/>
        <v>0</v>
      </c>
      <c r="H1423" s="33">
        <f t="shared" si="57"/>
        <v>-2.3094511162629887E-2</v>
      </c>
      <c r="I1423" s="43"/>
    </row>
    <row r="1424" spans="2:9" ht="15">
      <c r="B1424" s="32">
        <v>2</v>
      </c>
      <c r="C1424" s="66" t="s">
        <v>48</v>
      </c>
      <c r="D1424" s="64">
        <v>41611</v>
      </c>
      <c r="E1424">
        <v>-4.8077870688976176E-3</v>
      </c>
      <c r="F1424">
        <v>2.2278947687508568E-2</v>
      </c>
      <c r="G1424" s="40">
        <f t="shared" si="56"/>
        <v>0</v>
      </c>
      <c r="H1424" s="33">
        <f t="shared" si="57"/>
        <v>-2.2278947687508568E-2</v>
      </c>
      <c r="I1424" s="43"/>
    </row>
    <row r="1425" spans="2:9" ht="15">
      <c r="B1425" s="32">
        <v>2</v>
      </c>
      <c r="C1425" s="66" t="s">
        <v>48</v>
      </c>
      <c r="D1425" s="64">
        <v>41612</v>
      </c>
      <c r="E1425">
        <v>-6.6092499577541375E-3</v>
      </c>
      <c r="F1425">
        <v>2.263503385243068E-2</v>
      </c>
      <c r="G1425" s="40">
        <f t="shared" si="56"/>
        <v>0</v>
      </c>
      <c r="H1425" s="33">
        <f t="shared" si="57"/>
        <v>-2.263503385243068E-2</v>
      </c>
      <c r="I1425" s="43"/>
    </row>
    <row r="1426" spans="2:9" ht="15">
      <c r="B1426" s="32">
        <v>2</v>
      </c>
      <c r="C1426" s="66" t="s">
        <v>48</v>
      </c>
      <c r="D1426" s="64">
        <v>41613</v>
      </c>
      <c r="E1426">
        <v>1.425067202873187E-2</v>
      </c>
      <c r="F1426">
        <v>1.9866270516697981E-2</v>
      </c>
      <c r="G1426" s="40">
        <f t="shared" si="56"/>
        <v>0</v>
      </c>
      <c r="H1426" s="33">
        <f t="shared" si="57"/>
        <v>-1.9866270516697981E-2</v>
      </c>
      <c r="I1426" s="43"/>
    </row>
    <row r="1427" spans="2:9" ht="15">
      <c r="B1427" s="32">
        <v>2</v>
      </c>
      <c r="C1427" s="66" t="s">
        <v>48</v>
      </c>
      <c r="D1427" s="64">
        <v>41614</v>
      </c>
      <c r="E1427">
        <v>2.49537991509996E-3</v>
      </c>
      <c r="F1427">
        <v>2.3890797121692859E-2</v>
      </c>
      <c r="G1427" s="40">
        <f t="shared" si="56"/>
        <v>0</v>
      </c>
      <c r="H1427" s="33">
        <f t="shared" si="57"/>
        <v>-2.3890797121692859E-2</v>
      </c>
      <c r="I1427" s="43"/>
    </row>
    <row r="1428" spans="2:9" ht="15">
      <c r="B1428" s="32">
        <v>2</v>
      </c>
      <c r="C1428" s="66" t="s">
        <v>48</v>
      </c>
      <c r="D1428" s="64">
        <v>41617</v>
      </c>
      <c r="E1428">
        <v>5.4870838844003345E-3</v>
      </c>
      <c r="F1428">
        <v>4.7993486544336023E-2</v>
      </c>
      <c r="G1428" s="40">
        <f t="shared" si="56"/>
        <v>0</v>
      </c>
      <c r="H1428" s="33">
        <f t="shared" si="57"/>
        <v>-4.7993486544336023E-2</v>
      </c>
      <c r="I1428" s="43"/>
    </row>
    <row r="1429" spans="2:9" ht="15">
      <c r="B1429" s="32">
        <v>2</v>
      </c>
      <c r="C1429" s="66" t="s">
        <v>48</v>
      </c>
      <c r="D1429" s="64">
        <v>41618</v>
      </c>
      <c r="E1429">
        <v>1.3975837697228322E-2</v>
      </c>
      <c r="F1429">
        <v>4.1332469443669424E-2</v>
      </c>
      <c r="G1429" s="40">
        <f t="shared" si="56"/>
        <v>0</v>
      </c>
      <c r="H1429" s="33">
        <f t="shared" si="57"/>
        <v>-4.1332469443669424E-2</v>
      </c>
      <c r="I1429" s="43"/>
    </row>
    <row r="1430" spans="2:9" ht="15">
      <c r="B1430" s="32">
        <v>2</v>
      </c>
      <c r="C1430" s="66" t="s">
        <v>48</v>
      </c>
      <c r="D1430" s="64">
        <v>41619</v>
      </c>
      <c r="E1430">
        <v>2.8268739415098665E-2</v>
      </c>
      <c r="F1430">
        <v>3.7198394555626388E-2</v>
      </c>
      <c r="G1430" s="40">
        <f t="shared" si="56"/>
        <v>0</v>
      </c>
      <c r="H1430" s="33">
        <f t="shared" si="57"/>
        <v>-3.7198394555626388E-2</v>
      </c>
      <c r="I1430" s="43"/>
    </row>
    <row r="1431" spans="2:9" ht="15">
      <c r="B1431" s="32">
        <v>2</v>
      </c>
      <c r="C1431" s="66" t="s">
        <v>48</v>
      </c>
      <c r="D1431" s="64">
        <v>41620</v>
      </c>
      <c r="E1431">
        <v>3.678073299411011E-2</v>
      </c>
      <c r="F1431">
        <v>5.4398349140950389E-2</v>
      </c>
      <c r="G1431" s="40">
        <f t="shared" si="56"/>
        <v>0</v>
      </c>
      <c r="H1431" s="33">
        <f t="shared" si="57"/>
        <v>-5.4398349140950389E-2</v>
      </c>
      <c r="I1431" s="43"/>
    </row>
    <row r="1432" spans="2:9" ht="15">
      <c r="B1432" s="32">
        <v>2</v>
      </c>
      <c r="C1432" s="66" t="s">
        <v>48</v>
      </c>
      <c r="D1432" s="64">
        <v>41621</v>
      </c>
      <c r="E1432">
        <v>3.654550695349279E-2</v>
      </c>
      <c r="F1432">
        <v>4.8444418027994762E-2</v>
      </c>
      <c r="G1432" s="40">
        <f t="shared" si="56"/>
        <v>0</v>
      </c>
      <c r="H1432" s="33">
        <f t="shared" si="57"/>
        <v>-4.8444418027994762E-2</v>
      </c>
      <c r="I1432" s="43"/>
    </row>
    <row r="1433" spans="2:9" ht="15">
      <c r="B1433" s="32">
        <v>2</v>
      </c>
      <c r="C1433" s="66" t="s">
        <v>48</v>
      </c>
      <c r="D1433" s="64">
        <v>41624</v>
      </c>
      <c r="E1433">
        <v>3.0066084802097492E-2</v>
      </c>
      <c r="F1433">
        <v>4.1108347480308331E-2</v>
      </c>
      <c r="G1433" s="40">
        <f t="shared" si="56"/>
        <v>0</v>
      </c>
      <c r="H1433" s="33">
        <f t="shared" si="57"/>
        <v>-4.1108347480308331E-2</v>
      </c>
      <c r="I1433" s="43"/>
    </row>
    <row r="1434" spans="2:9" ht="15">
      <c r="B1434" s="32">
        <v>2</v>
      </c>
      <c r="C1434" s="66" t="s">
        <v>48</v>
      </c>
      <c r="D1434" s="64">
        <v>41625</v>
      </c>
      <c r="E1434">
        <v>3.7123747019403019E-2</v>
      </c>
      <c r="F1434">
        <v>4.2640227607632732E-2</v>
      </c>
      <c r="G1434" s="40">
        <f t="shared" si="56"/>
        <v>0</v>
      </c>
      <c r="H1434" s="33">
        <f t="shared" si="57"/>
        <v>-4.2640227607632732E-2</v>
      </c>
      <c r="I1434" s="43"/>
    </row>
    <row r="1435" spans="2:9" ht="15">
      <c r="B1435" s="32">
        <v>2</v>
      </c>
      <c r="C1435" s="66" t="s">
        <v>48</v>
      </c>
      <c r="D1435" s="64">
        <v>41626</v>
      </c>
      <c r="E1435">
        <v>1.1711428156613302E-2</v>
      </c>
      <c r="F1435">
        <v>3.8147939930233542E-2</v>
      </c>
      <c r="G1435" s="40">
        <f t="shared" si="56"/>
        <v>0</v>
      </c>
      <c r="H1435" s="33">
        <f t="shared" si="57"/>
        <v>-3.8147939930233542E-2</v>
      </c>
      <c r="I1435" s="43"/>
    </row>
    <row r="1436" spans="2:9" ht="15">
      <c r="B1436" s="32">
        <v>2</v>
      </c>
      <c r="C1436" s="66" t="s">
        <v>48</v>
      </c>
      <c r="D1436" s="64">
        <v>41627</v>
      </c>
      <c r="E1436">
        <v>1.1958504799231662E-2</v>
      </c>
      <c r="F1436">
        <v>7.1963417736462351E-2</v>
      </c>
      <c r="G1436" s="40">
        <f t="shared" si="56"/>
        <v>0</v>
      </c>
      <c r="H1436" s="33">
        <f t="shared" si="57"/>
        <v>-7.1963417736462351E-2</v>
      </c>
      <c r="I1436" s="43"/>
    </row>
    <row r="1437" spans="2:9" ht="15">
      <c r="B1437" s="32">
        <v>2</v>
      </c>
      <c r="C1437" s="66" t="s">
        <v>48</v>
      </c>
      <c r="D1437" s="64">
        <v>41628</v>
      </c>
      <c r="E1437">
        <v>4.6364228131574592E-3</v>
      </c>
      <c r="F1437">
        <v>6.1104724782526446E-2</v>
      </c>
      <c r="G1437" s="40">
        <f t="shared" si="56"/>
        <v>0</v>
      </c>
      <c r="H1437" s="33">
        <f t="shared" si="57"/>
        <v>-6.1104724782526446E-2</v>
      </c>
      <c r="I1437" s="43"/>
    </row>
    <row r="1438" spans="2:9" ht="15">
      <c r="B1438" s="32">
        <v>2</v>
      </c>
      <c r="C1438" s="66" t="s">
        <v>48</v>
      </c>
      <c r="D1438" s="64">
        <v>41631</v>
      </c>
      <c r="E1438">
        <v>5.3957390787466863E-3</v>
      </c>
      <c r="F1438">
        <v>5.5122596895593796E-2</v>
      </c>
      <c r="G1438" s="40">
        <f t="shared" si="56"/>
        <v>0</v>
      </c>
      <c r="H1438" s="33">
        <f t="shared" si="57"/>
        <v>-5.5122596895593796E-2</v>
      </c>
      <c r="I1438" s="43"/>
    </row>
    <row r="1439" spans="2:9" ht="15">
      <c r="B1439" s="32">
        <v>2</v>
      </c>
      <c r="C1439" s="66" t="s">
        <v>48</v>
      </c>
      <c r="D1439" s="64">
        <v>41632</v>
      </c>
      <c r="E1439">
        <v>2.2720031091321147E-3</v>
      </c>
      <c r="F1439">
        <v>5.1127528860561613E-2</v>
      </c>
      <c r="G1439" s="40">
        <f t="shared" si="56"/>
        <v>0</v>
      </c>
      <c r="H1439" s="33">
        <f t="shared" si="57"/>
        <v>-5.1127528860561613E-2</v>
      </c>
      <c r="I1439" s="43"/>
    </row>
    <row r="1440" spans="2:9" ht="15">
      <c r="B1440" s="32">
        <v>2</v>
      </c>
      <c r="C1440" s="66" t="s">
        <v>48</v>
      </c>
      <c r="D1440" s="64">
        <v>41634</v>
      </c>
      <c r="E1440">
        <v>-2.1140531893273362E-3</v>
      </c>
      <c r="F1440">
        <v>4.4839155054628502E-2</v>
      </c>
      <c r="G1440" s="40">
        <f t="shared" si="56"/>
        <v>0</v>
      </c>
      <c r="H1440" s="33">
        <f t="shared" si="57"/>
        <v>-4.4839155054628502E-2</v>
      </c>
      <c r="I1440" s="43"/>
    </row>
    <row r="1441" spans="2:9" ht="15">
      <c r="B1441" s="32">
        <v>2</v>
      </c>
      <c r="C1441" s="66" t="s">
        <v>48</v>
      </c>
      <c r="D1441" s="64">
        <v>41635</v>
      </c>
      <c r="E1441">
        <v>5.2661866371384036E-4</v>
      </c>
      <c r="F1441">
        <v>4.2275721725065538E-2</v>
      </c>
      <c r="G1441" s="40">
        <f t="shared" si="56"/>
        <v>0</v>
      </c>
      <c r="H1441" s="33">
        <f t="shared" si="57"/>
        <v>-4.2275721725065538E-2</v>
      </c>
      <c r="I1441" s="43"/>
    </row>
    <row r="1442" spans="2:9" ht="15">
      <c r="B1442" s="32">
        <v>2</v>
      </c>
      <c r="C1442" s="66" t="s">
        <v>48</v>
      </c>
      <c r="D1442" s="64">
        <v>41638</v>
      </c>
      <c r="E1442">
        <v>-1.1950077931792258E-2</v>
      </c>
      <c r="F1442">
        <v>3.5896067641254185E-2</v>
      </c>
      <c r="G1442" s="40">
        <f t="shared" si="56"/>
        <v>0</v>
      </c>
      <c r="H1442" s="33">
        <f t="shared" si="57"/>
        <v>-3.5896067641254185E-2</v>
      </c>
      <c r="I1442" s="43"/>
    </row>
    <row r="1443" spans="2:9" ht="15">
      <c r="B1443" s="32">
        <v>2</v>
      </c>
      <c r="C1443" s="66" t="s">
        <v>48</v>
      </c>
      <c r="D1443" s="64">
        <v>41639</v>
      </c>
      <c r="E1443">
        <v>-5.142057969569791E-3</v>
      </c>
      <c r="F1443">
        <v>3.0466816640248161E-2</v>
      </c>
      <c r="G1443" s="40">
        <f t="shared" si="56"/>
        <v>0</v>
      </c>
      <c r="H1443" s="33">
        <f t="shared" si="57"/>
        <v>-3.0466816640248161E-2</v>
      </c>
      <c r="I1443" s="43"/>
    </row>
    <row r="1444" spans="2:9" ht="15">
      <c r="B1444" s="32">
        <v>2</v>
      </c>
      <c r="C1444" s="66" t="s">
        <v>48</v>
      </c>
      <c r="D1444" s="64">
        <v>41641</v>
      </c>
      <c r="E1444">
        <v>8.9122442470825902E-3</v>
      </c>
      <c r="F1444">
        <v>3.0082803817345759E-2</v>
      </c>
      <c r="G1444" s="40">
        <f t="shared" si="56"/>
        <v>0</v>
      </c>
      <c r="H1444" s="33">
        <f t="shared" si="57"/>
        <v>-3.0082803817345759E-2</v>
      </c>
      <c r="I1444" s="43"/>
    </row>
    <row r="1445" spans="2:9" ht="15">
      <c r="B1445" s="32">
        <v>2</v>
      </c>
      <c r="C1445" s="66" t="s">
        <v>48</v>
      </c>
      <c r="D1445" s="64">
        <v>41642</v>
      </c>
      <c r="E1445">
        <v>7.8972362159923648E-3</v>
      </c>
      <c r="F1445">
        <v>4.3037849422577747E-2</v>
      </c>
      <c r="G1445" s="40">
        <f t="shared" si="56"/>
        <v>0</v>
      </c>
      <c r="H1445" s="33">
        <f t="shared" si="57"/>
        <v>-4.3037849422577747E-2</v>
      </c>
      <c r="I1445" s="43"/>
    </row>
    <row r="1446" spans="2:9" ht="15">
      <c r="B1446" s="32">
        <v>2</v>
      </c>
      <c r="C1446" s="66" t="s">
        <v>48</v>
      </c>
      <c r="D1446" s="64">
        <v>41645</v>
      </c>
      <c r="E1446">
        <v>6.5093825452144927E-3</v>
      </c>
      <c r="F1446">
        <v>3.6541828192311693E-2</v>
      </c>
      <c r="G1446" s="40">
        <f t="shared" si="56"/>
        <v>0</v>
      </c>
      <c r="H1446" s="33">
        <f t="shared" si="57"/>
        <v>-3.6541828192311693E-2</v>
      </c>
      <c r="I1446" s="43"/>
    </row>
    <row r="1447" spans="2:9" ht="15">
      <c r="B1447" s="32">
        <v>2</v>
      </c>
      <c r="C1447" s="66" t="s">
        <v>48</v>
      </c>
      <c r="D1447" s="64">
        <v>41646</v>
      </c>
      <c r="E1447">
        <v>3.2159497921728786E-3</v>
      </c>
      <c r="F1447">
        <v>3.2515569197093072E-2</v>
      </c>
      <c r="G1447" s="40">
        <f t="shared" si="56"/>
        <v>0</v>
      </c>
      <c r="H1447" s="33">
        <f t="shared" si="57"/>
        <v>-3.2515569197093072E-2</v>
      </c>
      <c r="I1447" s="43"/>
    </row>
    <row r="1448" spans="2:9" ht="15">
      <c r="B1448" s="32">
        <v>2</v>
      </c>
      <c r="C1448" s="66" t="s">
        <v>48</v>
      </c>
      <c r="D1448" s="64">
        <v>41647</v>
      </c>
      <c r="E1448">
        <v>4.0028812529255831E-3</v>
      </c>
      <c r="F1448">
        <v>3.6308776376283998E-2</v>
      </c>
      <c r="G1448" s="40">
        <f t="shared" si="56"/>
        <v>0</v>
      </c>
      <c r="H1448" s="33">
        <f t="shared" si="57"/>
        <v>-3.6308776376283998E-2</v>
      </c>
      <c r="I1448" s="43"/>
    </row>
    <row r="1449" spans="2:9" ht="15">
      <c r="B1449" s="32">
        <v>2</v>
      </c>
      <c r="C1449" s="66" t="s">
        <v>48</v>
      </c>
      <c r="D1449" s="64">
        <v>41648</v>
      </c>
      <c r="E1449">
        <v>-5.2746920217199289E-3</v>
      </c>
      <c r="F1449">
        <v>3.0820093344518126E-2</v>
      </c>
      <c r="G1449" s="40">
        <f t="shared" si="56"/>
        <v>0</v>
      </c>
      <c r="H1449" s="33">
        <f t="shared" si="57"/>
        <v>-3.0820093344518126E-2</v>
      </c>
      <c r="I1449" s="43"/>
    </row>
    <row r="1450" spans="2:9" ht="15">
      <c r="B1450" s="32">
        <v>2</v>
      </c>
      <c r="C1450" s="66" t="s">
        <v>48</v>
      </c>
      <c r="D1450" s="64">
        <v>41649</v>
      </c>
      <c r="E1450">
        <v>-2.8675143881248033E-2</v>
      </c>
      <c r="F1450">
        <v>2.618682914666411E-2</v>
      </c>
      <c r="G1450" s="40">
        <f t="shared" si="56"/>
        <v>1</v>
      </c>
      <c r="H1450" s="33">
        <f t="shared" si="57"/>
        <v>-2.618682914666411E-2</v>
      </c>
      <c r="I1450" s="43">
        <f t="shared" ref="I1414:I1477" si="58">IF(G1450=0,"",E1450)</f>
        <v>-2.8675143881248033E-2</v>
      </c>
    </row>
    <row r="1451" spans="2:9" ht="15">
      <c r="B1451" s="32">
        <v>2</v>
      </c>
      <c r="C1451" s="66" t="s">
        <v>48</v>
      </c>
      <c r="D1451" s="64">
        <v>41652</v>
      </c>
      <c r="E1451">
        <v>-2.0907398981981018E-2</v>
      </c>
      <c r="F1451">
        <v>2.3962098795219374E-2</v>
      </c>
      <c r="G1451" s="40">
        <f t="shared" si="56"/>
        <v>0</v>
      </c>
      <c r="H1451" s="33">
        <f t="shared" si="57"/>
        <v>-2.3962098795219374E-2</v>
      </c>
      <c r="I1451" s="43"/>
    </row>
    <row r="1452" spans="2:9" ht="15">
      <c r="B1452" s="32">
        <v>2</v>
      </c>
      <c r="C1452" s="66" t="s">
        <v>48</v>
      </c>
      <c r="D1452" s="64">
        <v>41653</v>
      </c>
      <c r="E1452">
        <v>-2.5545399865719354E-2</v>
      </c>
      <c r="F1452">
        <v>5.3296986659768911E-2</v>
      </c>
      <c r="G1452" s="40">
        <f t="shared" si="56"/>
        <v>0</v>
      </c>
      <c r="H1452" s="33">
        <f t="shared" si="57"/>
        <v>-5.3296986659768911E-2</v>
      </c>
      <c r="I1452" s="43"/>
    </row>
    <row r="1453" spans="2:9" ht="15">
      <c r="B1453" s="32">
        <v>2</v>
      </c>
      <c r="C1453" s="66" t="s">
        <v>48</v>
      </c>
      <c r="D1453" s="64">
        <v>41654</v>
      </c>
      <c r="E1453">
        <v>-4.095999300544495E-2</v>
      </c>
      <c r="F1453">
        <v>6.1640752733870013E-2</v>
      </c>
      <c r="G1453" s="40">
        <f t="shared" si="56"/>
        <v>0</v>
      </c>
      <c r="H1453" s="33">
        <f t="shared" si="57"/>
        <v>-6.1640752733870013E-2</v>
      </c>
      <c r="I1453" s="43"/>
    </row>
    <row r="1454" spans="2:9" ht="15">
      <c r="B1454" s="32">
        <v>2</v>
      </c>
      <c r="C1454" s="66" t="s">
        <v>48</v>
      </c>
      <c r="D1454" s="64">
        <v>41655</v>
      </c>
      <c r="E1454">
        <v>-2.8407920403408227E-2</v>
      </c>
      <c r="F1454">
        <v>5.6018335410769046E-2</v>
      </c>
      <c r="G1454" s="40">
        <f t="shared" si="56"/>
        <v>0</v>
      </c>
      <c r="H1454" s="33">
        <f t="shared" si="57"/>
        <v>-5.6018335410769046E-2</v>
      </c>
      <c r="I1454" s="43"/>
    </row>
    <row r="1455" spans="2:9" ht="15">
      <c r="B1455" s="32">
        <v>2</v>
      </c>
      <c r="C1455" s="66" t="s">
        <v>48</v>
      </c>
      <c r="D1455" s="64">
        <v>41656</v>
      </c>
      <c r="E1455">
        <v>-3.0991429686483052E-2</v>
      </c>
      <c r="F1455">
        <v>4.7821910231781888E-2</v>
      </c>
      <c r="G1455" s="40">
        <f t="shared" si="56"/>
        <v>0</v>
      </c>
      <c r="H1455" s="33">
        <f t="shared" si="57"/>
        <v>-4.7821910231781888E-2</v>
      </c>
      <c r="I1455" s="43"/>
    </row>
    <row r="1456" spans="2:9" ht="15">
      <c r="B1456" s="32">
        <v>2</v>
      </c>
      <c r="C1456" s="66" t="s">
        <v>48</v>
      </c>
      <c r="D1456" s="64">
        <v>41660</v>
      </c>
      <c r="E1456">
        <v>-5.6857946719455654E-2</v>
      </c>
      <c r="F1456">
        <v>4.3329018031156963E-2</v>
      </c>
      <c r="G1456" s="40">
        <f t="shared" si="56"/>
        <v>1</v>
      </c>
      <c r="H1456" s="33">
        <f t="shared" si="57"/>
        <v>-4.3329018031156963E-2</v>
      </c>
      <c r="I1456" s="43">
        <f t="shared" si="58"/>
        <v>-5.6857946719455654E-2</v>
      </c>
    </row>
    <row r="1457" spans="2:9" ht="15">
      <c r="B1457" s="32">
        <v>2</v>
      </c>
      <c r="C1457" s="66" t="s">
        <v>48</v>
      </c>
      <c r="D1457" s="64">
        <v>41661</v>
      </c>
      <c r="E1457">
        <v>-4.9820603102111782E-2</v>
      </c>
      <c r="F1457">
        <v>3.8314399076202516E-2</v>
      </c>
      <c r="G1457" s="40">
        <f t="shared" si="56"/>
        <v>1</v>
      </c>
      <c r="H1457" s="33">
        <f t="shared" si="57"/>
        <v>-3.8314399076202516E-2</v>
      </c>
      <c r="I1457" s="43">
        <f t="shared" si="58"/>
        <v>-4.9820603102111782E-2</v>
      </c>
    </row>
    <row r="1458" spans="2:9" ht="15">
      <c r="B1458" s="32">
        <v>2</v>
      </c>
      <c r="C1458" s="66" t="s">
        <v>48</v>
      </c>
      <c r="D1458" s="64">
        <v>41662</v>
      </c>
      <c r="E1458">
        <v>-4.2921560672315451E-2</v>
      </c>
      <c r="F1458">
        <v>3.2587726490171651E-2</v>
      </c>
      <c r="G1458" s="40">
        <f t="shared" si="56"/>
        <v>1</v>
      </c>
      <c r="H1458" s="33">
        <f t="shared" si="57"/>
        <v>-3.2587726490171651E-2</v>
      </c>
      <c r="I1458" s="43">
        <f t="shared" si="58"/>
        <v>-4.2921560672315451E-2</v>
      </c>
    </row>
    <row r="1459" spans="2:9" ht="15">
      <c r="B1459" s="32">
        <v>2</v>
      </c>
      <c r="C1459" s="66" t="s">
        <v>48</v>
      </c>
      <c r="D1459" s="64">
        <v>41663</v>
      </c>
      <c r="E1459">
        <v>-9.4620847602149283E-3</v>
      </c>
      <c r="F1459">
        <v>4.4416518178807277E-2</v>
      </c>
      <c r="G1459" s="40">
        <f t="shared" si="56"/>
        <v>0</v>
      </c>
      <c r="H1459" s="33">
        <f t="shared" si="57"/>
        <v>-4.4416518178807277E-2</v>
      </c>
      <c r="I1459" s="43"/>
    </row>
    <row r="1460" spans="2:9" ht="15">
      <c r="B1460" s="32">
        <v>2</v>
      </c>
      <c r="C1460" s="66" t="s">
        <v>48</v>
      </c>
      <c r="D1460" s="64">
        <v>41666</v>
      </c>
      <c r="E1460">
        <v>8.6403304323328101E-3</v>
      </c>
      <c r="F1460">
        <v>9.0357899533504205E-2</v>
      </c>
      <c r="G1460" s="40">
        <f t="shared" si="56"/>
        <v>0</v>
      </c>
      <c r="H1460" s="33">
        <f t="shared" si="57"/>
        <v>-9.0357899533504205E-2</v>
      </c>
      <c r="I1460" s="43"/>
    </row>
    <row r="1461" spans="2:9" ht="15">
      <c r="B1461" s="32">
        <v>2</v>
      </c>
      <c r="C1461" s="66" t="s">
        <v>48</v>
      </c>
      <c r="D1461" s="64">
        <v>41667</v>
      </c>
      <c r="E1461">
        <v>4.0864596801721831E-3</v>
      </c>
      <c r="F1461">
        <v>7.8997214033052723E-2</v>
      </c>
      <c r="G1461" s="40">
        <f t="shared" si="56"/>
        <v>0</v>
      </c>
      <c r="H1461" s="33">
        <f t="shared" si="57"/>
        <v>-7.8997214033052723E-2</v>
      </c>
      <c r="I1461" s="43"/>
    </row>
    <row r="1462" spans="2:9" ht="15">
      <c r="B1462" s="32">
        <v>2</v>
      </c>
      <c r="C1462" s="66" t="s">
        <v>48</v>
      </c>
      <c r="D1462" s="64">
        <v>41668</v>
      </c>
      <c r="E1462">
        <v>2.5349539529962328E-2</v>
      </c>
      <c r="F1462">
        <v>7.1141470981083157E-2</v>
      </c>
      <c r="G1462" s="40">
        <f t="shared" si="56"/>
        <v>0</v>
      </c>
      <c r="H1462" s="33">
        <f t="shared" si="57"/>
        <v>-7.1141470981083157E-2</v>
      </c>
      <c r="I1462" s="43"/>
    </row>
    <row r="1463" spans="2:9" ht="15">
      <c r="B1463" s="32">
        <v>2</v>
      </c>
      <c r="C1463" s="66" t="s">
        <v>48</v>
      </c>
      <c r="D1463" s="64">
        <v>41669</v>
      </c>
      <c r="E1463">
        <v>1.3876196768404014E-2</v>
      </c>
      <c r="F1463">
        <v>7.2385635919888239E-2</v>
      </c>
      <c r="G1463" s="40">
        <f t="shared" si="56"/>
        <v>0</v>
      </c>
      <c r="H1463" s="33">
        <f t="shared" si="57"/>
        <v>-7.2385635919888239E-2</v>
      </c>
      <c r="I1463" s="43"/>
    </row>
    <row r="1464" spans="2:9" ht="15">
      <c r="B1464" s="32">
        <v>2</v>
      </c>
      <c r="C1464" s="66" t="s">
        <v>48</v>
      </c>
      <c r="D1464" s="64">
        <v>41670</v>
      </c>
      <c r="E1464">
        <v>2.6155698475487377E-2</v>
      </c>
      <c r="F1464">
        <v>7.5331091278531548E-2</v>
      </c>
      <c r="G1464" s="40">
        <f t="shared" si="56"/>
        <v>0</v>
      </c>
      <c r="H1464" s="33">
        <f t="shared" si="57"/>
        <v>-7.5331091278531548E-2</v>
      </c>
      <c r="I1464" s="43"/>
    </row>
    <row r="1465" spans="2:9" ht="15">
      <c r="B1465" s="32">
        <v>2</v>
      </c>
      <c r="C1465" s="66" t="s">
        <v>48</v>
      </c>
      <c r="D1465" s="64">
        <v>41673</v>
      </c>
      <c r="E1465">
        <v>5.4049992558119264E-2</v>
      </c>
      <c r="F1465">
        <v>6.8726748426884504E-2</v>
      </c>
      <c r="G1465" s="40">
        <f t="shared" si="56"/>
        <v>0</v>
      </c>
      <c r="H1465" s="33">
        <f t="shared" si="57"/>
        <v>-6.8726748426884504E-2</v>
      </c>
      <c r="I1465" s="43"/>
    </row>
    <row r="1466" spans="2:9" ht="15">
      <c r="B1466" s="32">
        <v>2</v>
      </c>
      <c r="C1466" s="66" t="s">
        <v>48</v>
      </c>
      <c r="D1466" s="64">
        <v>41674</v>
      </c>
      <c r="E1466">
        <v>4.7595752630935628E-2</v>
      </c>
      <c r="F1466">
        <v>0.10716529925567196</v>
      </c>
      <c r="G1466" s="40">
        <f t="shared" si="56"/>
        <v>0</v>
      </c>
      <c r="H1466" s="33">
        <f t="shared" si="57"/>
        <v>-0.10716529925567196</v>
      </c>
      <c r="I1466" s="43"/>
    </row>
    <row r="1467" spans="2:9" ht="15">
      <c r="B1467" s="32">
        <v>2</v>
      </c>
      <c r="C1467" s="66" t="s">
        <v>48</v>
      </c>
      <c r="D1467" s="64">
        <v>41675</v>
      </c>
      <c r="E1467">
        <v>4.3080172840443964E-2</v>
      </c>
      <c r="F1467">
        <v>9.5638904208095774E-2</v>
      </c>
      <c r="G1467" s="40">
        <f t="shared" si="56"/>
        <v>0</v>
      </c>
      <c r="H1467" s="33">
        <f t="shared" si="57"/>
        <v>-9.5638904208095774E-2</v>
      </c>
      <c r="I1467" s="43"/>
    </row>
    <row r="1468" spans="2:9" ht="15">
      <c r="B1468" s="32">
        <v>2</v>
      </c>
      <c r="C1468" s="66" t="s">
        <v>48</v>
      </c>
      <c r="D1468" s="64">
        <v>41676</v>
      </c>
      <c r="E1468">
        <v>3.6730460090346639E-2</v>
      </c>
      <c r="F1468">
        <v>8.1536241071546639E-2</v>
      </c>
      <c r="G1468" s="40">
        <f t="shared" si="56"/>
        <v>0</v>
      </c>
      <c r="H1468" s="33">
        <f t="shared" si="57"/>
        <v>-8.1536241071546639E-2</v>
      </c>
      <c r="I1468" s="43"/>
    </row>
    <row r="1469" spans="2:9" ht="15">
      <c r="B1469" s="32">
        <v>2</v>
      </c>
      <c r="C1469" s="66" t="s">
        <v>48</v>
      </c>
      <c r="D1469" s="64">
        <v>41677</v>
      </c>
      <c r="E1469">
        <v>2.1595699976380445E-2</v>
      </c>
      <c r="F1469">
        <v>8.4278008666072254E-2</v>
      </c>
      <c r="G1469" s="40">
        <f t="shared" si="56"/>
        <v>0</v>
      </c>
      <c r="H1469" s="33">
        <f t="shared" si="57"/>
        <v>-8.4278008666072254E-2</v>
      </c>
      <c r="I1469" s="43"/>
    </row>
    <row r="1470" spans="2:9" ht="15">
      <c r="B1470" s="32">
        <v>2</v>
      </c>
      <c r="C1470" s="66" t="s">
        <v>48</v>
      </c>
      <c r="D1470" s="64">
        <v>41680</v>
      </c>
      <c r="E1470">
        <v>2.6195150696191938E-2</v>
      </c>
      <c r="F1470">
        <v>8.8090842317109008E-2</v>
      </c>
      <c r="G1470" s="40">
        <f t="shared" si="56"/>
        <v>0</v>
      </c>
      <c r="H1470" s="33">
        <f t="shared" si="57"/>
        <v>-8.8090842317109008E-2</v>
      </c>
      <c r="I1470" s="43"/>
    </row>
    <row r="1471" spans="2:9" ht="15">
      <c r="B1471" s="32">
        <v>2</v>
      </c>
      <c r="C1471" s="66" t="s">
        <v>48</v>
      </c>
      <c r="D1471" s="64">
        <v>41681</v>
      </c>
      <c r="E1471">
        <v>1.3845184301764846E-2</v>
      </c>
      <c r="F1471">
        <v>7.4996359768968721E-2</v>
      </c>
      <c r="G1471" s="40">
        <f t="shared" si="56"/>
        <v>0</v>
      </c>
      <c r="H1471" s="33">
        <f t="shared" si="57"/>
        <v>-7.4996359768968721E-2</v>
      </c>
      <c r="I1471" s="43"/>
    </row>
    <row r="1472" spans="2:9" ht="15">
      <c r="B1472" s="32">
        <v>2</v>
      </c>
      <c r="C1472" s="66" t="s">
        <v>48</v>
      </c>
      <c r="D1472" s="64">
        <v>41682</v>
      </c>
      <c r="E1472">
        <v>1.4136182528909025E-2</v>
      </c>
      <c r="F1472">
        <v>7.6704728638331041E-2</v>
      </c>
      <c r="G1472" s="40">
        <f t="shared" si="56"/>
        <v>0</v>
      </c>
      <c r="H1472" s="33">
        <f t="shared" si="57"/>
        <v>-7.6704728638331041E-2</v>
      </c>
      <c r="I1472" s="43"/>
    </row>
    <row r="1473" spans="2:9" ht="15">
      <c r="B1473" s="32">
        <v>2</v>
      </c>
      <c r="C1473" s="66" t="s">
        <v>48</v>
      </c>
      <c r="D1473" s="64">
        <v>41683</v>
      </c>
      <c r="E1473">
        <v>1.3278852180943268E-2</v>
      </c>
      <c r="F1473">
        <v>6.5094562200116057E-2</v>
      </c>
      <c r="G1473" s="40">
        <f t="shared" si="56"/>
        <v>0</v>
      </c>
      <c r="H1473" s="33">
        <f t="shared" si="57"/>
        <v>-6.5094562200116057E-2</v>
      </c>
      <c r="I1473" s="43"/>
    </row>
    <row r="1474" spans="2:9" ht="15">
      <c r="B1474" s="32">
        <v>2</v>
      </c>
      <c r="C1474" s="66" t="s">
        <v>48</v>
      </c>
      <c r="D1474" s="64">
        <v>41684</v>
      </c>
      <c r="E1474">
        <v>1.1259986924382126E-2</v>
      </c>
      <c r="F1474">
        <v>5.9660892582507216E-2</v>
      </c>
      <c r="G1474" s="40">
        <f t="shared" si="56"/>
        <v>0</v>
      </c>
      <c r="H1474" s="33">
        <f t="shared" si="57"/>
        <v>-5.9660892582507216E-2</v>
      </c>
      <c r="I1474" s="43"/>
    </row>
    <row r="1475" spans="2:9" ht="15">
      <c r="B1475" s="32">
        <v>2</v>
      </c>
      <c r="C1475" s="66" t="s">
        <v>48</v>
      </c>
      <c r="D1475" s="64">
        <v>41688</v>
      </c>
      <c r="E1475">
        <v>2.6963171062490687E-3</v>
      </c>
      <c r="F1475">
        <v>5.3959058680463419E-2</v>
      </c>
      <c r="G1475" s="40">
        <f t="shared" si="56"/>
        <v>0</v>
      </c>
      <c r="H1475" s="33">
        <f t="shared" si="57"/>
        <v>-5.3959058680463419E-2</v>
      </c>
      <c r="I1475" s="43"/>
    </row>
    <row r="1476" spans="2:9" ht="15">
      <c r="B1476" s="32">
        <v>2</v>
      </c>
      <c r="C1476" s="66" t="s">
        <v>48</v>
      </c>
      <c r="D1476" s="64">
        <v>41689</v>
      </c>
      <c r="E1476">
        <v>2.4394501840986571E-2</v>
      </c>
      <c r="F1476">
        <v>4.6007072808536852E-2</v>
      </c>
      <c r="G1476" s="40">
        <f t="shared" si="56"/>
        <v>0</v>
      </c>
      <c r="H1476" s="33">
        <f t="shared" si="57"/>
        <v>-4.6007072808536852E-2</v>
      </c>
      <c r="I1476" s="43"/>
    </row>
    <row r="1477" spans="2:9" ht="15">
      <c r="B1477" s="32">
        <v>2</v>
      </c>
      <c r="C1477" s="66" t="s">
        <v>48</v>
      </c>
      <c r="D1477" s="64">
        <v>41690</v>
      </c>
      <c r="E1477">
        <v>1.8327807738446111E-2</v>
      </c>
      <c r="F1477">
        <v>4.661847266498078E-2</v>
      </c>
      <c r="G1477" s="40">
        <f t="shared" si="56"/>
        <v>0</v>
      </c>
      <c r="H1477" s="33">
        <f t="shared" si="57"/>
        <v>-4.661847266498078E-2</v>
      </c>
      <c r="I1477" s="43"/>
    </row>
    <row r="1478" spans="2:9" ht="15">
      <c r="B1478" s="32">
        <v>2</v>
      </c>
      <c r="C1478" s="66" t="s">
        <v>48</v>
      </c>
      <c r="D1478" s="64">
        <v>41691</v>
      </c>
      <c r="E1478">
        <v>2.1965307372154186E-2</v>
      </c>
      <c r="F1478">
        <v>4.5964233216473749E-2</v>
      </c>
      <c r="G1478" s="40">
        <f t="shared" si="56"/>
        <v>0</v>
      </c>
      <c r="H1478" s="33">
        <f t="shared" si="57"/>
        <v>-4.5964233216473749E-2</v>
      </c>
      <c r="I1478" s="43"/>
    </row>
    <row r="1479" spans="2:9" ht="15">
      <c r="B1479" s="32">
        <v>2</v>
      </c>
      <c r="C1479" s="66" t="s">
        <v>48</v>
      </c>
      <c r="D1479" s="64">
        <v>41694</v>
      </c>
      <c r="E1479">
        <v>1.6335796712099615E-2</v>
      </c>
      <c r="F1479">
        <v>3.9712036464242977E-2</v>
      </c>
      <c r="G1479" s="40">
        <f t="shared" si="56"/>
        <v>0</v>
      </c>
      <c r="H1479" s="33">
        <f t="shared" si="57"/>
        <v>-3.9712036464242977E-2</v>
      </c>
      <c r="I1479" s="43"/>
    </row>
    <row r="1480" spans="2:9" ht="15">
      <c r="B1480" s="32">
        <v>2</v>
      </c>
      <c r="C1480" s="66" t="s">
        <v>48</v>
      </c>
      <c r="D1480" s="64">
        <v>41695</v>
      </c>
      <c r="E1480">
        <v>1.7221033683299858E-2</v>
      </c>
      <c r="F1480">
        <v>4.1374713374077741E-2</v>
      </c>
      <c r="G1480" s="40">
        <f t="shared" si="56"/>
        <v>0</v>
      </c>
      <c r="H1480" s="33">
        <f t="shared" si="57"/>
        <v>-4.1374713374077741E-2</v>
      </c>
      <c r="I1480" s="43"/>
    </row>
    <row r="1481" spans="2:9" ht="15">
      <c r="B1481" s="32">
        <v>2</v>
      </c>
      <c r="C1481" s="66" t="s">
        <v>48</v>
      </c>
      <c r="D1481" s="64">
        <v>41696</v>
      </c>
      <c r="E1481">
        <v>1.2104237033444321E-2</v>
      </c>
      <c r="F1481">
        <v>3.5497935632149591E-2</v>
      </c>
      <c r="G1481" s="40">
        <f t="shared" si="56"/>
        <v>0</v>
      </c>
      <c r="H1481" s="33">
        <f t="shared" si="57"/>
        <v>-3.5497935632149591E-2</v>
      </c>
      <c r="I1481" s="43"/>
    </row>
    <row r="1482" spans="2:9" ht="15">
      <c r="B1482" s="32">
        <v>2</v>
      </c>
      <c r="C1482" s="66" t="s">
        <v>48</v>
      </c>
      <c r="D1482" s="64">
        <v>41697</v>
      </c>
      <c r="E1482">
        <v>7.4734797298132705E-3</v>
      </c>
      <c r="F1482">
        <v>3.0121115648851636E-2</v>
      </c>
      <c r="G1482" s="40">
        <f t="shared" si="56"/>
        <v>0</v>
      </c>
      <c r="H1482" s="33">
        <f t="shared" si="57"/>
        <v>-3.0121115648851636E-2</v>
      </c>
      <c r="I1482" s="43"/>
    </row>
    <row r="1483" spans="2:9" ht="15">
      <c r="B1483" s="32">
        <v>2</v>
      </c>
      <c r="C1483" s="66" t="s">
        <v>48</v>
      </c>
      <c r="D1483" s="64">
        <v>41698</v>
      </c>
      <c r="E1483">
        <v>-7.0754359993596694E-3</v>
      </c>
      <c r="F1483">
        <v>3.1975327835955511E-2</v>
      </c>
      <c r="G1483" s="40">
        <f t="shared" ref="G1483:G1546" si="59">--(E1483&lt;-F1483)</f>
        <v>0</v>
      </c>
      <c r="H1483" s="33">
        <f t="shared" ref="H1483:H1546" si="60">-F1483</f>
        <v>-3.1975327835955511E-2</v>
      </c>
      <c r="I1483" s="43"/>
    </row>
    <row r="1484" spans="2:9" ht="15">
      <c r="B1484" s="32">
        <v>2</v>
      </c>
      <c r="C1484" s="66" t="s">
        <v>48</v>
      </c>
      <c r="D1484" s="64">
        <v>41701</v>
      </c>
      <c r="E1484">
        <v>-2.4953360884900633E-3</v>
      </c>
      <c r="F1484">
        <v>2.9208822325607654E-2</v>
      </c>
      <c r="G1484" s="40">
        <f t="shared" si="59"/>
        <v>0</v>
      </c>
      <c r="H1484" s="33">
        <f t="shared" si="60"/>
        <v>-2.9208822325607654E-2</v>
      </c>
      <c r="I1484" s="43"/>
    </row>
    <row r="1485" spans="2:9" ht="15">
      <c r="B1485" s="32">
        <v>2</v>
      </c>
      <c r="C1485" s="66" t="s">
        <v>48</v>
      </c>
      <c r="D1485" s="64">
        <v>41702</v>
      </c>
      <c r="E1485">
        <v>-8.079941320737305E-3</v>
      </c>
      <c r="F1485">
        <v>3.801819210037561E-2</v>
      </c>
      <c r="G1485" s="40">
        <f t="shared" si="59"/>
        <v>0</v>
      </c>
      <c r="H1485" s="33">
        <f t="shared" si="60"/>
        <v>-3.801819210037561E-2</v>
      </c>
      <c r="I1485" s="43"/>
    </row>
    <row r="1486" spans="2:9" ht="15">
      <c r="B1486" s="32">
        <v>2</v>
      </c>
      <c r="C1486" s="66" t="s">
        <v>48</v>
      </c>
      <c r="D1486" s="64">
        <v>41703</v>
      </c>
      <c r="E1486">
        <v>-8.3290660887325174E-4</v>
      </c>
      <c r="F1486">
        <v>6.7229209578329674E-2</v>
      </c>
      <c r="G1486" s="40">
        <f t="shared" si="59"/>
        <v>0</v>
      </c>
      <c r="H1486" s="33">
        <f t="shared" si="60"/>
        <v>-6.7229209578329674E-2</v>
      </c>
      <c r="I1486" s="43"/>
    </row>
    <row r="1487" spans="2:9" ht="15">
      <c r="B1487" s="32">
        <v>2</v>
      </c>
      <c r="C1487" s="66" t="s">
        <v>48</v>
      </c>
      <c r="D1487" s="64">
        <v>41704</v>
      </c>
      <c r="E1487">
        <v>-8.7003645755876491E-3</v>
      </c>
      <c r="F1487">
        <v>5.7046254043501395E-2</v>
      </c>
      <c r="G1487" s="40">
        <f t="shared" si="59"/>
        <v>0</v>
      </c>
      <c r="H1487" s="33">
        <f t="shared" si="60"/>
        <v>-5.7046254043501395E-2</v>
      </c>
      <c r="I1487" s="43"/>
    </row>
    <row r="1488" spans="2:9" ht="15">
      <c r="B1488" s="32">
        <v>2</v>
      </c>
      <c r="C1488" s="66" t="s">
        <v>48</v>
      </c>
      <c r="D1488" s="64">
        <v>41705</v>
      </c>
      <c r="E1488">
        <v>-3.2159753167757543E-3</v>
      </c>
      <c r="F1488">
        <v>4.8864587200643218E-2</v>
      </c>
      <c r="G1488" s="40">
        <f t="shared" si="59"/>
        <v>0</v>
      </c>
      <c r="H1488" s="33">
        <f t="shared" si="60"/>
        <v>-4.8864587200643218E-2</v>
      </c>
      <c r="I1488" s="43"/>
    </row>
    <row r="1489" spans="2:9" ht="15">
      <c r="B1489" s="32">
        <v>2</v>
      </c>
      <c r="C1489" s="66" t="s">
        <v>48</v>
      </c>
      <c r="D1489" s="64">
        <v>41708</v>
      </c>
      <c r="E1489">
        <v>-5.6896017286414136E-3</v>
      </c>
      <c r="F1489">
        <v>4.1515823570102868E-2</v>
      </c>
      <c r="G1489" s="40">
        <f t="shared" si="59"/>
        <v>0</v>
      </c>
      <c r="H1489" s="33">
        <f t="shared" si="60"/>
        <v>-4.1515823570102868E-2</v>
      </c>
      <c r="I1489" s="43"/>
    </row>
    <row r="1490" spans="2:9" ht="15">
      <c r="B1490" s="32">
        <v>2</v>
      </c>
      <c r="C1490" s="66" t="s">
        <v>48</v>
      </c>
      <c r="D1490" s="64">
        <v>41709</v>
      </c>
      <c r="E1490">
        <v>-5.4710862162528073E-3</v>
      </c>
      <c r="F1490">
        <v>3.5273490879657747E-2</v>
      </c>
      <c r="G1490" s="40">
        <f t="shared" si="59"/>
        <v>0</v>
      </c>
      <c r="H1490" s="33">
        <f t="shared" si="60"/>
        <v>-3.5273490879657747E-2</v>
      </c>
      <c r="I1490" s="43"/>
    </row>
    <row r="1491" spans="2:9" ht="15">
      <c r="B1491" s="32">
        <v>2</v>
      </c>
      <c r="C1491" s="66" t="s">
        <v>48</v>
      </c>
      <c r="D1491" s="64">
        <v>41710</v>
      </c>
      <c r="E1491">
        <v>-1.3819393799936464E-3</v>
      </c>
      <c r="F1491">
        <v>3.5905678818277172E-2</v>
      </c>
      <c r="G1491" s="40">
        <f t="shared" si="59"/>
        <v>0</v>
      </c>
      <c r="H1491" s="33">
        <f t="shared" si="60"/>
        <v>-3.5905678818277172E-2</v>
      </c>
      <c r="I1491" s="43"/>
    </row>
    <row r="1492" spans="2:9" ht="15">
      <c r="B1492" s="32">
        <v>2</v>
      </c>
      <c r="C1492" s="66" t="s">
        <v>48</v>
      </c>
      <c r="D1492" s="64">
        <v>41711</v>
      </c>
      <c r="E1492">
        <v>3.3632154537990289E-3</v>
      </c>
      <c r="F1492">
        <v>3.0490122655347646E-2</v>
      </c>
      <c r="G1492" s="40">
        <f t="shared" si="59"/>
        <v>0</v>
      </c>
      <c r="H1492" s="33">
        <f t="shared" si="60"/>
        <v>-3.0490122655347646E-2</v>
      </c>
      <c r="I1492" s="43"/>
    </row>
    <row r="1493" spans="2:9" ht="15">
      <c r="B1493" s="32">
        <v>2</v>
      </c>
      <c r="C1493" s="66" t="s">
        <v>48</v>
      </c>
      <c r="D1493" s="64">
        <v>41712</v>
      </c>
      <c r="E1493">
        <v>4.2870903078453537E-3</v>
      </c>
      <c r="F1493">
        <v>5.2617583588255412E-2</v>
      </c>
      <c r="G1493" s="40">
        <f t="shared" si="59"/>
        <v>0</v>
      </c>
      <c r="H1493" s="33">
        <f t="shared" si="60"/>
        <v>-5.2617583588255412E-2</v>
      </c>
      <c r="I1493" s="43"/>
    </row>
    <row r="1494" spans="2:9" ht="15">
      <c r="B1494" s="32">
        <v>2</v>
      </c>
      <c r="C1494" s="66" t="s">
        <v>48</v>
      </c>
      <c r="D1494" s="64">
        <v>41715</v>
      </c>
      <c r="E1494">
        <v>-6.5113807999761519E-4</v>
      </c>
      <c r="F1494">
        <v>4.5982580869431175E-2</v>
      </c>
      <c r="G1494" s="40">
        <f t="shared" si="59"/>
        <v>0</v>
      </c>
      <c r="H1494" s="33">
        <f t="shared" si="60"/>
        <v>-4.5982580869431175E-2</v>
      </c>
      <c r="I1494" s="43"/>
    </row>
    <row r="1495" spans="2:9" ht="15">
      <c r="B1495" s="32">
        <v>2</v>
      </c>
      <c r="C1495" s="66" t="s">
        <v>48</v>
      </c>
      <c r="D1495" s="64">
        <v>41716</v>
      </c>
      <c r="E1495">
        <v>4.8051188960229752E-5</v>
      </c>
      <c r="F1495">
        <v>5.3939951329087008E-2</v>
      </c>
      <c r="G1495" s="40">
        <f t="shared" si="59"/>
        <v>0</v>
      </c>
      <c r="H1495" s="33">
        <f t="shared" si="60"/>
        <v>-5.3939951329087008E-2</v>
      </c>
      <c r="I1495" s="43"/>
    </row>
    <row r="1496" spans="2:9" ht="15">
      <c r="B1496" s="32">
        <v>2</v>
      </c>
      <c r="C1496" s="66" t="s">
        <v>48</v>
      </c>
      <c r="D1496" s="64">
        <v>41717</v>
      </c>
      <c r="E1496">
        <v>1.3213264230632404E-2</v>
      </c>
      <c r="F1496">
        <v>5.3656523753485133E-2</v>
      </c>
      <c r="G1496" s="40">
        <f t="shared" si="59"/>
        <v>0</v>
      </c>
      <c r="H1496" s="33">
        <f t="shared" si="60"/>
        <v>-5.3656523753485133E-2</v>
      </c>
      <c r="I1496" s="43"/>
    </row>
    <row r="1497" spans="2:9" ht="15">
      <c r="B1497" s="32">
        <v>2</v>
      </c>
      <c r="C1497" s="66" t="s">
        <v>48</v>
      </c>
      <c r="D1497" s="64">
        <v>41718</v>
      </c>
      <c r="E1497">
        <v>1.0040193634079486E-2</v>
      </c>
      <c r="F1497">
        <v>5.1440547366728401E-2</v>
      </c>
      <c r="G1497" s="40">
        <f t="shared" si="59"/>
        <v>0</v>
      </c>
      <c r="H1497" s="33">
        <f t="shared" si="60"/>
        <v>-5.1440547366728401E-2</v>
      </c>
      <c r="I1497" s="43"/>
    </row>
    <row r="1498" spans="2:9" ht="15">
      <c r="B1498" s="32">
        <v>2</v>
      </c>
      <c r="C1498" s="66" t="s">
        <v>48</v>
      </c>
      <c r="D1498" s="64">
        <v>41719</v>
      </c>
      <c r="E1498">
        <v>1.1850088878895271E-2</v>
      </c>
      <c r="F1498">
        <v>4.954595093978395E-2</v>
      </c>
      <c r="G1498" s="40">
        <f t="shared" si="59"/>
        <v>0</v>
      </c>
      <c r="H1498" s="33">
        <f t="shared" si="60"/>
        <v>-4.954595093978395E-2</v>
      </c>
      <c r="I1498" s="43"/>
    </row>
    <row r="1499" spans="2:9" ht="15">
      <c r="B1499" s="32">
        <v>2</v>
      </c>
      <c r="C1499" s="66" t="s">
        <v>48</v>
      </c>
      <c r="D1499" s="64">
        <v>41722</v>
      </c>
      <c r="E1499">
        <v>4.1101272309598258E-3</v>
      </c>
      <c r="F1499">
        <v>4.3567959055794095E-2</v>
      </c>
      <c r="G1499" s="40">
        <f t="shared" si="59"/>
        <v>0</v>
      </c>
      <c r="H1499" s="33">
        <f t="shared" si="60"/>
        <v>-4.3567959055794095E-2</v>
      </c>
      <c r="I1499" s="43"/>
    </row>
    <row r="1500" spans="2:9" ht="15">
      <c r="B1500" s="32">
        <v>2</v>
      </c>
      <c r="C1500" s="66" t="s">
        <v>48</v>
      </c>
      <c r="D1500" s="64">
        <v>41723</v>
      </c>
      <c r="E1500">
        <v>-1.1092456236129422E-2</v>
      </c>
      <c r="F1500">
        <v>4.1557691421488789E-2</v>
      </c>
      <c r="G1500" s="40">
        <f t="shared" si="59"/>
        <v>0</v>
      </c>
      <c r="H1500" s="33">
        <f t="shared" si="60"/>
        <v>-4.1557691421488789E-2</v>
      </c>
      <c r="I1500" s="43"/>
    </row>
    <row r="1501" spans="2:9" ht="15">
      <c r="B1501" s="32">
        <v>2</v>
      </c>
      <c r="C1501" s="66" t="s">
        <v>48</v>
      </c>
      <c r="D1501" s="64">
        <v>41724</v>
      </c>
      <c r="E1501">
        <v>-3.2398151555934618E-4</v>
      </c>
      <c r="F1501">
        <v>3.9192786965877788E-2</v>
      </c>
      <c r="G1501" s="40">
        <f t="shared" si="59"/>
        <v>0</v>
      </c>
      <c r="H1501" s="33">
        <f t="shared" si="60"/>
        <v>-3.9192786965877788E-2</v>
      </c>
      <c r="I1501" s="43"/>
    </row>
    <row r="1502" spans="2:9" ht="15">
      <c r="B1502" s="32">
        <v>2</v>
      </c>
      <c r="C1502" s="66" t="s">
        <v>48</v>
      </c>
      <c r="D1502" s="64">
        <v>41725</v>
      </c>
      <c r="E1502">
        <v>1.2436949544126996E-2</v>
      </c>
      <c r="F1502">
        <v>4.3055606334751348E-2</v>
      </c>
      <c r="G1502" s="40">
        <f t="shared" si="59"/>
        <v>0</v>
      </c>
      <c r="H1502" s="33">
        <f t="shared" si="60"/>
        <v>-4.3055606334751348E-2</v>
      </c>
      <c r="I1502" s="43"/>
    </row>
    <row r="1503" spans="2:9" ht="15">
      <c r="B1503" s="32">
        <v>2</v>
      </c>
      <c r="C1503" s="66" t="s">
        <v>48</v>
      </c>
      <c r="D1503" s="64">
        <v>41726</v>
      </c>
      <c r="E1503">
        <v>-1.3298507591619213E-2</v>
      </c>
      <c r="F1503">
        <v>3.7276504351395158E-2</v>
      </c>
      <c r="G1503" s="40">
        <f t="shared" si="59"/>
        <v>0</v>
      </c>
      <c r="H1503" s="33">
        <f t="shared" si="60"/>
        <v>-3.7276504351395158E-2</v>
      </c>
      <c r="I1503" s="43"/>
    </row>
    <row r="1504" spans="2:9" ht="15">
      <c r="B1504" s="32">
        <v>2</v>
      </c>
      <c r="C1504" s="66" t="s">
        <v>48</v>
      </c>
      <c r="D1504" s="64">
        <v>41729</v>
      </c>
      <c r="E1504">
        <v>-3.072343906927788E-2</v>
      </c>
      <c r="F1504">
        <v>3.6403782785872425E-2</v>
      </c>
      <c r="G1504" s="40">
        <f t="shared" si="59"/>
        <v>0</v>
      </c>
      <c r="H1504" s="33">
        <f t="shared" si="60"/>
        <v>-3.6403782785872425E-2</v>
      </c>
      <c r="I1504" s="43"/>
    </row>
    <row r="1505" spans="2:9" ht="15">
      <c r="B1505" s="32">
        <v>2</v>
      </c>
      <c r="C1505" s="66" t="s">
        <v>48</v>
      </c>
      <c r="D1505" s="64">
        <v>41730</v>
      </c>
      <c r="E1505">
        <v>-2.9554419083688721E-2</v>
      </c>
      <c r="F1505">
        <v>4.3568122247075056E-2</v>
      </c>
      <c r="G1505" s="40">
        <f t="shared" si="59"/>
        <v>0</v>
      </c>
      <c r="H1505" s="33">
        <f t="shared" si="60"/>
        <v>-4.3568122247075056E-2</v>
      </c>
      <c r="I1505" s="43"/>
    </row>
    <row r="1506" spans="2:9" ht="15">
      <c r="B1506" s="32">
        <v>2</v>
      </c>
      <c r="C1506" s="66" t="s">
        <v>48</v>
      </c>
      <c r="D1506" s="64">
        <v>41731</v>
      </c>
      <c r="E1506">
        <v>-2.5669102992538662E-2</v>
      </c>
      <c r="F1506">
        <v>4.5960001632206537E-2</v>
      </c>
      <c r="G1506" s="40">
        <f t="shared" si="59"/>
        <v>0</v>
      </c>
      <c r="H1506" s="33">
        <f t="shared" si="60"/>
        <v>-4.5960001632206537E-2</v>
      </c>
      <c r="I1506" s="43"/>
    </row>
    <row r="1507" spans="2:9" ht="15">
      <c r="B1507" s="32">
        <v>2</v>
      </c>
      <c r="C1507" s="66" t="s">
        <v>48</v>
      </c>
      <c r="D1507" s="64">
        <v>41732</v>
      </c>
      <c r="E1507">
        <v>-1.4108149825429628E-2</v>
      </c>
      <c r="F1507">
        <v>4.0544922706021704E-2</v>
      </c>
      <c r="G1507" s="40">
        <f t="shared" si="59"/>
        <v>0</v>
      </c>
      <c r="H1507" s="33">
        <f t="shared" si="60"/>
        <v>-4.0544922706021704E-2</v>
      </c>
      <c r="I1507" s="43"/>
    </row>
    <row r="1508" spans="2:9" ht="15">
      <c r="B1508" s="32">
        <v>2</v>
      </c>
      <c r="C1508" s="66" t="s">
        <v>48</v>
      </c>
      <c r="D1508" s="64">
        <v>41733</v>
      </c>
      <c r="E1508">
        <v>-1.2868303729440811E-4</v>
      </c>
      <c r="F1508" s="65">
        <v>3.4682140810998928E-2</v>
      </c>
      <c r="G1508" s="40">
        <f t="shared" si="59"/>
        <v>0</v>
      </c>
      <c r="H1508" s="33">
        <f t="shared" si="60"/>
        <v>-3.4682140810998928E-2</v>
      </c>
      <c r="I1508" s="43"/>
    </row>
    <row r="1509" spans="2:9" ht="15">
      <c r="B1509" s="32">
        <v>2</v>
      </c>
      <c r="C1509" s="66" t="s">
        <v>48</v>
      </c>
      <c r="D1509" s="64">
        <v>41736</v>
      </c>
      <c r="E1509">
        <v>1.4447645046421265E-2</v>
      </c>
      <c r="F1509" s="65">
        <v>5.725480407743936E-2</v>
      </c>
      <c r="G1509" s="40">
        <f t="shared" si="59"/>
        <v>0</v>
      </c>
      <c r="H1509" s="33">
        <f t="shared" si="60"/>
        <v>-5.725480407743936E-2</v>
      </c>
      <c r="I1509" s="43"/>
    </row>
    <row r="1510" spans="2:9" ht="15">
      <c r="B1510" s="32">
        <v>2</v>
      </c>
      <c r="C1510" s="66" t="s">
        <v>48</v>
      </c>
      <c r="D1510" s="64">
        <v>41737</v>
      </c>
      <c r="E1510">
        <v>1.4787895898382253E-2</v>
      </c>
      <c r="F1510" s="65">
        <v>6.4268532746009549E-2</v>
      </c>
      <c r="G1510" s="40">
        <f t="shared" si="59"/>
        <v>0</v>
      </c>
      <c r="H1510" s="33">
        <f t="shared" si="60"/>
        <v>-6.4268532746009549E-2</v>
      </c>
      <c r="I1510" s="43"/>
    </row>
    <row r="1511" spans="2:9" ht="15">
      <c r="B1511" s="32">
        <v>2</v>
      </c>
      <c r="C1511" s="66" t="s">
        <v>48</v>
      </c>
      <c r="D1511" s="64">
        <v>41738</v>
      </c>
      <c r="E1511">
        <v>1.7130896692600928E-3</v>
      </c>
      <c r="F1511" s="65">
        <v>5.6447138753571768E-2</v>
      </c>
      <c r="G1511" s="40">
        <f t="shared" si="59"/>
        <v>0</v>
      </c>
      <c r="H1511" s="33">
        <f t="shared" si="60"/>
        <v>-5.6447138753571768E-2</v>
      </c>
      <c r="I1511" s="43"/>
    </row>
    <row r="1512" spans="2:9" ht="15">
      <c r="B1512" s="32">
        <v>2</v>
      </c>
      <c r="C1512" s="66" t="s">
        <v>48</v>
      </c>
      <c r="D1512" s="64">
        <v>41739</v>
      </c>
      <c r="E1512">
        <v>2.453454549161016E-2</v>
      </c>
      <c r="F1512" s="65">
        <v>6.3882546551151526E-2</v>
      </c>
      <c r="G1512" s="40">
        <f t="shared" si="59"/>
        <v>0</v>
      </c>
      <c r="H1512" s="33">
        <f t="shared" si="60"/>
        <v>-6.3882546551151526E-2</v>
      </c>
      <c r="I1512" s="43"/>
    </row>
    <row r="1513" spans="2:9" ht="15">
      <c r="B1513" s="32">
        <v>2</v>
      </c>
      <c r="C1513" s="66" t="s">
        <v>48</v>
      </c>
      <c r="D1513" s="64">
        <v>41740</v>
      </c>
      <c r="E1513">
        <v>2.5937260646847982E-2</v>
      </c>
      <c r="F1513" s="65">
        <v>9.8430304891489462E-2</v>
      </c>
      <c r="G1513" s="40">
        <f t="shared" si="59"/>
        <v>0</v>
      </c>
      <c r="H1513" s="33">
        <f t="shared" si="60"/>
        <v>-9.8430304891489462E-2</v>
      </c>
      <c r="I1513" s="43"/>
    </row>
    <row r="1514" spans="2:9" ht="15">
      <c r="B1514" s="32">
        <v>2</v>
      </c>
      <c r="C1514" s="66" t="s">
        <v>48</v>
      </c>
      <c r="D1514" s="64">
        <v>41743</v>
      </c>
      <c r="E1514">
        <v>2.0984364003745704E-2</v>
      </c>
      <c r="F1514" s="65">
        <v>9.1392394135516239E-2</v>
      </c>
      <c r="G1514" s="40">
        <f t="shared" si="59"/>
        <v>0</v>
      </c>
      <c r="H1514" s="33">
        <f t="shared" si="60"/>
        <v>-9.1392394135516239E-2</v>
      </c>
      <c r="I1514" s="43"/>
    </row>
    <row r="1515" spans="2:9" ht="15">
      <c r="B1515" s="32">
        <v>2</v>
      </c>
      <c r="C1515" s="66" t="s">
        <v>48</v>
      </c>
      <c r="D1515" s="64">
        <v>41744</v>
      </c>
      <c r="E1515">
        <v>1.8999244869231546E-2</v>
      </c>
      <c r="F1515" s="65">
        <v>8.3837423926747645E-2</v>
      </c>
      <c r="G1515" s="40">
        <f t="shared" si="59"/>
        <v>0</v>
      </c>
      <c r="H1515" s="33">
        <f t="shared" si="60"/>
        <v>-8.3837423926747645E-2</v>
      </c>
      <c r="I1515" s="43"/>
    </row>
    <row r="1516" spans="2:9" ht="15">
      <c r="B1516" s="32">
        <v>2</v>
      </c>
      <c r="C1516" s="66" t="s">
        <v>48</v>
      </c>
      <c r="D1516" s="64">
        <v>41745</v>
      </c>
      <c r="E1516">
        <v>1.1552926188564072E-2</v>
      </c>
      <c r="F1516" s="65">
        <v>7.5815204867451011E-2</v>
      </c>
      <c r="G1516" s="40">
        <f t="shared" si="59"/>
        <v>0</v>
      </c>
      <c r="H1516" s="33">
        <f t="shared" si="60"/>
        <v>-7.5815204867451011E-2</v>
      </c>
      <c r="I1516" s="43"/>
    </row>
    <row r="1517" spans="2:9" ht="15">
      <c r="B1517" s="32">
        <v>2</v>
      </c>
      <c r="C1517" s="66" t="s">
        <v>48</v>
      </c>
      <c r="D1517" s="64">
        <v>41746</v>
      </c>
      <c r="E1517">
        <v>1.0046730977933294E-2</v>
      </c>
      <c r="F1517" s="65">
        <v>7.6080183618610672E-2</v>
      </c>
      <c r="G1517" s="40">
        <f t="shared" si="59"/>
        <v>0</v>
      </c>
      <c r="H1517" s="33">
        <f t="shared" si="60"/>
        <v>-7.6080183618610672E-2</v>
      </c>
      <c r="I1517" s="43"/>
    </row>
    <row r="1518" spans="2:9" ht="15">
      <c r="B1518" s="32">
        <v>2</v>
      </c>
      <c r="C1518" s="66" t="s">
        <v>48</v>
      </c>
      <c r="D1518" s="64">
        <v>41750</v>
      </c>
      <c r="E1518">
        <v>4.9293603601459068E-3</v>
      </c>
      <c r="F1518" s="65">
        <v>6.4773822739756015E-2</v>
      </c>
      <c r="G1518" s="40">
        <f t="shared" si="59"/>
        <v>0</v>
      </c>
      <c r="H1518" s="33">
        <f t="shared" si="60"/>
        <v>-6.4773822739756015E-2</v>
      </c>
      <c r="I1518" s="43"/>
    </row>
    <row r="1519" spans="2:9" ht="15">
      <c r="B1519" s="32">
        <v>2</v>
      </c>
      <c r="C1519" s="66" t="s">
        <v>48</v>
      </c>
      <c r="D1519" s="64">
        <v>41751</v>
      </c>
      <c r="E1519">
        <v>2.7150387604937265E-3</v>
      </c>
      <c r="F1519" s="65">
        <v>5.6885959372660812E-2</v>
      </c>
      <c r="G1519" s="40">
        <f t="shared" si="59"/>
        <v>0</v>
      </c>
      <c r="H1519" s="33">
        <f t="shared" si="60"/>
        <v>-5.6885959372660812E-2</v>
      </c>
      <c r="I1519" s="43"/>
    </row>
    <row r="1520" spans="2:9" ht="15">
      <c r="B1520" s="32">
        <v>2</v>
      </c>
      <c r="C1520" s="66" t="s">
        <v>48</v>
      </c>
      <c r="D1520" s="64">
        <v>41752</v>
      </c>
      <c r="E1520">
        <v>-4.0982256806980644E-3</v>
      </c>
      <c r="F1520" s="65">
        <v>5.0819736266764476E-2</v>
      </c>
      <c r="G1520" s="40">
        <f t="shared" si="59"/>
        <v>0</v>
      </c>
      <c r="H1520" s="33">
        <f t="shared" si="60"/>
        <v>-5.0819736266764476E-2</v>
      </c>
      <c r="I1520" s="43"/>
    </row>
    <row r="1521" spans="2:9" ht="15">
      <c r="B1521" s="32">
        <v>2</v>
      </c>
      <c r="C1521" s="66" t="s">
        <v>48</v>
      </c>
      <c r="D1521" s="64">
        <v>41753</v>
      </c>
      <c r="E1521">
        <v>-2.1295883606953225E-4</v>
      </c>
      <c r="F1521" s="65">
        <v>4.3976150696019352E-2</v>
      </c>
      <c r="G1521" s="40">
        <f t="shared" si="59"/>
        <v>0</v>
      </c>
      <c r="H1521" s="33">
        <f t="shared" si="60"/>
        <v>-4.3976150696019352E-2</v>
      </c>
      <c r="I1521" s="43"/>
    </row>
    <row r="1522" spans="2:9" ht="15">
      <c r="B1522" s="32">
        <v>2</v>
      </c>
      <c r="C1522" s="66" t="s">
        <v>48</v>
      </c>
      <c r="D1522" s="64">
        <v>41754</v>
      </c>
      <c r="E1522">
        <v>6.541816738915962E-3</v>
      </c>
      <c r="F1522" s="65">
        <v>3.7907835048140756E-2</v>
      </c>
      <c r="G1522" s="40">
        <f t="shared" si="59"/>
        <v>0</v>
      </c>
      <c r="H1522" s="33">
        <f t="shared" si="60"/>
        <v>-3.7907835048140756E-2</v>
      </c>
      <c r="I1522" s="43"/>
    </row>
    <row r="1523" spans="2:9" ht="15">
      <c r="B1523" s="32">
        <v>2</v>
      </c>
      <c r="C1523" s="66" t="s">
        <v>48</v>
      </c>
      <c r="D1523" s="64">
        <v>41757</v>
      </c>
      <c r="E1523">
        <v>4.8293280824438511E-3</v>
      </c>
      <c r="F1523" s="65">
        <v>4.5122808650961757E-2</v>
      </c>
      <c r="G1523" s="40">
        <f t="shared" si="59"/>
        <v>0</v>
      </c>
      <c r="H1523" s="33">
        <f t="shared" si="60"/>
        <v>-4.5122808650961757E-2</v>
      </c>
      <c r="I1523" s="43"/>
    </row>
    <row r="1524" spans="2:9" ht="15">
      <c r="B1524" s="32">
        <v>2</v>
      </c>
      <c r="C1524" s="66" t="s">
        <v>48</v>
      </c>
      <c r="D1524" s="64">
        <v>41758</v>
      </c>
      <c r="E1524">
        <v>9.7061239650901854E-3</v>
      </c>
      <c r="F1524" s="65">
        <v>4.0300635491154153E-2</v>
      </c>
      <c r="G1524" s="40">
        <f t="shared" si="59"/>
        <v>0</v>
      </c>
      <c r="H1524" s="33">
        <f t="shared" si="60"/>
        <v>-4.0300635491154153E-2</v>
      </c>
      <c r="I1524" s="43"/>
    </row>
    <row r="1525" spans="2:9" ht="15">
      <c r="B1525" s="32">
        <v>2</v>
      </c>
      <c r="C1525" s="66" t="s">
        <v>48</v>
      </c>
      <c r="D1525" s="64">
        <v>41759</v>
      </c>
      <c r="E1525">
        <v>7.1402431405198641E-3</v>
      </c>
      <c r="F1525" s="65">
        <v>3.8874161392262983E-2</v>
      </c>
      <c r="G1525" s="40">
        <f t="shared" si="59"/>
        <v>0</v>
      </c>
      <c r="H1525" s="33">
        <f t="shared" si="60"/>
        <v>-3.8874161392262983E-2</v>
      </c>
      <c r="I1525" s="43"/>
    </row>
    <row r="1526" spans="2:9" ht="15">
      <c r="B1526" s="32">
        <v>2</v>
      </c>
      <c r="C1526" s="66" t="s">
        <v>48</v>
      </c>
      <c r="D1526" s="64">
        <v>41760</v>
      </c>
      <c r="E1526">
        <v>2.5714250085302481E-3</v>
      </c>
      <c r="F1526" s="65">
        <v>3.4975911973536222E-2</v>
      </c>
      <c r="G1526" s="40">
        <f t="shared" si="59"/>
        <v>0</v>
      </c>
      <c r="H1526" s="33">
        <f t="shared" si="60"/>
        <v>-3.4975911973536222E-2</v>
      </c>
      <c r="I1526" s="43"/>
    </row>
    <row r="1527" spans="2:9" ht="15">
      <c r="B1527" s="32">
        <v>2</v>
      </c>
      <c r="C1527" s="66" t="s">
        <v>48</v>
      </c>
      <c r="D1527" s="64">
        <v>41761</v>
      </c>
      <c r="E1527">
        <v>-5.4851238004438585E-3</v>
      </c>
      <c r="F1527" s="65">
        <v>2.9683285345631673E-2</v>
      </c>
      <c r="G1527" s="40">
        <f t="shared" si="59"/>
        <v>0</v>
      </c>
      <c r="H1527" s="33">
        <f t="shared" si="60"/>
        <v>-2.9683285345631673E-2</v>
      </c>
      <c r="I1527" s="43"/>
    </row>
    <row r="1528" spans="2:9" ht="15">
      <c r="B1528" s="32">
        <v>2</v>
      </c>
      <c r="C1528" s="66" t="s">
        <v>48</v>
      </c>
      <c r="D1528" s="64">
        <v>41764</v>
      </c>
      <c r="E1528">
        <v>-3.6146286900899938E-3</v>
      </c>
      <c r="F1528" s="65">
        <v>2.5728984876514302E-2</v>
      </c>
      <c r="G1528" s="40">
        <f t="shared" si="59"/>
        <v>0</v>
      </c>
      <c r="H1528" s="33">
        <f t="shared" si="60"/>
        <v>-2.5728984876514302E-2</v>
      </c>
      <c r="I1528" s="43"/>
    </row>
    <row r="1529" spans="2:9" ht="15">
      <c r="B1529" s="32">
        <v>2</v>
      </c>
      <c r="C1529" s="66" t="s">
        <v>48</v>
      </c>
      <c r="D1529" s="64">
        <v>41765</v>
      </c>
      <c r="E1529">
        <v>9.2518168655155719E-3</v>
      </c>
      <c r="F1529" s="65">
        <v>2.3012724345185039E-2</v>
      </c>
      <c r="G1529" s="40">
        <f t="shared" si="59"/>
        <v>0</v>
      </c>
      <c r="H1529" s="33">
        <f t="shared" si="60"/>
        <v>-2.3012724345185039E-2</v>
      </c>
      <c r="I1529" s="43"/>
    </row>
    <row r="1530" spans="2:9" ht="15">
      <c r="B1530" s="32">
        <v>2</v>
      </c>
      <c r="C1530" s="66" t="s">
        <v>48</v>
      </c>
      <c r="D1530" s="64">
        <v>41766</v>
      </c>
      <c r="E1530">
        <v>-2.8685424885761535E-3</v>
      </c>
      <c r="F1530" s="65">
        <v>4.0207592719757074E-2</v>
      </c>
      <c r="G1530" s="40">
        <f t="shared" si="59"/>
        <v>0</v>
      </c>
      <c r="H1530" s="33">
        <f t="shared" si="60"/>
        <v>-4.0207592719757074E-2</v>
      </c>
      <c r="I1530" s="43"/>
    </row>
    <row r="1531" spans="2:9" ht="15">
      <c r="B1531" s="32">
        <v>2</v>
      </c>
      <c r="C1531" s="66" t="s">
        <v>48</v>
      </c>
      <c r="D1531" s="64">
        <v>41767</v>
      </c>
      <c r="E1531">
        <v>6.5893671347145855E-3</v>
      </c>
      <c r="F1531" s="65">
        <v>4.0488567483031063E-2</v>
      </c>
      <c r="G1531" s="40">
        <f t="shared" si="59"/>
        <v>0</v>
      </c>
      <c r="H1531" s="33">
        <f t="shared" si="60"/>
        <v>-4.0488567483031063E-2</v>
      </c>
      <c r="I1531" s="43"/>
    </row>
    <row r="1532" spans="2:9" ht="15">
      <c r="B1532" s="32">
        <v>2</v>
      </c>
      <c r="C1532" s="66" t="s">
        <v>48</v>
      </c>
      <c r="D1532" s="64">
        <v>41768</v>
      </c>
      <c r="E1532">
        <v>7.4304884799607507E-3</v>
      </c>
      <c r="F1532" s="65">
        <v>3.4769880884213289E-2</v>
      </c>
      <c r="G1532" s="40">
        <f t="shared" si="59"/>
        <v>0</v>
      </c>
      <c r="H1532" s="33">
        <f t="shared" si="60"/>
        <v>-3.4769880884213289E-2</v>
      </c>
      <c r="I1532" s="43"/>
    </row>
    <row r="1533" spans="2:9" ht="15">
      <c r="B1533" s="32">
        <v>2</v>
      </c>
      <c r="C1533" s="66" t="s">
        <v>48</v>
      </c>
      <c r="D1533" s="64">
        <v>41771</v>
      </c>
      <c r="E1533">
        <v>2.0436251619448953E-3</v>
      </c>
      <c r="F1533" s="65">
        <v>3.0089418455587002E-2</v>
      </c>
      <c r="G1533" s="40">
        <f t="shared" si="59"/>
        <v>0</v>
      </c>
      <c r="H1533" s="33">
        <f t="shared" si="60"/>
        <v>-3.0089418455587002E-2</v>
      </c>
      <c r="I1533" s="43"/>
    </row>
    <row r="1534" spans="2:9" ht="15">
      <c r="B1534" s="32">
        <v>2</v>
      </c>
      <c r="C1534" s="66" t="s">
        <v>48</v>
      </c>
      <c r="D1534" s="64">
        <v>41772</v>
      </c>
      <c r="E1534">
        <v>7.5919065196830005E-3</v>
      </c>
      <c r="F1534" s="65">
        <v>4.5343650990091133E-2</v>
      </c>
      <c r="G1534" s="40">
        <f t="shared" si="59"/>
        <v>0</v>
      </c>
      <c r="H1534" s="33">
        <f t="shared" si="60"/>
        <v>-4.5343650990091133E-2</v>
      </c>
      <c r="I1534" s="43"/>
    </row>
    <row r="1535" spans="2:9" ht="15">
      <c r="B1535" s="32">
        <v>2</v>
      </c>
      <c r="C1535" s="66" t="s">
        <v>48</v>
      </c>
      <c r="D1535" s="64">
        <v>41773</v>
      </c>
      <c r="E1535">
        <v>1.1189303339791401E-2</v>
      </c>
      <c r="F1535" s="65">
        <v>3.851036148416765E-2</v>
      </c>
      <c r="G1535" s="40">
        <f t="shared" si="59"/>
        <v>0</v>
      </c>
      <c r="H1535" s="33">
        <f t="shared" si="60"/>
        <v>-3.851036148416765E-2</v>
      </c>
      <c r="I1535" s="43"/>
    </row>
    <row r="1536" spans="2:9" ht="15">
      <c r="B1536" s="32">
        <v>2</v>
      </c>
      <c r="C1536" s="66" t="s">
        <v>48</v>
      </c>
      <c r="D1536" s="64">
        <v>41774</v>
      </c>
      <c r="E1536">
        <v>2.5947965803395867E-2</v>
      </c>
      <c r="F1536" s="65">
        <v>3.7473394389729867E-2</v>
      </c>
      <c r="G1536" s="40">
        <f t="shared" si="59"/>
        <v>0</v>
      </c>
      <c r="H1536" s="33">
        <f t="shared" si="60"/>
        <v>-3.7473394389729867E-2</v>
      </c>
      <c r="I1536" s="43"/>
    </row>
    <row r="1537" spans="2:9" ht="15">
      <c r="B1537" s="32">
        <v>2</v>
      </c>
      <c r="C1537" s="66" t="s">
        <v>48</v>
      </c>
      <c r="D1537" s="64">
        <v>41775</v>
      </c>
      <c r="E1537">
        <v>2.4049983840380484E-2</v>
      </c>
      <c r="F1537" s="65">
        <v>4.8494249152738922E-2</v>
      </c>
      <c r="G1537" s="40">
        <f t="shared" si="59"/>
        <v>0</v>
      </c>
      <c r="H1537" s="33">
        <f t="shared" si="60"/>
        <v>-4.8494249152738922E-2</v>
      </c>
      <c r="I1537" s="43"/>
    </row>
    <row r="1538" spans="2:9" ht="15">
      <c r="B1538" s="32">
        <v>2</v>
      </c>
      <c r="C1538" s="66" t="s">
        <v>48</v>
      </c>
      <c r="D1538" s="64">
        <v>41778</v>
      </c>
      <c r="E1538">
        <v>2.0940131161028219E-2</v>
      </c>
      <c r="F1538" s="65">
        <v>4.3648281578233583E-2</v>
      </c>
      <c r="G1538" s="40">
        <f t="shared" si="59"/>
        <v>0</v>
      </c>
      <c r="H1538" s="33">
        <f t="shared" si="60"/>
        <v>-4.3648281578233583E-2</v>
      </c>
      <c r="I1538" s="43"/>
    </row>
    <row r="1539" spans="2:9" ht="15">
      <c r="B1539" s="32">
        <v>2</v>
      </c>
      <c r="C1539" s="66" t="s">
        <v>48</v>
      </c>
      <c r="D1539" s="64">
        <v>41779</v>
      </c>
      <c r="E1539">
        <v>2.7080447024201426E-2</v>
      </c>
      <c r="F1539" s="65">
        <v>3.9935797780551757E-2</v>
      </c>
      <c r="G1539" s="40">
        <f t="shared" si="59"/>
        <v>0</v>
      </c>
      <c r="H1539" s="33">
        <f t="shared" si="60"/>
        <v>-3.9935797780551757E-2</v>
      </c>
      <c r="I1539" s="43"/>
    </row>
    <row r="1540" spans="2:9" ht="15">
      <c r="B1540" s="32">
        <v>2</v>
      </c>
      <c r="C1540" s="66" t="s">
        <v>48</v>
      </c>
      <c r="D1540" s="64">
        <v>41780</v>
      </c>
      <c r="E1540">
        <v>2.0886983393444858E-2</v>
      </c>
      <c r="F1540" s="65">
        <v>4.2336743202821651E-2</v>
      </c>
      <c r="G1540" s="40">
        <f t="shared" si="59"/>
        <v>0</v>
      </c>
      <c r="H1540" s="33">
        <f t="shared" si="60"/>
        <v>-4.2336743202821651E-2</v>
      </c>
      <c r="I1540" s="43"/>
    </row>
    <row r="1541" spans="2:9" ht="15">
      <c r="B1541" s="32">
        <v>2</v>
      </c>
      <c r="C1541" s="66" t="s">
        <v>48</v>
      </c>
      <c r="D1541" s="64">
        <v>41781</v>
      </c>
      <c r="E1541">
        <v>2.5031621256420777E-2</v>
      </c>
      <c r="F1541" s="65">
        <v>4.7756159071122961E-2</v>
      </c>
      <c r="G1541" s="40">
        <f t="shared" si="59"/>
        <v>0</v>
      </c>
      <c r="H1541" s="33">
        <f t="shared" si="60"/>
        <v>-4.7756159071122961E-2</v>
      </c>
      <c r="I1541" s="43"/>
    </row>
    <row r="1542" spans="2:9" ht="15">
      <c r="B1542" s="32">
        <v>2</v>
      </c>
      <c r="C1542" s="66" t="s">
        <v>48</v>
      </c>
      <c r="D1542" s="64">
        <v>41782</v>
      </c>
      <c r="E1542">
        <v>2.540931167831495E-2</v>
      </c>
      <c r="F1542" s="65">
        <v>4.1550290289526948E-2</v>
      </c>
      <c r="G1542" s="40">
        <f t="shared" si="59"/>
        <v>0</v>
      </c>
      <c r="H1542" s="33">
        <f t="shared" si="60"/>
        <v>-4.1550290289526948E-2</v>
      </c>
      <c r="I1542" s="43"/>
    </row>
    <row r="1543" spans="2:9" ht="15">
      <c r="B1543" s="32">
        <v>2</v>
      </c>
      <c r="C1543" s="66" t="s">
        <v>48</v>
      </c>
      <c r="D1543" s="64">
        <v>41786</v>
      </c>
      <c r="E1543">
        <v>2.0377692709669937E-2</v>
      </c>
      <c r="F1543" s="65">
        <v>3.8927743388644701E-2</v>
      </c>
      <c r="G1543" s="40">
        <f t="shared" si="59"/>
        <v>0</v>
      </c>
      <c r="H1543" s="33">
        <f t="shared" si="60"/>
        <v>-3.8927743388644701E-2</v>
      </c>
      <c r="I1543" s="43"/>
    </row>
    <row r="1544" spans="2:9" ht="15">
      <c r="B1544" s="32">
        <v>2</v>
      </c>
      <c r="C1544" s="66" t="s">
        <v>48</v>
      </c>
      <c r="D1544" s="64">
        <v>41787</v>
      </c>
      <c r="E1544">
        <v>2.1246371367050543E-2</v>
      </c>
      <c r="F1544" s="65">
        <v>4.0387302929532215E-2</v>
      </c>
      <c r="G1544" s="40">
        <f t="shared" si="59"/>
        <v>0</v>
      </c>
      <c r="H1544" s="33">
        <f t="shared" si="60"/>
        <v>-4.0387302929532215E-2</v>
      </c>
      <c r="I1544" s="43"/>
    </row>
    <row r="1545" spans="2:9" ht="15">
      <c r="B1545" s="32">
        <v>2</v>
      </c>
      <c r="C1545" s="66" t="s">
        <v>48</v>
      </c>
      <c r="D1545" s="64">
        <v>41788</v>
      </c>
      <c r="E1545">
        <v>1.2350301770085892E-2</v>
      </c>
      <c r="F1545" s="65">
        <v>3.4543381987471075E-2</v>
      </c>
      <c r="G1545" s="40">
        <f t="shared" si="59"/>
        <v>0</v>
      </c>
      <c r="H1545" s="33">
        <f t="shared" si="60"/>
        <v>-3.4543381987471075E-2</v>
      </c>
      <c r="I1545" s="43"/>
    </row>
    <row r="1546" spans="2:9" ht="15">
      <c r="B1546" s="32">
        <v>2</v>
      </c>
      <c r="C1546" s="66" t="s">
        <v>48</v>
      </c>
      <c r="D1546" s="64">
        <v>41789</v>
      </c>
      <c r="E1546">
        <v>3.394181870726598E-3</v>
      </c>
      <c r="F1546" s="65">
        <v>3.5962611594645526E-2</v>
      </c>
      <c r="G1546" s="40">
        <f t="shared" si="59"/>
        <v>0</v>
      </c>
      <c r="H1546" s="33">
        <f t="shared" si="60"/>
        <v>-3.5962611594645526E-2</v>
      </c>
      <c r="I1546" s="43"/>
    </row>
    <row r="1547" spans="2:9" ht="15">
      <c r="B1547" s="32">
        <v>2</v>
      </c>
      <c r="C1547" s="66" t="s">
        <v>48</v>
      </c>
      <c r="D1547" s="64">
        <v>41792</v>
      </c>
      <c r="E1547">
        <v>5.7962794905828119E-3</v>
      </c>
      <c r="F1547" s="65">
        <v>3.134639239804296E-2</v>
      </c>
      <c r="G1547" s="40">
        <f t="shared" ref="G1547:G1610" si="61">--(E1547&lt;-F1547)</f>
        <v>0</v>
      </c>
      <c r="H1547" s="33">
        <f t="shared" ref="H1547:H1610" si="62">-F1547</f>
        <v>-3.134639239804296E-2</v>
      </c>
      <c r="I1547" s="43"/>
    </row>
    <row r="1548" spans="2:9" ht="15">
      <c r="B1548" s="32">
        <v>2</v>
      </c>
      <c r="C1548" s="66" t="s">
        <v>48</v>
      </c>
      <c r="D1548" s="64">
        <v>41793</v>
      </c>
      <c r="E1548">
        <v>7.0119235065311258E-3</v>
      </c>
      <c r="F1548" s="65">
        <v>2.6748657696844275E-2</v>
      </c>
      <c r="G1548" s="40">
        <f t="shared" si="61"/>
        <v>0</v>
      </c>
      <c r="H1548" s="33">
        <f t="shared" si="62"/>
        <v>-2.6748657696844275E-2</v>
      </c>
      <c r="I1548" s="43"/>
    </row>
    <row r="1549" spans="2:9" ht="15">
      <c r="B1549" s="32">
        <v>2</v>
      </c>
      <c r="C1549" s="66" t="s">
        <v>48</v>
      </c>
      <c r="D1549" s="64">
        <v>41794</v>
      </c>
      <c r="E1549">
        <v>7.292259194985995E-3</v>
      </c>
      <c r="F1549" s="65">
        <v>2.2744960967916554E-2</v>
      </c>
      <c r="G1549" s="40">
        <f t="shared" si="61"/>
        <v>0</v>
      </c>
      <c r="H1549" s="33">
        <f t="shared" si="62"/>
        <v>-2.2744960967916554E-2</v>
      </c>
      <c r="I1549" s="43"/>
    </row>
    <row r="1550" spans="2:9" ht="15">
      <c r="B1550" s="32">
        <v>2</v>
      </c>
      <c r="C1550" s="66" t="s">
        <v>48</v>
      </c>
      <c r="D1550" s="64">
        <v>41795</v>
      </c>
      <c r="E1550">
        <v>8.4774201457902265E-3</v>
      </c>
      <c r="F1550" s="65">
        <v>2.0654345814549786E-2</v>
      </c>
      <c r="G1550" s="40">
        <f t="shared" si="61"/>
        <v>0</v>
      </c>
      <c r="H1550" s="33">
        <f t="shared" si="62"/>
        <v>-2.0654345814549786E-2</v>
      </c>
      <c r="I1550" s="43"/>
    </row>
    <row r="1551" spans="2:9" ht="15">
      <c r="B1551" s="32">
        <v>2</v>
      </c>
      <c r="C1551" s="66" t="s">
        <v>48</v>
      </c>
      <c r="D1551" s="64">
        <v>41796</v>
      </c>
      <c r="E1551">
        <v>5.13700013384355E-3</v>
      </c>
      <c r="F1551" s="65">
        <v>3.0792611900172493E-2</v>
      </c>
      <c r="G1551" s="40">
        <f t="shared" si="61"/>
        <v>0</v>
      </c>
      <c r="H1551" s="33">
        <f t="shared" si="62"/>
        <v>-3.0792611900172493E-2</v>
      </c>
      <c r="I1551" s="43"/>
    </row>
    <row r="1552" spans="2:9" ht="15">
      <c r="B1552" s="32">
        <v>2</v>
      </c>
      <c r="C1552" s="66" t="s">
        <v>48</v>
      </c>
      <c r="D1552" s="64">
        <v>41799</v>
      </c>
      <c r="E1552">
        <v>5.9272325039314566E-3</v>
      </c>
      <c r="F1552" s="65">
        <v>3.1713137602717441E-2</v>
      </c>
      <c r="G1552" s="40">
        <f t="shared" si="61"/>
        <v>0</v>
      </c>
      <c r="H1552" s="33">
        <f t="shared" si="62"/>
        <v>-3.1713137602717441E-2</v>
      </c>
      <c r="I1552" s="43"/>
    </row>
    <row r="1553" spans="2:9" ht="15">
      <c r="B1553" s="32">
        <v>2</v>
      </c>
      <c r="C1553" s="66" t="s">
        <v>48</v>
      </c>
      <c r="D1553" s="64">
        <v>41800</v>
      </c>
      <c r="E1553">
        <v>6.0407736857497341E-3</v>
      </c>
      <c r="F1553" s="65">
        <v>2.7156262507809666E-2</v>
      </c>
      <c r="G1553" s="40">
        <f t="shared" si="61"/>
        <v>0</v>
      </c>
      <c r="H1553" s="33">
        <f t="shared" si="62"/>
        <v>-2.7156262507809666E-2</v>
      </c>
      <c r="I1553" s="43"/>
    </row>
    <row r="1554" spans="2:9" ht="15">
      <c r="B1554" s="32">
        <v>2</v>
      </c>
      <c r="C1554" s="66" t="s">
        <v>48</v>
      </c>
      <c r="D1554" s="64">
        <v>41801</v>
      </c>
      <c r="E1554">
        <v>3.1279780646480404E-3</v>
      </c>
      <c r="F1554" s="65">
        <v>2.3062744635899583E-2</v>
      </c>
      <c r="G1554" s="40">
        <f t="shared" si="61"/>
        <v>0</v>
      </c>
      <c r="H1554" s="33">
        <f t="shared" si="62"/>
        <v>-2.3062744635899583E-2</v>
      </c>
      <c r="I1554" s="43"/>
    </row>
    <row r="1555" spans="2:9" ht="15">
      <c r="B1555" s="32">
        <v>2</v>
      </c>
      <c r="C1555" s="66" t="s">
        <v>48</v>
      </c>
      <c r="D1555" s="64">
        <v>41802</v>
      </c>
      <c r="E1555">
        <v>1.5127675028161036E-2</v>
      </c>
      <c r="F1555" s="65">
        <v>2.3941835098787483E-2</v>
      </c>
      <c r="G1555" s="40">
        <f t="shared" si="61"/>
        <v>0</v>
      </c>
      <c r="H1555" s="33">
        <f t="shared" si="62"/>
        <v>-2.3941835098787483E-2</v>
      </c>
      <c r="I1555" s="43"/>
    </row>
    <row r="1556" spans="2:9" ht="15">
      <c r="B1556" s="32">
        <v>2</v>
      </c>
      <c r="C1556" s="66" t="s">
        <v>48</v>
      </c>
      <c r="D1556" s="64">
        <v>41803</v>
      </c>
      <c r="E1556">
        <v>1.0818436615295468E-2</v>
      </c>
      <c r="F1556" s="65">
        <v>3.4345827189060048E-2</v>
      </c>
      <c r="G1556" s="40">
        <f t="shared" si="61"/>
        <v>0</v>
      </c>
      <c r="H1556" s="33">
        <f t="shared" si="62"/>
        <v>-3.4345827189060048E-2</v>
      </c>
      <c r="I1556" s="43"/>
    </row>
    <row r="1557" spans="2:9" ht="15">
      <c r="B1557" s="32">
        <v>2</v>
      </c>
      <c r="C1557" s="66" t="s">
        <v>48</v>
      </c>
      <c r="D1557" s="64">
        <v>41806</v>
      </c>
      <c r="E1557">
        <v>1.189112646318069E-2</v>
      </c>
      <c r="F1557" s="65">
        <v>3.158735345871759E-2</v>
      </c>
      <c r="G1557" s="40">
        <f t="shared" si="61"/>
        <v>0</v>
      </c>
      <c r="H1557" s="33">
        <f t="shared" si="62"/>
        <v>-3.158735345871759E-2</v>
      </c>
      <c r="I1557" s="43"/>
    </row>
    <row r="1558" spans="2:9" ht="15">
      <c r="B1558" s="32">
        <v>2</v>
      </c>
      <c r="C1558" s="66" t="s">
        <v>48</v>
      </c>
      <c r="D1558" s="64">
        <v>41807</v>
      </c>
      <c r="E1558">
        <v>9.3485877177723609E-3</v>
      </c>
      <c r="F1558" s="65">
        <v>2.6999767294073419E-2</v>
      </c>
      <c r="G1558" s="40">
        <f t="shared" si="61"/>
        <v>0</v>
      </c>
      <c r="H1558" s="33">
        <f t="shared" si="62"/>
        <v>-2.6999767294073419E-2</v>
      </c>
      <c r="I1558" s="43"/>
    </row>
    <row r="1559" spans="2:9" ht="15">
      <c r="B1559" s="32">
        <v>2</v>
      </c>
      <c r="C1559" s="66" t="s">
        <v>48</v>
      </c>
      <c r="D1559" s="64">
        <v>41808</v>
      </c>
      <c r="E1559">
        <v>8.3149176653494195E-3</v>
      </c>
      <c r="F1559" s="65">
        <v>2.4418032719439216E-2</v>
      </c>
      <c r="G1559" s="40">
        <f t="shared" si="61"/>
        <v>0</v>
      </c>
      <c r="H1559" s="33">
        <f t="shared" si="62"/>
        <v>-2.4418032719439216E-2</v>
      </c>
      <c r="I1559" s="43"/>
    </row>
    <row r="1560" spans="2:9" ht="15">
      <c r="B1560" s="32">
        <v>2</v>
      </c>
      <c r="C1560" s="66" t="s">
        <v>48</v>
      </c>
      <c r="D1560" s="64">
        <v>41809</v>
      </c>
      <c r="E1560">
        <v>7.6968505321399761E-3</v>
      </c>
      <c r="F1560" s="65">
        <v>3.6403625508640174E-2</v>
      </c>
      <c r="G1560" s="40">
        <f t="shared" si="61"/>
        <v>0</v>
      </c>
      <c r="H1560" s="33">
        <f t="shared" si="62"/>
        <v>-3.6403625508640174E-2</v>
      </c>
      <c r="I1560" s="43"/>
    </row>
    <row r="1561" spans="2:9" ht="15">
      <c r="B1561" s="32">
        <v>2</v>
      </c>
      <c r="C1561" s="66" t="s">
        <v>48</v>
      </c>
      <c r="D1561" s="64">
        <v>41810</v>
      </c>
      <c r="E1561">
        <v>1.1432836939349933E-2</v>
      </c>
      <c r="F1561" s="65">
        <v>3.1286724785463592E-2</v>
      </c>
      <c r="G1561" s="40">
        <f t="shared" si="61"/>
        <v>0</v>
      </c>
      <c r="H1561" s="33">
        <f t="shared" si="62"/>
        <v>-3.1286724785463592E-2</v>
      </c>
      <c r="I1561" s="43"/>
    </row>
    <row r="1562" spans="2:9" ht="15">
      <c r="B1562" s="32">
        <v>2</v>
      </c>
      <c r="C1562" s="66" t="s">
        <v>48</v>
      </c>
      <c r="D1562" s="64">
        <v>41813</v>
      </c>
      <c r="E1562">
        <v>7.6340708525961531E-3</v>
      </c>
      <c r="F1562" s="65">
        <v>2.7387143613499507E-2</v>
      </c>
      <c r="G1562" s="40">
        <f t="shared" si="61"/>
        <v>0</v>
      </c>
      <c r="H1562" s="33">
        <f t="shared" si="62"/>
        <v>-2.7387143613499507E-2</v>
      </c>
      <c r="I1562" s="43"/>
    </row>
    <row r="1563" spans="2:9" ht="15">
      <c r="B1563" s="32">
        <v>2</v>
      </c>
      <c r="C1563" s="66" t="s">
        <v>48</v>
      </c>
      <c r="D1563" s="64">
        <v>41814</v>
      </c>
      <c r="E1563">
        <v>7.0164154719885019E-3</v>
      </c>
      <c r="F1563" s="65">
        <v>2.3244482874419634E-2</v>
      </c>
      <c r="G1563" s="40">
        <f t="shared" si="61"/>
        <v>0</v>
      </c>
      <c r="H1563" s="33">
        <f t="shared" si="62"/>
        <v>-2.3244482874419634E-2</v>
      </c>
      <c r="I1563" s="43"/>
    </row>
    <row r="1564" spans="2:9" ht="15">
      <c r="B1564" s="32">
        <v>2</v>
      </c>
      <c r="C1564" s="66" t="s">
        <v>48</v>
      </c>
      <c r="D1564" s="64">
        <v>41815</v>
      </c>
      <c r="E1564">
        <v>6.7643744540992756E-3</v>
      </c>
      <c r="F1564" s="65">
        <v>3.1947299041421372E-2</v>
      </c>
      <c r="G1564" s="40">
        <f t="shared" si="61"/>
        <v>0</v>
      </c>
      <c r="H1564" s="33">
        <f t="shared" si="62"/>
        <v>-3.1947299041421372E-2</v>
      </c>
      <c r="I1564" s="43"/>
    </row>
    <row r="1565" spans="2:9" ht="15">
      <c r="B1565" s="32">
        <v>2</v>
      </c>
      <c r="C1565" s="66" t="s">
        <v>48</v>
      </c>
      <c r="D1565" s="64">
        <v>41816</v>
      </c>
      <c r="E1565">
        <v>3.8043254289288342E-3</v>
      </c>
      <c r="F1565" s="65">
        <v>3.3114087563662457E-2</v>
      </c>
      <c r="G1565" s="40">
        <f t="shared" si="61"/>
        <v>0</v>
      </c>
      <c r="H1565" s="33">
        <f t="shared" si="62"/>
        <v>-3.3114087563662457E-2</v>
      </c>
      <c r="I1565" s="43"/>
    </row>
    <row r="1566" spans="2:9" ht="15">
      <c r="B1566" s="32">
        <v>2</v>
      </c>
      <c r="C1566" s="66" t="s">
        <v>48</v>
      </c>
      <c r="D1566" s="64">
        <v>41817</v>
      </c>
      <c r="E1566">
        <v>3.3651220146593275E-3</v>
      </c>
      <c r="F1566" s="65">
        <v>2.8470954058464819E-2</v>
      </c>
      <c r="G1566" s="40">
        <f t="shared" si="61"/>
        <v>0</v>
      </c>
      <c r="H1566" s="33">
        <f t="shared" si="62"/>
        <v>-2.8470954058464819E-2</v>
      </c>
      <c r="I1566" s="43"/>
    </row>
    <row r="1567" spans="2:9" ht="15">
      <c r="B1567" s="32">
        <v>2</v>
      </c>
      <c r="C1567" s="66" t="s">
        <v>48</v>
      </c>
      <c r="D1567" s="64">
        <v>41820</v>
      </c>
      <c r="E1567">
        <v>8.569309366002642E-3</v>
      </c>
      <c r="F1567" s="65">
        <v>2.5275562737548694E-2</v>
      </c>
      <c r="G1567" s="40">
        <f t="shared" si="61"/>
        <v>0</v>
      </c>
      <c r="H1567" s="33">
        <f t="shared" si="62"/>
        <v>-2.5275562737548694E-2</v>
      </c>
      <c r="I1567" s="43"/>
    </row>
    <row r="1568" spans="2:9" ht="15">
      <c r="B1568" s="32">
        <v>2</v>
      </c>
      <c r="C1568" s="66" t="s">
        <v>48</v>
      </c>
      <c r="D1568" s="64">
        <v>41821</v>
      </c>
      <c r="E1568">
        <v>-2.0228551286471941E-5</v>
      </c>
      <c r="F1568" s="65">
        <v>2.1495943488912261E-2</v>
      </c>
      <c r="G1568" s="40">
        <f t="shared" si="61"/>
        <v>0</v>
      </c>
      <c r="H1568" s="33">
        <f t="shared" si="62"/>
        <v>-2.1495943488912261E-2</v>
      </c>
      <c r="I1568" s="43"/>
    </row>
    <row r="1569" spans="2:9" ht="15">
      <c r="B1569" s="32">
        <v>2</v>
      </c>
      <c r="C1569" s="66" t="s">
        <v>48</v>
      </c>
      <c r="D1569" s="64">
        <v>41822</v>
      </c>
      <c r="E1569">
        <v>3.513460300472282E-3</v>
      </c>
      <c r="F1569" s="65">
        <v>3.1684934455877896E-2</v>
      </c>
      <c r="G1569" s="40">
        <f t="shared" si="61"/>
        <v>0</v>
      </c>
      <c r="H1569" s="33">
        <f t="shared" si="62"/>
        <v>-3.1684934455877896E-2</v>
      </c>
      <c r="I1569" s="43"/>
    </row>
    <row r="1570" spans="2:9" ht="15">
      <c r="B1570" s="32">
        <v>2</v>
      </c>
      <c r="C1570" s="66" t="s">
        <v>48</v>
      </c>
      <c r="D1570" s="64">
        <v>41823</v>
      </c>
      <c r="E1570">
        <v>-1.3855695623382402E-2</v>
      </c>
      <c r="F1570" s="65">
        <v>2.7007517113825555E-2</v>
      </c>
      <c r="G1570" s="40">
        <f t="shared" si="61"/>
        <v>0</v>
      </c>
      <c r="H1570" s="33">
        <f t="shared" si="62"/>
        <v>-2.7007517113825555E-2</v>
      </c>
      <c r="I1570" s="43"/>
    </row>
    <row r="1571" spans="2:9" ht="15">
      <c r="B1571" s="32">
        <v>2</v>
      </c>
      <c r="C1571" s="66" t="s">
        <v>48</v>
      </c>
      <c r="D1571" s="64">
        <v>41827</v>
      </c>
      <c r="E1571">
        <v>2.8815254528780088E-4</v>
      </c>
      <c r="F1571" s="65">
        <v>3.1267711623497944E-2</v>
      </c>
      <c r="G1571" s="40">
        <f t="shared" si="61"/>
        <v>0</v>
      </c>
      <c r="H1571" s="33">
        <f t="shared" si="62"/>
        <v>-3.1267711623497944E-2</v>
      </c>
      <c r="I1571" s="43"/>
    </row>
    <row r="1572" spans="2:9" ht="15">
      <c r="B1572" s="32">
        <v>2</v>
      </c>
      <c r="C1572" s="66" t="s">
        <v>48</v>
      </c>
      <c r="D1572" s="64">
        <v>41828</v>
      </c>
      <c r="E1572">
        <v>5.0389679711706492E-3</v>
      </c>
      <c r="F1572" s="65">
        <v>3.0628599731619695E-2</v>
      </c>
      <c r="G1572" s="40">
        <f t="shared" si="61"/>
        <v>0</v>
      </c>
      <c r="H1572" s="33">
        <f t="shared" si="62"/>
        <v>-3.0628599731619695E-2</v>
      </c>
      <c r="I1572" s="43"/>
    </row>
    <row r="1573" spans="2:9" ht="15">
      <c r="B1573" s="32">
        <v>2</v>
      </c>
      <c r="C1573" s="66" t="s">
        <v>48</v>
      </c>
      <c r="D1573" s="64">
        <v>41829</v>
      </c>
      <c r="E1573">
        <v>5.409062435711931E-3</v>
      </c>
      <c r="F1573" s="65">
        <v>3.7864002559475932E-2</v>
      </c>
      <c r="G1573" s="40">
        <f t="shared" si="61"/>
        <v>0</v>
      </c>
      <c r="H1573" s="33">
        <f t="shared" si="62"/>
        <v>-3.7864002559475932E-2</v>
      </c>
      <c r="I1573" s="43"/>
    </row>
    <row r="1574" spans="2:9" ht="15">
      <c r="B1574" s="32">
        <v>2</v>
      </c>
      <c r="C1574" s="66" t="s">
        <v>48</v>
      </c>
      <c r="D1574" s="64">
        <v>41830</v>
      </c>
      <c r="E1574">
        <v>1.1301591629973018E-2</v>
      </c>
      <c r="F1574" s="65">
        <v>3.6845420723384072E-2</v>
      </c>
      <c r="G1574" s="40">
        <f t="shared" si="61"/>
        <v>0</v>
      </c>
      <c r="H1574" s="33">
        <f t="shared" si="62"/>
        <v>-3.6845420723384072E-2</v>
      </c>
      <c r="I1574" s="43"/>
    </row>
    <row r="1575" spans="2:9" ht="15">
      <c r="B1575" s="32">
        <v>2</v>
      </c>
      <c r="C1575" s="66" t="s">
        <v>48</v>
      </c>
      <c r="D1575" s="64">
        <v>41831</v>
      </c>
      <c r="E1575">
        <v>1.0319786384773266E-2</v>
      </c>
      <c r="F1575" s="65">
        <v>3.5172946178046088E-2</v>
      </c>
      <c r="G1575" s="40">
        <f t="shared" si="61"/>
        <v>0</v>
      </c>
      <c r="H1575" s="33">
        <f t="shared" si="62"/>
        <v>-3.5172946178046088E-2</v>
      </c>
      <c r="I1575" s="43"/>
    </row>
    <row r="1576" spans="2:9" ht="15">
      <c r="B1576" s="32">
        <v>2</v>
      </c>
      <c r="C1576" s="66" t="s">
        <v>48</v>
      </c>
      <c r="D1576" s="64">
        <v>41834</v>
      </c>
      <c r="E1576">
        <v>6.2697958194402048E-4</v>
      </c>
      <c r="F1576" s="65">
        <v>3.0388743746992818E-2</v>
      </c>
      <c r="G1576" s="40">
        <f t="shared" si="61"/>
        <v>0</v>
      </c>
      <c r="H1576" s="33">
        <f t="shared" si="62"/>
        <v>-3.0388743746992818E-2</v>
      </c>
      <c r="I1576" s="43"/>
    </row>
    <row r="1577" spans="2:9" ht="15">
      <c r="B1577" s="32">
        <v>2</v>
      </c>
      <c r="C1577" s="66" t="s">
        <v>48</v>
      </c>
      <c r="D1577" s="64">
        <v>41835</v>
      </c>
      <c r="E1577">
        <v>2.8490577216899737E-3</v>
      </c>
      <c r="F1577" s="65">
        <v>3.1916844146188027E-2</v>
      </c>
      <c r="G1577" s="40">
        <f t="shared" si="61"/>
        <v>0</v>
      </c>
      <c r="H1577" s="33">
        <f t="shared" si="62"/>
        <v>-3.1916844146188027E-2</v>
      </c>
      <c r="I1577" s="43"/>
    </row>
    <row r="1578" spans="2:9" ht="15">
      <c r="B1578" s="32">
        <v>2</v>
      </c>
      <c r="C1578" s="66" t="s">
        <v>48</v>
      </c>
      <c r="D1578" s="64">
        <v>41836</v>
      </c>
      <c r="E1578">
        <v>-5.8812957024905188E-3</v>
      </c>
      <c r="F1578" s="65">
        <v>2.8109248555832789E-2</v>
      </c>
      <c r="G1578" s="40">
        <f t="shared" si="61"/>
        <v>0</v>
      </c>
      <c r="H1578" s="33">
        <f t="shared" si="62"/>
        <v>-2.8109248555832789E-2</v>
      </c>
      <c r="I1578" s="43"/>
    </row>
    <row r="1579" spans="2:9" ht="15">
      <c r="B1579" s="32">
        <v>2</v>
      </c>
      <c r="C1579" s="66" t="s">
        <v>48</v>
      </c>
      <c r="D1579" s="64">
        <v>41837</v>
      </c>
      <c r="E1579">
        <v>6.0842209988898333E-3</v>
      </c>
      <c r="F1579" s="65">
        <v>2.890011528639249E-2</v>
      </c>
      <c r="G1579" s="40">
        <f t="shared" si="61"/>
        <v>0</v>
      </c>
      <c r="H1579" s="33">
        <f t="shared" si="62"/>
        <v>-2.890011528639249E-2</v>
      </c>
      <c r="I1579" s="43"/>
    </row>
    <row r="1580" spans="2:9" ht="15">
      <c r="B1580" s="32">
        <v>2</v>
      </c>
      <c r="C1580" s="66" t="s">
        <v>48</v>
      </c>
      <c r="D1580" s="64">
        <v>41838</v>
      </c>
      <c r="E1580">
        <v>-2.4330320090876434E-2</v>
      </c>
      <c r="F1580" s="65">
        <v>5.2429732469016485E-2</v>
      </c>
      <c r="G1580" s="40">
        <f t="shared" si="61"/>
        <v>0</v>
      </c>
      <c r="H1580" s="33">
        <f t="shared" si="62"/>
        <v>-5.2429732469016485E-2</v>
      </c>
      <c r="I1580" s="43"/>
    </row>
    <row r="1581" spans="2:9" ht="15">
      <c r="B1581" s="32">
        <v>2</v>
      </c>
      <c r="C1581" s="66" t="s">
        <v>48</v>
      </c>
      <c r="D1581" s="64">
        <v>41841</v>
      </c>
      <c r="E1581">
        <v>-2.4870590050982244E-2</v>
      </c>
      <c r="F1581" s="65">
        <v>5.9662729997735371E-2</v>
      </c>
      <c r="G1581" s="40">
        <f t="shared" si="61"/>
        <v>0</v>
      </c>
      <c r="H1581" s="33">
        <f t="shared" si="62"/>
        <v>-5.9662729997735371E-2</v>
      </c>
      <c r="I1581" s="43"/>
    </row>
    <row r="1582" spans="2:9" ht="15">
      <c r="B1582" s="32">
        <v>2</v>
      </c>
      <c r="C1582" s="66" t="s">
        <v>48</v>
      </c>
      <c r="D1582" s="64">
        <v>41842</v>
      </c>
      <c r="E1582">
        <v>-2.2710886465382885E-2</v>
      </c>
      <c r="F1582" s="65">
        <v>5.1426746184561181E-2</v>
      </c>
      <c r="G1582" s="40">
        <f t="shared" si="61"/>
        <v>0</v>
      </c>
      <c r="H1582" s="33">
        <f t="shared" si="62"/>
        <v>-5.1426746184561181E-2</v>
      </c>
      <c r="I1582" s="43"/>
    </row>
    <row r="1583" spans="2:9" ht="15">
      <c r="B1583" s="32">
        <v>2</v>
      </c>
      <c r="C1583" s="66" t="s">
        <v>48</v>
      </c>
      <c r="D1583" s="64">
        <v>41843</v>
      </c>
      <c r="E1583">
        <v>-3.4196466553932936E-2</v>
      </c>
      <c r="F1583" s="65">
        <v>4.7786727738030672E-2</v>
      </c>
      <c r="G1583" s="40">
        <f t="shared" si="61"/>
        <v>0</v>
      </c>
      <c r="H1583" s="33">
        <f t="shared" si="62"/>
        <v>-4.7786727738030672E-2</v>
      </c>
      <c r="I1583" s="43"/>
    </row>
    <row r="1584" spans="2:9" ht="15">
      <c r="B1584" s="32">
        <v>2</v>
      </c>
      <c r="C1584" s="66" t="s">
        <v>48</v>
      </c>
      <c r="D1584" s="64">
        <v>41844</v>
      </c>
      <c r="E1584">
        <v>-3.4668864740980965E-2</v>
      </c>
      <c r="F1584" s="65">
        <v>4.1118515953464739E-2</v>
      </c>
      <c r="G1584" s="40">
        <f t="shared" si="61"/>
        <v>0</v>
      </c>
      <c r="H1584" s="33">
        <f t="shared" si="62"/>
        <v>-4.1118515953464739E-2</v>
      </c>
      <c r="I1584" s="43"/>
    </row>
    <row r="1585" spans="2:9" ht="15">
      <c r="B1585" s="32">
        <v>2</v>
      </c>
      <c r="C1585" s="66" t="s">
        <v>48</v>
      </c>
      <c r="D1585" s="64">
        <v>41845</v>
      </c>
      <c r="E1585">
        <v>-3.5380034497545232E-2</v>
      </c>
      <c r="F1585" s="65">
        <v>3.4941901819905648E-2</v>
      </c>
      <c r="G1585" s="40">
        <f t="shared" si="61"/>
        <v>1</v>
      </c>
      <c r="H1585" s="33">
        <f t="shared" si="62"/>
        <v>-3.4941901819905648E-2</v>
      </c>
      <c r="I1585" s="43">
        <f t="shared" ref="I1542:I1605" si="63">IF(G1585=0,"",E1585)</f>
        <v>-3.5380034497545232E-2</v>
      </c>
    </row>
    <row r="1586" spans="2:9" ht="15">
      <c r="B1586" s="32">
        <v>2</v>
      </c>
      <c r="C1586" s="66" t="s">
        <v>48</v>
      </c>
      <c r="D1586" s="64">
        <v>41848</v>
      </c>
      <c r="E1586">
        <v>-2.4202724907095963E-2</v>
      </c>
      <c r="F1586" s="65">
        <v>3.5172838660953769E-2</v>
      </c>
      <c r="G1586" s="40">
        <f t="shared" si="61"/>
        <v>0</v>
      </c>
      <c r="H1586" s="33">
        <f t="shared" si="62"/>
        <v>-3.5172838660953769E-2</v>
      </c>
      <c r="I1586" s="43"/>
    </row>
    <row r="1587" spans="2:9" ht="15">
      <c r="B1587" s="32">
        <v>2</v>
      </c>
      <c r="C1587" s="66" t="s">
        <v>48</v>
      </c>
      <c r="D1587" s="64">
        <v>41849</v>
      </c>
      <c r="E1587">
        <v>-1.6909031535885077E-2</v>
      </c>
      <c r="F1587" s="65">
        <v>2.9866209020245428E-2</v>
      </c>
      <c r="G1587" s="40">
        <f t="shared" si="61"/>
        <v>0</v>
      </c>
      <c r="H1587" s="33">
        <f t="shared" si="62"/>
        <v>-2.9866209020245428E-2</v>
      </c>
      <c r="I1587" s="43"/>
    </row>
    <row r="1588" spans="2:9" ht="15">
      <c r="B1588" s="32">
        <v>2</v>
      </c>
      <c r="C1588" s="66" t="s">
        <v>48</v>
      </c>
      <c r="D1588" s="64">
        <v>41850</v>
      </c>
      <c r="E1588">
        <v>-1.8607924798206277E-2</v>
      </c>
      <c r="F1588" s="65">
        <v>3.0891766735304239E-2</v>
      </c>
      <c r="G1588" s="40">
        <f t="shared" si="61"/>
        <v>0</v>
      </c>
      <c r="H1588" s="33">
        <f t="shared" si="62"/>
        <v>-3.0891766735304239E-2</v>
      </c>
      <c r="I1588" s="43"/>
    </row>
    <row r="1589" spans="2:9" ht="15">
      <c r="B1589" s="32">
        <v>2</v>
      </c>
      <c r="C1589" s="66" t="s">
        <v>48</v>
      </c>
      <c r="D1589" s="64">
        <v>41851</v>
      </c>
      <c r="E1589">
        <v>8.2787744369818839E-3</v>
      </c>
      <c r="F1589" s="65">
        <v>2.6213605670206152E-2</v>
      </c>
      <c r="G1589" s="40">
        <f t="shared" si="61"/>
        <v>0</v>
      </c>
      <c r="H1589" s="33">
        <f t="shared" si="62"/>
        <v>-2.6213605670206152E-2</v>
      </c>
      <c r="I1589" s="43"/>
    </row>
    <row r="1590" spans="2:9" ht="15">
      <c r="B1590" s="32">
        <v>2</v>
      </c>
      <c r="C1590" s="66" t="s">
        <v>48</v>
      </c>
      <c r="D1590" s="64">
        <v>41852</v>
      </c>
      <c r="E1590">
        <v>1.5478389180729302E-2</v>
      </c>
      <c r="F1590" s="65">
        <v>8.1725683726008219E-2</v>
      </c>
      <c r="G1590" s="40">
        <f t="shared" si="61"/>
        <v>0</v>
      </c>
      <c r="H1590" s="33">
        <f t="shared" si="62"/>
        <v>-8.1725683726008219E-2</v>
      </c>
      <c r="I1590" s="43"/>
    </row>
    <row r="1591" spans="2:9" ht="15">
      <c r="B1591" s="32">
        <v>2</v>
      </c>
      <c r="C1591" s="66" t="s">
        <v>48</v>
      </c>
      <c r="D1591" s="64">
        <v>41855</v>
      </c>
      <c r="E1591">
        <v>8.2536998892548397E-3</v>
      </c>
      <c r="F1591" s="65">
        <v>7.02365277722867E-2</v>
      </c>
      <c r="G1591" s="40">
        <f t="shared" si="61"/>
        <v>0</v>
      </c>
      <c r="H1591" s="33">
        <f t="shared" si="62"/>
        <v>-7.02365277722867E-2</v>
      </c>
      <c r="I1591" s="43"/>
    </row>
    <row r="1592" spans="2:9" ht="15">
      <c r="B1592" s="32">
        <v>2</v>
      </c>
      <c r="C1592" s="66" t="s">
        <v>48</v>
      </c>
      <c r="D1592" s="64">
        <v>41856</v>
      </c>
      <c r="E1592">
        <v>2.6481861826167297E-2</v>
      </c>
      <c r="F1592" s="65">
        <v>6.5798517684735547E-2</v>
      </c>
      <c r="G1592" s="40">
        <f t="shared" si="61"/>
        <v>0</v>
      </c>
      <c r="H1592" s="33">
        <f t="shared" si="62"/>
        <v>-6.5798517684735547E-2</v>
      </c>
      <c r="I1592" s="43"/>
    </row>
    <row r="1593" spans="2:9" ht="15">
      <c r="B1593" s="32">
        <v>2</v>
      </c>
      <c r="C1593" s="66" t="s">
        <v>48</v>
      </c>
      <c r="D1593" s="64">
        <v>41857</v>
      </c>
      <c r="E1593">
        <v>3.1454414061428793E-2</v>
      </c>
      <c r="F1593" s="65">
        <v>6.7472940769722753E-2</v>
      </c>
      <c r="G1593" s="40">
        <f t="shared" si="61"/>
        <v>0</v>
      </c>
      <c r="H1593" s="33">
        <f t="shared" si="62"/>
        <v>-6.7472940769722753E-2</v>
      </c>
      <c r="I1593" s="43"/>
    </row>
    <row r="1594" spans="2:9" ht="15">
      <c r="B1594" s="32">
        <v>2</v>
      </c>
      <c r="C1594" s="66" t="s">
        <v>48</v>
      </c>
      <c r="D1594" s="64">
        <v>41858</v>
      </c>
      <c r="E1594">
        <v>3.9501277729055317E-2</v>
      </c>
      <c r="F1594" s="65">
        <v>5.7252721121594262E-2</v>
      </c>
      <c r="G1594" s="40">
        <f t="shared" si="61"/>
        <v>0</v>
      </c>
      <c r="H1594" s="33">
        <f t="shared" si="62"/>
        <v>-5.7252721121594262E-2</v>
      </c>
      <c r="I1594" s="43"/>
    </row>
    <row r="1595" spans="2:9" ht="15">
      <c r="B1595" s="32">
        <v>2</v>
      </c>
      <c r="C1595" s="66" t="s">
        <v>48</v>
      </c>
      <c r="D1595" s="64">
        <v>41859</v>
      </c>
      <c r="E1595">
        <v>3.0981402030151983E-2</v>
      </c>
      <c r="F1595" s="65">
        <v>5.3202972334141216E-2</v>
      </c>
      <c r="G1595" s="40">
        <f t="shared" si="61"/>
        <v>0</v>
      </c>
      <c r="H1595" s="33">
        <f t="shared" si="62"/>
        <v>-5.3202972334141216E-2</v>
      </c>
      <c r="I1595" s="43"/>
    </row>
    <row r="1596" spans="2:9" ht="15">
      <c r="B1596" s="32">
        <v>2</v>
      </c>
      <c r="C1596" s="66" t="s">
        <v>48</v>
      </c>
      <c r="D1596" s="64">
        <v>41862</v>
      </c>
      <c r="E1596">
        <v>2.6231202000857934E-2</v>
      </c>
      <c r="F1596" s="65">
        <v>6.3482218639191998E-2</v>
      </c>
      <c r="G1596" s="40">
        <f t="shared" si="61"/>
        <v>0</v>
      </c>
      <c r="H1596" s="33">
        <f t="shared" si="62"/>
        <v>-6.3482218639191998E-2</v>
      </c>
      <c r="I1596" s="43"/>
    </row>
    <row r="1597" spans="2:9" ht="15">
      <c r="B1597" s="32">
        <v>2</v>
      </c>
      <c r="C1597" s="66" t="s">
        <v>48</v>
      </c>
      <c r="D1597" s="64">
        <v>41863</v>
      </c>
      <c r="E1597">
        <v>3.2645538502462657E-2</v>
      </c>
      <c r="F1597" s="65">
        <v>5.4924133549423271E-2</v>
      </c>
      <c r="G1597" s="40">
        <f t="shared" si="61"/>
        <v>0</v>
      </c>
      <c r="H1597" s="33">
        <f t="shared" si="62"/>
        <v>-5.4924133549423271E-2</v>
      </c>
      <c r="I1597" s="43"/>
    </row>
    <row r="1598" spans="2:9" ht="15">
      <c r="B1598" s="32">
        <v>2</v>
      </c>
      <c r="C1598" s="66" t="s">
        <v>48</v>
      </c>
      <c r="D1598" s="64">
        <v>41864</v>
      </c>
      <c r="E1598">
        <v>2.7011300349695233E-2</v>
      </c>
      <c r="F1598" s="65">
        <v>4.7038831087952711E-2</v>
      </c>
      <c r="G1598" s="40">
        <f t="shared" si="61"/>
        <v>0</v>
      </c>
      <c r="H1598" s="33">
        <f t="shared" si="62"/>
        <v>-4.7038831087952711E-2</v>
      </c>
      <c r="I1598" s="43"/>
    </row>
    <row r="1599" spans="2:9" ht="15">
      <c r="B1599" s="32">
        <v>2</v>
      </c>
      <c r="C1599" s="66" t="s">
        <v>48</v>
      </c>
      <c r="D1599" s="64">
        <v>41865</v>
      </c>
      <c r="E1599">
        <v>2.2724887830975149E-2</v>
      </c>
      <c r="F1599" s="65">
        <v>4.7647155744950084E-2</v>
      </c>
      <c r="G1599" s="40">
        <f t="shared" si="61"/>
        <v>0</v>
      </c>
      <c r="H1599" s="33">
        <f t="shared" si="62"/>
        <v>-4.7647155744950084E-2</v>
      </c>
      <c r="I1599" s="43"/>
    </row>
    <row r="1600" spans="2:9" ht="15">
      <c r="B1600" s="32">
        <v>2</v>
      </c>
      <c r="C1600" s="66" t="s">
        <v>48</v>
      </c>
      <c r="D1600" s="64">
        <v>41866</v>
      </c>
      <c r="E1600">
        <v>2.1094931974862341E-2</v>
      </c>
      <c r="F1600" s="65">
        <v>4.3812430694419022E-2</v>
      </c>
      <c r="G1600" s="40">
        <f t="shared" si="61"/>
        <v>0</v>
      </c>
      <c r="H1600" s="33">
        <f t="shared" si="62"/>
        <v>-4.3812430694419022E-2</v>
      </c>
      <c r="I1600" s="43"/>
    </row>
    <row r="1601" spans="2:9" ht="15">
      <c r="B1601" s="32">
        <v>2</v>
      </c>
      <c r="C1601" s="66" t="s">
        <v>48</v>
      </c>
      <c r="D1601" s="64">
        <v>41869</v>
      </c>
      <c r="E1601">
        <v>1.5914363469766712E-2</v>
      </c>
      <c r="F1601" s="65">
        <v>3.7176847908143358E-2</v>
      </c>
      <c r="G1601" s="40">
        <f t="shared" si="61"/>
        <v>0</v>
      </c>
      <c r="H1601" s="33">
        <f t="shared" si="62"/>
        <v>-3.7176847908143358E-2</v>
      </c>
      <c r="I1601" s="43"/>
    </row>
    <row r="1602" spans="2:9" ht="15">
      <c r="B1602" s="32">
        <v>2</v>
      </c>
      <c r="C1602" s="66" t="s">
        <v>48</v>
      </c>
      <c r="D1602" s="64">
        <v>41870</v>
      </c>
      <c r="E1602">
        <v>1.038195865527225E-2</v>
      </c>
      <c r="F1602" s="65">
        <v>4.5703259102775159E-2</v>
      </c>
      <c r="G1602" s="40">
        <f t="shared" si="61"/>
        <v>0</v>
      </c>
      <c r="H1602" s="33">
        <f t="shared" si="62"/>
        <v>-4.5703259102775159E-2</v>
      </c>
      <c r="I1602" s="43"/>
    </row>
    <row r="1603" spans="2:9" ht="15">
      <c r="B1603" s="32">
        <v>2</v>
      </c>
      <c r="C1603" s="66" t="s">
        <v>48</v>
      </c>
      <c r="D1603" s="64">
        <v>41871</v>
      </c>
      <c r="E1603">
        <v>7.1277660075503846E-3</v>
      </c>
      <c r="F1603" s="65">
        <v>4.3370179591267169E-2</v>
      </c>
      <c r="G1603" s="40">
        <f t="shared" si="61"/>
        <v>0</v>
      </c>
      <c r="H1603" s="33">
        <f t="shared" si="62"/>
        <v>-4.3370179591267169E-2</v>
      </c>
      <c r="I1603" s="43"/>
    </row>
    <row r="1604" spans="2:9" ht="15">
      <c r="B1604" s="32">
        <v>2</v>
      </c>
      <c r="C1604" s="66" t="s">
        <v>48</v>
      </c>
      <c r="D1604" s="64">
        <v>41872</v>
      </c>
      <c r="E1604">
        <v>2.6466193437100216E-3</v>
      </c>
      <c r="F1604" s="65">
        <v>3.8040830135620547E-2</v>
      </c>
      <c r="G1604" s="40">
        <f t="shared" si="61"/>
        <v>0</v>
      </c>
      <c r="H1604" s="33">
        <f t="shared" si="62"/>
        <v>-3.8040830135620547E-2</v>
      </c>
      <c r="I1604" s="43"/>
    </row>
    <row r="1605" spans="2:9" ht="15">
      <c r="B1605" s="32">
        <v>2</v>
      </c>
      <c r="C1605" s="66" t="s">
        <v>48</v>
      </c>
      <c r="D1605" s="64">
        <v>41873</v>
      </c>
      <c r="E1605">
        <v>9.6644423553167158E-3</v>
      </c>
      <c r="F1605" s="65">
        <v>3.4254769717933765E-2</v>
      </c>
      <c r="G1605" s="40">
        <f t="shared" si="61"/>
        <v>0</v>
      </c>
      <c r="H1605" s="33">
        <f t="shared" si="62"/>
        <v>-3.4254769717933765E-2</v>
      </c>
      <c r="I1605" s="43"/>
    </row>
    <row r="1606" spans="2:9" ht="15">
      <c r="B1606" s="32">
        <v>2</v>
      </c>
      <c r="C1606" s="66" t="s">
        <v>48</v>
      </c>
      <c r="D1606" s="64">
        <v>41876</v>
      </c>
      <c r="E1606">
        <v>1.8102423394301681E-3</v>
      </c>
      <c r="F1606" s="65">
        <v>3.0085297071614236E-2</v>
      </c>
      <c r="G1606" s="40">
        <f t="shared" si="61"/>
        <v>0</v>
      </c>
      <c r="H1606" s="33">
        <f t="shared" si="62"/>
        <v>-3.0085297071614236E-2</v>
      </c>
      <c r="I1606" s="43"/>
    </row>
    <row r="1607" spans="2:9" ht="15">
      <c r="B1607" s="32">
        <v>2</v>
      </c>
      <c r="C1607" s="66" t="s">
        <v>48</v>
      </c>
      <c r="D1607" s="64">
        <v>41877</v>
      </c>
      <c r="E1607">
        <v>-5.8068084685789501E-3</v>
      </c>
      <c r="F1607" s="65">
        <v>3.1581495661043367E-2</v>
      </c>
      <c r="G1607" s="40">
        <f t="shared" si="61"/>
        <v>0</v>
      </c>
      <c r="H1607" s="33">
        <f t="shared" si="62"/>
        <v>-3.1581495661043367E-2</v>
      </c>
      <c r="I1607" s="43"/>
    </row>
    <row r="1608" spans="2:9" ht="15">
      <c r="B1608" s="32">
        <v>2</v>
      </c>
      <c r="C1608" s="66" t="s">
        <v>48</v>
      </c>
      <c r="D1608" s="64">
        <v>41878</v>
      </c>
      <c r="E1608">
        <v>-2.2173506177907143E-3</v>
      </c>
      <c r="F1608" s="65">
        <v>2.7108020667433636E-2</v>
      </c>
      <c r="G1608" s="40">
        <f t="shared" si="61"/>
        <v>0</v>
      </c>
      <c r="H1608" s="33">
        <f t="shared" si="62"/>
        <v>-2.7108020667433636E-2</v>
      </c>
      <c r="I1608" s="43"/>
    </row>
    <row r="1609" spans="2:9" ht="15">
      <c r="B1609" s="32">
        <v>2</v>
      </c>
      <c r="C1609" s="66" t="s">
        <v>48</v>
      </c>
      <c r="D1609" s="64">
        <v>41879</v>
      </c>
      <c r="E1609">
        <v>3.5549686818292514E-4</v>
      </c>
      <c r="F1609" s="65">
        <v>2.3002741282626513E-2</v>
      </c>
      <c r="G1609" s="40">
        <f t="shared" si="61"/>
        <v>0</v>
      </c>
      <c r="H1609" s="33">
        <f t="shared" si="62"/>
        <v>-2.3002741282626513E-2</v>
      </c>
      <c r="I1609" s="43"/>
    </row>
    <row r="1610" spans="2:9" ht="15">
      <c r="B1610" s="32">
        <v>2</v>
      </c>
      <c r="C1610" s="66" t="s">
        <v>48</v>
      </c>
      <c r="D1610" s="64">
        <v>41880</v>
      </c>
      <c r="E1610">
        <v>-8.9398229571573395E-3</v>
      </c>
      <c r="F1610" s="65">
        <v>2.0598988502440088E-2</v>
      </c>
      <c r="G1610" s="40">
        <f t="shared" si="61"/>
        <v>0</v>
      </c>
      <c r="H1610" s="33">
        <f t="shared" si="62"/>
        <v>-2.0598988502440088E-2</v>
      </c>
      <c r="I1610" s="43"/>
    </row>
    <row r="1611" spans="2:9" ht="15">
      <c r="B1611" s="32">
        <v>2</v>
      </c>
      <c r="C1611" s="66" t="s">
        <v>48</v>
      </c>
      <c r="D1611" s="64">
        <v>41884</v>
      </c>
      <c r="E1611">
        <v>-9.1060123072503885E-3</v>
      </c>
      <c r="F1611" s="65">
        <v>2.1726105639662357E-2</v>
      </c>
      <c r="G1611" s="40">
        <f t="shared" ref="G1611:G1674" si="64">--(E1611&lt;-F1611)</f>
        <v>0</v>
      </c>
      <c r="H1611" s="33">
        <f t="shared" ref="H1611:H1674" si="65">-F1611</f>
        <v>-2.1726105639662357E-2</v>
      </c>
      <c r="I1611" s="43"/>
    </row>
    <row r="1612" spans="2:9" ht="15">
      <c r="B1612" s="32">
        <v>2</v>
      </c>
      <c r="C1612" s="66" t="s">
        <v>48</v>
      </c>
      <c r="D1612" s="64">
        <v>41885</v>
      </c>
      <c r="E1612">
        <v>-8.7006082010265828E-4</v>
      </c>
      <c r="F1612" s="65">
        <v>1.8556534750425683E-2</v>
      </c>
      <c r="G1612" s="40">
        <f t="shared" si="64"/>
        <v>0</v>
      </c>
      <c r="H1612" s="33">
        <f t="shared" si="65"/>
        <v>-1.8556534750425683E-2</v>
      </c>
      <c r="I1612" s="43"/>
    </row>
    <row r="1613" spans="2:9" ht="15">
      <c r="B1613" s="32">
        <v>2</v>
      </c>
      <c r="C1613" s="66" t="s">
        <v>48</v>
      </c>
      <c r="D1613" s="64">
        <v>41886</v>
      </c>
      <c r="E1613">
        <v>1.9603439094337816E-3</v>
      </c>
      <c r="F1613" s="65">
        <v>1.6035414852454109E-2</v>
      </c>
      <c r="G1613" s="40">
        <f t="shared" si="64"/>
        <v>0</v>
      </c>
      <c r="H1613" s="33">
        <f t="shared" si="65"/>
        <v>-1.6035414852454109E-2</v>
      </c>
      <c r="I1613" s="43"/>
    </row>
    <row r="1614" spans="2:9" ht="15">
      <c r="B1614" s="32">
        <v>2</v>
      </c>
      <c r="C1614" s="66" t="s">
        <v>48</v>
      </c>
      <c r="D1614" s="64">
        <v>41887</v>
      </c>
      <c r="E1614">
        <v>1.8163530630399549E-3</v>
      </c>
      <c r="F1614" s="65">
        <v>1.4861673973391111E-2</v>
      </c>
      <c r="G1614" s="40">
        <f t="shared" si="64"/>
        <v>0</v>
      </c>
      <c r="H1614" s="33">
        <f t="shared" si="65"/>
        <v>-1.4861673973391111E-2</v>
      </c>
      <c r="I1614" s="43"/>
    </row>
    <row r="1615" spans="2:9" ht="15">
      <c r="B1615" s="32">
        <v>2</v>
      </c>
      <c r="C1615" s="66" t="s">
        <v>48</v>
      </c>
      <c r="D1615" s="64">
        <v>41890</v>
      </c>
      <c r="E1615">
        <v>4.4168154381365454E-3</v>
      </c>
      <c r="F1615" s="65">
        <v>2.3267779568080422E-2</v>
      </c>
      <c r="G1615" s="40">
        <f t="shared" si="64"/>
        <v>0</v>
      </c>
      <c r="H1615" s="33">
        <f t="shared" si="65"/>
        <v>-2.3267779568080422E-2</v>
      </c>
      <c r="I1615" s="43"/>
    </row>
    <row r="1616" spans="2:9" ht="15">
      <c r="B1616" s="32">
        <v>2</v>
      </c>
      <c r="C1616" s="66" t="s">
        <v>48</v>
      </c>
      <c r="D1616" s="64">
        <v>41891</v>
      </c>
      <c r="E1616">
        <v>2.9377347883041693E-3</v>
      </c>
      <c r="F1616" s="65">
        <v>2.3094367132704043E-2</v>
      </c>
      <c r="G1616" s="40">
        <f t="shared" si="64"/>
        <v>0</v>
      </c>
      <c r="H1616" s="33">
        <f t="shared" si="65"/>
        <v>-2.3094367132704043E-2</v>
      </c>
      <c r="I1616" s="43"/>
    </row>
    <row r="1617" spans="2:9" ht="15">
      <c r="B1617" s="32">
        <v>2</v>
      </c>
      <c r="C1617" s="66" t="s">
        <v>48</v>
      </c>
      <c r="D1617" s="64">
        <v>41892</v>
      </c>
      <c r="E1617">
        <v>-6.4949586246809687E-3</v>
      </c>
      <c r="F1617" s="65">
        <v>3.2208854765992646E-2</v>
      </c>
      <c r="G1617" s="40">
        <f t="shared" si="64"/>
        <v>0</v>
      </c>
      <c r="H1617" s="33">
        <f t="shared" si="65"/>
        <v>-3.2208854765992646E-2</v>
      </c>
      <c r="I1617" s="43"/>
    </row>
    <row r="1618" spans="2:9" ht="15">
      <c r="B1618" s="32">
        <v>2</v>
      </c>
      <c r="C1618" s="66" t="s">
        <v>48</v>
      </c>
      <c r="D1618" s="64">
        <v>41893</v>
      </c>
      <c r="E1618">
        <v>4.2550110133365848E-4</v>
      </c>
      <c r="F1618" s="65">
        <v>3.0783912702463331E-2</v>
      </c>
      <c r="G1618" s="40">
        <f t="shared" si="64"/>
        <v>0</v>
      </c>
      <c r="H1618" s="33">
        <f t="shared" si="65"/>
        <v>-3.0783912702463331E-2</v>
      </c>
      <c r="I1618" s="43"/>
    </row>
    <row r="1619" spans="2:9" ht="15">
      <c r="B1619" s="32">
        <v>2</v>
      </c>
      <c r="C1619" s="66" t="s">
        <v>48</v>
      </c>
      <c r="D1619" s="64">
        <v>41894</v>
      </c>
      <c r="E1619">
        <v>-9.8950069316261491E-3</v>
      </c>
      <c r="F1619" s="65">
        <v>2.6345449157032314E-2</v>
      </c>
      <c r="G1619" s="40">
        <f t="shared" si="64"/>
        <v>0</v>
      </c>
      <c r="H1619" s="33">
        <f t="shared" si="65"/>
        <v>-2.6345449157032314E-2</v>
      </c>
      <c r="I1619" s="43"/>
    </row>
    <row r="1620" spans="2:9" ht="15">
      <c r="B1620" s="32">
        <v>2</v>
      </c>
      <c r="C1620" s="66" t="s">
        <v>48</v>
      </c>
      <c r="D1620" s="64">
        <v>41897</v>
      </c>
      <c r="E1620">
        <v>-6.4534182201825274E-4</v>
      </c>
      <c r="F1620" s="65">
        <v>3.2275396914446856E-2</v>
      </c>
      <c r="G1620" s="40">
        <f t="shared" si="64"/>
        <v>0</v>
      </c>
      <c r="H1620" s="33">
        <f t="shared" si="65"/>
        <v>-3.2275396914446856E-2</v>
      </c>
      <c r="I1620" s="43"/>
    </row>
    <row r="1621" spans="2:9" ht="15">
      <c r="B1621" s="32">
        <v>2</v>
      </c>
      <c r="C1621" s="66" t="s">
        <v>48</v>
      </c>
      <c r="D1621" s="64">
        <v>41898</v>
      </c>
      <c r="E1621">
        <v>-1.0651899831852774E-2</v>
      </c>
      <c r="F1621" s="65">
        <v>2.7525849053375843E-2</v>
      </c>
      <c r="G1621" s="40">
        <f t="shared" si="64"/>
        <v>0</v>
      </c>
      <c r="H1621" s="33">
        <f t="shared" si="65"/>
        <v>-2.7525849053375843E-2</v>
      </c>
      <c r="I1621" s="43"/>
    </row>
    <row r="1622" spans="2:9" ht="15">
      <c r="B1622" s="32">
        <v>2</v>
      </c>
      <c r="C1622" s="66" t="s">
        <v>48</v>
      </c>
      <c r="D1622" s="64">
        <v>41899</v>
      </c>
      <c r="E1622">
        <v>-1.473652166392192E-2</v>
      </c>
      <c r="F1622" s="65">
        <v>3.7256411637179257E-2</v>
      </c>
      <c r="G1622" s="40">
        <f t="shared" si="64"/>
        <v>0</v>
      </c>
      <c r="H1622" s="33">
        <f t="shared" si="65"/>
        <v>-3.7256411637179257E-2</v>
      </c>
      <c r="I1622" s="43"/>
    </row>
    <row r="1623" spans="2:9" ht="15">
      <c r="B1623" s="32">
        <v>2</v>
      </c>
      <c r="C1623" s="66" t="s">
        <v>48</v>
      </c>
      <c r="D1623" s="64">
        <v>41900</v>
      </c>
      <c r="E1623">
        <v>-3.295288493416848E-2</v>
      </c>
      <c r="F1623" s="65">
        <v>3.2012400318907362E-2</v>
      </c>
      <c r="G1623" s="40">
        <f t="shared" si="64"/>
        <v>1</v>
      </c>
      <c r="H1623" s="33">
        <f t="shared" si="65"/>
        <v>-3.2012400318907362E-2</v>
      </c>
      <c r="I1623" s="43">
        <f t="shared" ref="I1606:I1669" si="66">IF(G1623=0,"",E1623)</f>
        <v>-3.295288493416848E-2</v>
      </c>
    </row>
    <row r="1624" spans="2:9" ht="15">
      <c r="B1624" s="32">
        <v>2</v>
      </c>
      <c r="C1624" s="66" t="s">
        <v>48</v>
      </c>
      <c r="D1624" s="64">
        <v>41901</v>
      </c>
      <c r="E1624">
        <v>-3.2470357943913619E-2</v>
      </c>
      <c r="F1624" s="65">
        <v>3.3145263698862788E-2</v>
      </c>
      <c r="G1624" s="40">
        <f t="shared" si="64"/>
        <v>0</v>
      </c>
      <c r="H1624" s="33">
        <f t="shared" si="65"/>
        <v>-3.3145263698862788E-2</v>
      </c>
      <c r="I1624" s="43"/>
    </row>
    <row r="1625" spans="2:9" ht="15">
      <c r="B1625" s="32">
        <v>2</v>
      </c>
      <c r="C1625" s="66" t="s">
        <v>48</v>
      </c>
      <c r="D1625" s="64">
        <v>41904</v>
      </c>
      <c r="E1625">
        <v>-1.3321120302921763E-2</v>
      </c>
      <c r="F1625" s="65">
        <v>2.8186015807163924E-2</v>
      </c>
      <c r="G1625" s="40">
        <f t="shared" si="64"/>
        <v>0</v>
      </c>
      <c r="H1625" s="33">
        <f t="shared" si="65"/>
        <v>-2.8186015807163924E-2</v>
      </c>
      <c r="I1625" s="43"/>
    </row>
    <row r="1626" spans="2:9" ht="15">
      <c r="B1626" s="32">
        <v>2</v>
      </c>
      <c r="C1626" s="66" t="s">
        <v>48</v>
      </c>
      <c r="D1626" s="64">
        <v>41905</v>
      </c>
      <c r="E1626">
        <v>-9.0942564291562888E-3</v>
      </c>
      <c r="F1626" s="65">
        <v>3.9406909130138189E-2</v>
      </c>
      <c r="G1626" s="40">
        <f t="shared" si="64"/>
        <v>0</v>
      </c>
      <c r="H1626" s="33">
        <f t="shared" si="65"/>
        <v>-3.9406909130138189E-2</v>
      </c>
      <c r="I1626" s="43"/>
    </row>
    <row r="1627" spans="2:9" ht="15">
      <c r="B1627" s="32">
        <v>2</v>
      </c>
      <c r="C1627" s="66" t="s">
        <v>48</v>
      </c>
      <c r="D1627" s="64">
        <v>41906</v>
      </c>
      <c r="E1627">
        <v>-3.2137851295444442E-2</v>
      </c>
      <c r="F1627" s="65">
        <v>4.0331904798619478E-2</v>
      </c>
      <c r="G1627" s="40">
        <f t="shared" si="64"/>
        <v>0</v>
      </c>
      <c r="H1627" s="33">
        <f t="shared" si="65"/>
        <v>-4.0331904798619478E-2</v>
      </c>
      <c r="I1627" s="43"/>
    </row>
    <row r="1628" spans="2:9" ht="15">
      <c r="B1628" s="32">
        <v>2</v>
      </c>
      <c r="C1628" s="66" t="s">
        <v>48</v>
      </c>
      <c r="D1628" s="64">
        <v>41907</v>
      </c>
      <c r="E1628">
        <v>1.4740096375955858E-3</v>
      </c>
      <c r="F1628" s="65">
        <v>4.5755779798644952E-2</v>
      </c>
      <c r="G1628" s="40">
        <f t="shared" si="64"/>
        <v>0</v>
      </c>
      <c r="H1628" s="33">
        <f t="shared" si="65"/>
        <v>-4.5755779798644952E-2</v>
      </c>
      <c r="I1628" s="43"/>
    </row>
    <row r="1629" spans="2:9" ht="15">
      <c r="B1629" s="32">
        <v>2</v>
      </c>
      <c r="C1629" s="66" t="s">
        <v>48</v>
      </c>
      <c r="D1629" s="64">
        <v>41908</v>
      </c>
      <c r="E1629">
        <v>-2.7943100414903554E-2</v>
      </c>
      <c r="F1629" s="65">
        <v>7.4390311936508441E-2</v>
      </c>
      <c r="G1629" s="40">
        <f t="shared" si="64"/>
        <v>0</v>
      </c>
      <c r="H1629" s="33">
        <f t="shared" si="65"/>
        <v>-7.4390311936508441E-2</v>
      </c>
      <c r="I1629" s="43"/>
    </row>
    <row r="1630" spans="2:9" ht="15">
      <c r="B1630" s="32">
        <v>2</v>
      </c>
      <c r="C1630" s="66" t="s">
        <v>48</v>
      </c>
      <c r="D1630" s="64">
        <v>41911</v>
      </c>
      <c r="E1630">
        <v>-3.6910129433213257E-2</v>
      </c>
      <c r="F1630" s="65">
        <v>7.1339925156455805E-2</v>
      </c>
      <c r="G1630" s="40">
        <f t="shared" si="64"/>
        <v>0</v>
      </c>
      <c r="H1630" s="33">
        <f t="shared" si="65"/>
        <v>-7.1339925156455805E-2</v>
      </c>
      <c r="I1630" s="43"/>
    </row>
    <row r="1631" spans="2:9" ht="15">
      <c r="B1631" s="32">
        <v>2</v>
      </c>
      <c r="C1631" s="66" t="s">
        <v>48</v>
      </c>
      <c r="D1631" s="64">
        <v>41912</v>
      </c>
      <c r="E1631">
        <v>-5.0725346159328666E-2</v>
      </c>
      <c r="F1631" s="65">
        <v>6.1342444074564878E-2</v>
      </c>
      <c r="G1631" s="40">
        <f t="shared" si="64"/>
        <v>0</v>
      </c>
      <c r="H1631" s="33">
        <f t="shared" si="65"/>
        <v>-6.1342444074564878E-2</v>
      </c>
      <c r="I1631" s="43"/>
    </row>
    <row r="1632" spans="2:9" ht="15">
      <c r="B1632" s="32">
        <v>2</v>
      </c>
      <c r="C1632" s="66" t="s">
        <v>48</v>
      </c>
      <c r="D1632" s="64">
        <v>41913</v>
      </c>
      <c r="E1632">
        <v>-3.581062027170212E-2</v>
      </c>
      <c r="F1632" s="65">
        <v>5.3171647102798064E-2</v>
      </c>
      <c r="G1632" s="40">
        <f t="shared" si="64"/>
        <v>0</v>
      </c>
      <c r="H1632" s="33">
        <f t="shared" si="65"/>
        <v>-5.3171647102798064E-2</v>
      </c>
      <c r="I1632" s="43"/>
    </row>
    <row r="1633" spans="2:9" ht="15">
      <c r="B1633" s="32">
        <v>2</v>
      </c>
      <c r="C1633" s="66" t="s">
        <v>48</v>
      </c>
      <c r="D1633" s="64">
        <v>41914</v>
      </c>
      <c r="E1633">
        <v>-4.3949064480763411E-2</v>
      </c>
      <c r="F1633" s="65">
        <v>6.8782605933443819E-2</v>
      </c>
      <c r="G1633" s="40">
        <f t="shared" si="64"/>
        <v>0</v>
      </c>
      <c r="H1633" s="33">
        <f t="shared" si="65"/>
        <v>-6.8782605933443819E-2</v>
      </c>
      <c r="I1633" s="43"/>
    </row>
    <row r="1634" spans="2:9" ht="15">
      <c r="B1634" s="32">
        <v>2</v>
      </c>
      <c r="C1634" s="66" t="s">
        <v>48</v>
      </c>
      <c r="D1634" s="64">
        <v>41915</v>
      </c>
      <c r="E1634">
        <v>-5.4907732314055657E-2</v>
      </c>
      <c r="F1634" s="65">
        <v>5.836397993418839E-2</v>
      </c>
      <c r="G1634" s="40">
        <f t="shared" si="64"/>
        <v>0</v>
      </c>
      <c r="H1634" s="33">
        <f t="shared" si="65"/>
        <v>-5.836397993418839E-2</v>
      </c>
      <c r="I1634" s="43"/>
    </row>
    <row r="1635" spans="2:9" ht="15">
      <c r="B1635" s="32">
        <v>2</v>
      </c>
      <c r="C1635" s="66" t="s">
        <v>48</v>
      </c>
      <c r="D1635" s="64">
        <v>41918</v>
      </c>
      <c r="E1635">
        <v>-4.0539533000400141E-2</v>
      </c>
      <c r="F1635" s="65">
        <v>6.5733071958911218E-2</v>
      </c>
      <c r="G1635" s="40">
        <f t="shared" si="64"/>
        <v>0</v>
      </c>
      <c r="H1635" s="33">
        <f t="shared" si="65"/>
        <v>-6.5733071958911218E-2</v>
      </c>
      <c r="I1635" s="43"/>
    </row>
    <row r="1636" spans="2:9" ht="15">
      <c r="B1636" s="32">
        <v>2</v>
      </c>
      <c r="C1636" s="66" t="s">
        <v>48</v>
      </c>
      <c r="D1636" s="64">
        <v>41919</v>
      </c>
      <c r="E1636">
        <v>-1.6196798622210018E-2</v>
      </c>
      <c r="F1636" s="65">
        <v>5.6108663103940505E-2</v>
      </c>
      <c r="G1636" s="40">
        <f t="shared" si="64"/>
        <v>0</v>
      </c>
      <c r="H1636" s="33">
        <f t="shared" si="65"/>
        <v>-5.6108663103940505E-2</v>
      </c>
      <c r="I1636" s="43"/>
    </row>
    <row r="1637" spans="2:9" ht="15">
      <c r="B1637" s="32">
        <v>2</v>
      </c>
      <c r="C1637" s="66" t="s">
        <v>48</v>
      </c>
      <c r="D1637" s="64">
        <v>41920</v>
      </c>
      <c r="E1637">
        <v>-1.4122375533125009E-2</v>
      </c>
      <c r="F1637" s="65">
        <v>7.607173375684724E-2</v>
      </c>
      <c r="G1637" s="40">
        <f t="shared" si="64"/>
        <v>0</v>
      </c>
      <c r="H1637" s="33">
        <f t="shared" si="65"/>
        <v>-7.607173375684724E-2</v>
      </c>
      <c r="I1637" s="43"/>
    </row>
    <row r="1638" spans="2:9" ht="15">
      <c r="B1638" s="32">
        <v>2</v>
      </c>
      <c r="C1638" s="66" t="s">
        <v>48</v>
      </c>
      <c r="D1638" s="64">
        <v>41921</v>
      </c>
      <c r="E1638">
        <v>-5.7062762377935172E-4</v>
      </c>
      <c r="F1638" s="65">
        <v>9.3314245115115602E-2</v>
      </c>
      <c r="G1638" s="40">
        <f t="shared" si="64"/>
        <v>0</v>
      </c>
      <c r="H1638" s="33">
        <f t="shared" si="65"/>
        <v>-9.3314245115115602E-2</v>
      </c>
      <c r="I1638" s="43"/>
    </row>
    <row r="1639" spans="2:9" ht="15">
      <c r="B1639" s="32">
        <v>2</v>
      </c>
      <c r="C1639" s="66" t="s">
        <v>48</v>
      </c>
      <c r="D1639" s="64">
        <v>41922</v>
      </c>
      <c r="E1639">
        <v>2.3174758129220763E-2</v>
      </c>
      <c r="F1639" s="65">
        <v>0.11346596962469536</v>
      </c>
      <c r="G1639" s="40">
        <f t="shared" si="64"/>
        <v>0</v>
      </c>
      <c r="H1639" s="33">
        <f t="shared" si="65"/>
        <v>-0.11346596962469536</v>
      </c>
      <c r="I1639" s="43"/>
    </row>
    <row r="1640" spans="2:9" ht="15">
      <c r="B1640" s="32">
        <v>2</v>
      </c>
      <c r="C1640" s="66" t="s">
        <v>48</v>
      </c>
      <c r="D1640" s="64">
        <v>41925</v>
      </c>
      <c r="E1640">
        <v>4.6808481814293756E-2</v>
      </c>
      <c r="F1640" s="65">
        <v>0.10620565267825081</v>
      </c>
      <c r="G1640" s="40">
        <f t="shared" si="64"/>
        <v>0</v>
      </c>
      <c r="H1640" s="33">
        <f t="shared" si="65"/>
        <v>-0.10620565267825081</v>
      </c>
      <c r="I1640" s="43"/>
    </row>
    <row r="1641" spans="2:9" ht="15">
      <c r="B1641" s="32">
        <v>2</v>
      </c>
      <c r="C1641" s="66" t="s">
        <v>48</v>
      </c>
      <c r="D1641" s="64">
        <v>41926</v>
      </c>
      <c r="E1641">
        <v>4.3728165308682954E-2</v>
      </c>
      <c r="F1641" s="65">
        <v>0.11090319413018528</v>
      </c>
      <c r="G1641" s="40">
        <f t="shared" si="64"/>
        <v>0</v>
      </c>
      <c r="H1641" s="33">
        <f t="shared" si="65"/>
        <v>-0.11090319413018528</v>
      </c>
      <c r="I1641" s="43"/>
    </row>
    <row r="1642" spans="2:9" ht="15">
      <c r="B1642" s="32">
        <v>2</v>
      </c>
      <c r="C1642" s="66" t="s">
        <v>48</v>
      </c>
      <c r="D1642" s="64">
        <v>41927</v>
      </c>
      <c r="E1642">
        <v>6.3729830662820675E-2</v>
      </c>
      <c r="F1642" s="65">
        <v>9.4304655842043839E-2</v>
      </c>
      <c r="G1642" s="40">
        <f t="shared" si="64"/>
        <v>0</v>
      </c>
      <c r="H1642" s="33">
        <f t="shared" si="65"/>
        <v>-9.4304655842043839E-2</v>
      </c>
      <c r="I1642" s="43"/>
    </row>
    <row r="1643" spans="2:9" ht="15">
      <c r="B1643" s="32">
        <v>2</v>
      </c>
      <c r="C1643" s="66" t="s">
        <v>48</v>
      </c>
      <c r="D1643" s="64">
        <v>41928</v>
      </c>
      <c r="E1643">
        <v>6.2198547220195799E-2</v>
      </c>
      <c r="F1643" s="65">
        <v>8.6055940737534281E-2</v>
      </c>
      <c r="G1643" s="40">
        <f t="shared" si="64"/>
        <v>0</v>
      </c>
      <c r="H1643" s="33">
        <f t="shared" si="65"/>
        <v>-8.6055940737534281E-2</v>
      </c>
      <c r="I1643" s="43"/>
    </row>
    <row r="1644" spans="2:9" ht="15">
      <c r="B1644" s="32">
        <v>2</v>
      </c>
      <c r="C1644" s="66" t="s">
        <v>48</v>
      </c>
      <c r="D1644" s="64">
        <v>41929</v>
      </c>
      <c r="E1644">
        <v>5.560753079823133E-2</v>
      </c>
      <c r="F1644" s="65">
        <v>7.3023067651877507E-2</v>
      </c>
      <c r="G1644" s="40">
        <f t="shared" si="64"/>
        <v>0</v>
      </c>
      <c r="H1644" s="33">
        <f t="shared" si="65"/>
        <v>-7.3023067651877507E-2</v>
      </c>
      <c r="I1644" s="43"/>
    </row>
    <row r="1645" spans="2:9" ht="15">
      <c r="B1645" s="32">
        <v>2</v>
      </c>
      <c r="C1645" s="66" t="s">
        <v>48</v>
      </c>
      <c r="D1645" s="64">
        <v>41932</v>
      </c>
      <c r="E1645">
        <v>5.8169529203979664E-2</v>
      </c>
      <c r="F1645" s="65">
        <v>7.9515571754994963E-2</v>
      </c>
      <c r="G1645" s="40">
        <f t="shared" si="64"/>
        <v>0</v>
      </c>
      <c r="H1645" s="33">
        <f t="shared" si="65"/>
        <v>-7.9515571754994963E-2</v>
      </c>
      <c r="I1645" s="43"/>
    </row>
    <row r="1646" spans="2:9" ht="15">
      <c r="B1646" s="32">
        <v>2</v>
      </c>
      <c r="C1646" s="66" t="s">
        <v>48</v>
      </c>
      <c r="D1646" s="64">
        <v>41933</v>
      </c>
      <c r="E1646">
        <v>3.8665229852015592E-2</v>
      </c>
      <c r="F1646" s="65">
        <v>7.6207058733740826E-2</v>
      </c>
      <c r="G1646" s="40">
        <f t="shared" si="64"/>
        <v>0</v>
      </c>
      <c r="H1646" s="33">
        <f t="shared" si="65"/>
        <v>-7.6207058733740826E-2</v>
      </c>
      <c r="I1646" s="43"/>
    </row>
    <row r="1647" spans="2:9" ht="15">
      <c r="B1647" s="32">
        <v>2</v>
      </c>
      <c r="C1647" s="66" t="s">
        <v>48</v>
      </c>
      <c r="D1647" s="64">
        <v>41934</v>
      </c>
      <c r="E1647">
        <v>4.3157477294919033E-2</v>
      </c>
      <c r="F1647" s="65">
        <v>9.9377617743603111E-2</v>
      </c>
      <c r="G1647" s="40">
        <f t="shared" si="64"/>
        <v>0</v>
      </c>
      <c r="H1647" s="33">
        <f t="shared" si="65"/>
        <v>-9.9377617743603111E-2</v>
      </c>
      <c r="I1647" s="43"/>
    </row>
    <row r="1648" spans="2:9" ht="15">
      <c r="B1648" s="32">
        <v>2</v>
      </c>
      <c r="C1648" s="66" t="s">
        <v>48</v>
      </c>
      <c r="D1648" s="64">
        <v>41935</v>
      </c>
      <c r="E1648">
        <v>3.6613482251235396E-2</v>
      </c>
      <c r="F1648" s="65">
        <v>8.9016629008840192E-2</v>
      </c>
      <c r="G1648" s="40">
        <f t="shared" si="64"/>
        <v>0</v>
      </c>
      <c r="H1648" s="33">
        <f t="shared" si="65"/>
        <v>-8.9016629008840192E-2</v>
      </c>
      <c r="I1648" s="43"/>
    </row>
    <row r="1649" spans="2:9" ht="15">
      <c r="B1649" s="32">
        <v>2</v>
      </c>
      <c r="C1649" s="66" t="s">
        <v>48</v>
      </c>
      <c r="D1649" s="64">
        <v>41936</v>
      </c>
      <c r="E1649">
        <v>3.3353195773126565E-2</v>
      </c>
      <c r="F1649" s="65">
        <v>8.9281280959675566E-2</v>
      </c>
      <c r="G1649" s="40">
        <f t="shared" si="64"/>
        <v>0</v>
      </c>
      <c r="H1649" s="33">
        <f t="shared" si="65"/>
        <v>-8.9281280959675566E-2</v>
      </c>
      <c r="I1649" s="43"/>
    </row>
    <row r="1650" spans="2:9" ht="15">
      <c r="B1650" s="32">
        <v>2</v>
      </c>
      <c r="C1650" s="66" t="s">
        <v>48</v>
      </c>
      <c r="D1650" s="64">
        <v>41939</v>
      </c>
      <c r="E1650">
        <v>3.5205417687313556E-2</v>
      </c>
      <c r="F1650" s="65">
        <v>8.0547109579662463E-2</v>
      </c>
      <c r="G1650" s="40">
        <f t="shared" si="64"/>
        <v>0</v>
      </c>
      <c r="H1650" s="33">
        <f t="shared" si="65"/>
        <v>-8.0547109579662463E-2</v>
      </c>
      <c r="I1650" s="43"/>
    </row>
    <row r="1651" spans="2:9" ht="15">
      <c r="B1651" s="32">
        <v>2</v>
      </c>
      <c r="C1651" s="66" t="s">
        <v>48</v>
      </c>
      <c r="D1651" s="64">
        <v>41940</v>
      </c>
      <c r="E1651">
        <v>2.6452380201189563E-2</v>
      </c>
      <c r="F1651" s="65">
        <v>6.8596356910531439E-2</v>
      </c>
      <c r="G1651" s="40">
        <f t="shared" si="64"/>
        <v>0</v>
      </c>
      <c r="H1651" s="33">
        <f t="shared" si="65"/>
        <v>-6.8596356910531439E-2</v>
      </c>
      <c r="I1651" s="43"/>
    </row>
    <row r="1652" spans="2:9" ht="15">
      <c r="B1652" s="32">
        <v>2</v>
      </c>
      <c r="C1652" s="66" t="s">
        <v>48</v>
      </c>
      <c r="D1652" s="64">
        <v>41941</v>
      </c>
      <c r="E1652">
        <v>2.8535147848732123E-2</v>
      </c>
      <c r="F1652" s="65">
        <v>7.4312829758345217E-2</v>
      </c>
      <c r="G1652" s="40">
        <f t="shared" si="64"/>
        <v>0</v>
      </c>
      <c r="H1652" s="33">
        <f t="shared" si="65"/>
        <v>-7.4312829758345217E-2</v>
      </c>
      <c r="I1652" s="43"/>
    </row>
    <row r="1653" spans="2:9" ht="15">
      <c r="B1653" s="32">
        <v>2</v>
      </c>
      <c r="C1653" s="66" t="s">
        <v>48</v>
      </c>
      <c r="D1653" s="64">
        <v>41942</v>
      </c>
      <c r="E1653">
        <v>2.1622988174512692E-2</v>
      </c>
      <c r="F1653" s="65">
        <v>6.3287031150573186E-2</v>
      </c>
      <c r="G1653" s="40">
        <f t="shared" si="64"/>
        <v>0</v>
      </c>
      <c r="H1653" s="33">
        <f t="shared" si="65"/>
        <v>-6.3287031150573186E-2</v>
      </c>
      <c r="I1653" s="43"/>
    </row>
    <row r="1654" spans="2:9" ht="15">
      <c r="B1654" s="32">
        <v>2</v>
      </c>
      <c r="C1654" s="66" t="s">
        <v>48</v>
      </c>
      <c r="D1654" s="64">
        <v>41943</v>
      </c>
      <c r="E1654">
        <v>1.048957805019235E-2</v>
      </c>
      <c r="F1654" s="65">
        <v>5.889229432212234E-2</v>
      </c>
      <c r="G1654" s="40">
        <f t="shared" si="64"/>
        <v>0</v>
      </c>
      <c r="H1654" s="33">
        <f t="shared" si="65"/>
        <v>-5.889229432212234E-2</v>
      </c>
      <c r="I1654" s="43"/>
    </row>
    <row r="1655" spans="2:9" ht="15">
      <c r="B1655" s="32">
        <v>2</v>
      </c>
      <c r="C1655" s="66" t="s">
        <v>48</v>
      </c>
      <c r="D1655" s="64">
        <v>41946</v>
      </c>
      <c r="E1655">
        <v>1.0848748084081983E-2</v>
      </c>
      <c r="F1655" s="65">
        <v>6.7516331456709155E-2</v>
      </c>
      <c r="G1655" s="40">
        <f t="shared" si="64"/>
        <v>0</v>
      </c>
      <c r="H1655" s="33">
        <f t="shared" si="65"/>
        <v>-6.7516331456709155E-2</v>
      </c>
      <c r="I1655" s="43"/>
    </row>
    <row r="1656" spans="2:9" ht="15">
      <c r="B1656" s="32">
        <v>2</v>
      </c>
      <c r="C1656" s="66" t="s">
        <v>48</v>
      </c>
      <c r="D1656" s="64">
        <v>41947</v>
      </c>
      <c r="E1656">
        <v>1.4417690110056114E-2</v>
      </c>
      <c r="F1656" s="65">
        <v>5.7291377526356727E-2</v>
      </c>
      <c r="G1656" s="40">
        <f t="shared" si="64"/>
        <v>0</v>
      </c>
      <c r="H1656" s="33">
        <f t="shared" si="65"/>
        <v>-5.7291377526356727E-2</v>
      </c>
      <c r="I1656" s="43"/>
    </row>
    <row r="1657" spans="2:9" ht="15">
      <c r="B1657" s="32">
        <v>2</v>
      </c>
      <c r="C1657" s="66" t="s">
        <v>48</v>
      </c>
      <c r="D1657" s="64">
        <v>41948</v>
      </c>
      <c r="E1657">
        <v>1.3854228976946104E-2</v>
      </c>
      <c r="F1657" s="65">
        <v>4.9849266844021398E-2</v>
      </c>
      <c r="G1657" s="40">
        <f t="shared" si="64"/>
        <v>0</v>
      </c>
      <c r="H1657" s="33">
        <f t="shared" si="65"/>
        <v>-4.9849266844021398E-2</v>
      </c>
      <c r="I1657" s="43"/>
    </row>
    <row r="1658" spans="2:9" ht="15">
      <c r="B1658" s="32">
        <v>2</v>
      </c>
      <c r="C1658" s="66" t="s">
        <v>48</v>
      </c>
      <c r="D1658" s="64">
        <v>41949</v>
      </c>
      <c r="E1658">
        <v>8.5835383445216351E-3</v>
      </c>
      <c r="F1658" s="65">
        <v>4.7736651263182592E-2</v>
      </c>
      <c r="G1658" s="40">
        <f t="shared" si="64"/>
        <v>0</v>
      </c>
      <c r="H1658" s="33">
        <f t="shared" si="65"/>
        <v>-4.7736651263182592E-2</v>
      </c>
      <c r="I1658" s="43"/>
    </row>
    <row r="1659" spans="2:9" ht="15">
      <c r="B1659" s="32">
        <v>2</v>
      </c>
      <c r="C1659" s="66" t="s">
        <v>48</v>
      </c>
      <c r="D1659" s="64">
        <v>41950</v>
      </c>
      <c r="E1659">
        <v>1.0199177089892153E-2</v>
      </c>
      <c r="F1659" s="65">
        <v>4.3080359036618276E-2</v>
      </c>
      <c r="G1659" s="40">
        <f t="shared" si="64"/>
        <v>0</v>
      </c>
      <c r="H1659" s="33">
        <f t="shared" si="65"/>
        <v>-4.3080359036618276E-2</v>
      </c>
      <c r="I1659" s="43"/>
    </row>
    <row r="1660" spans="2:9" ht="15">
      <c r="B1660" s="32">
        <v>2</v>
      </c>
      <c r="C1660" s="66" t="s">
        <v>48</v>
      </c>
      <c r="D1660" s="64">
        <v>41953</v>
      </c>
      <c r="E1660">
        <v>1.2307062585998452E-2</v>
      </c>
      <c r="F1660" s="65">
        <v>3.6580209499652627E-2</v>
      </c>
      <c r="G1660" s="40">
        <f t="shared" si="64"/>
        <v>0</v>
      </c>
      <c r="H1660" s="33">
        <f t="shared" si="65"/>
        <v>-3.6580209499652627E-2</v>
      </c>
      <c r="I1660" s="43"/>
    </row>
    <row r="1661" spans="2:9" ht="15">
      <c r="B1661" s="32">
        <v>2</v>
      </c>
      <c r="C1661" s="66" t="s">
        <v>48</v>
      </c>
      <c r="D1661" s="64">
        <v>41954</v>
      </c>
      <c r="E1661">
        <v>1.4470540689864642E-2</v>
      </c>
      <c r="F1661" s="65">
        <v>3.3324274153648276E-2</v>
      </c>
      <c r="G1661" s="40">
        <f t="shared" si="64"/>
        <v>0</v>
      </c>
      <c r="H1661" s="33">
        <f t="shared" si="65"/>
        <v>-3.3324274153648276E-2</v>
      </c>
      <c r="I1661" s="43"/>
    </row>
    <row r="1662" spans="2:9" ht="15">
      <c r="B1662" s="32">
        <v>2</v>
      </c>
      <c r="C1662" s="66" t="s">
        <v>48</v>
      </c>
      <c r="D1662" s="64">
        <v>41955</v>
      </c>
      <c r="E1662">
        <v>1.4021211851313886E-2</v>
      </c>
      <c r="F1662" s="65">
        <v>2.8406253741833885E-2</v>
      </c>
      <c r="G1662" s="40">
        <f t="shared" si="64"/>
        <v>0</v>
      </c>
      <c r="H1662" s="33">
        <f t="shared" si="65"/>
        <v>-2.8406253741833885E-2</v>
      </c>
      <c r="I1662" s="43"/>
    </row>
    <row r="1663" spans="2:9" ht="15">
      <c r="B1663" s="32">
        <v>2</v>
      </c>
      <c r="C1663" s="66" t="s">
        <v>48</v>
      </c>
      <c r="D1663" s="64">
        <v>41956</v>
      </c>
      <c r="E1663">
        <v>1.6293560004654317E-2</v>
      </c>
      <c r="F1663" s="65">
        <v>2.4257638757571542E-2</v>
      </c>
      <c r="G1663" s="40">
        <f t="shared" si="64"/>
        <v>0</v>
      </c>
      <c r="H1663" s="33">
        <f t="shared" si="65"/>
        <v>-2.4257638757571542E-2</v>
      </c>
      <c r="I1663" s="43"/>
    </row>
    <row r="1664" spans="2:9" ht="15">
      <c r="B1664" s="32">
        <v>2</v>
      </c>
      <c r="C1664" s="66" t="s">
        <v>48</v>
      </c>
      <c r="D1664" s="64">
        <v>41957</v>
      </c>
      <c r="E1664">
        <v>1.35076543907795E-2</v>
      </c>
      <c r="F1664" s="65">
        <v>2.0686314410945053E-2</v>
      </c>
      <c r="G1664" s="40">
        <f t="shared" si="64"/>
        <v>0</v>
      </c>
      <c r="H1664" s="33">
        <f t="shared" si="65"/>
        <v>-2.0686314410945053E-2</v>
      </c>
      <c r="I1664" s="43"/>
    </row>
    <row r="1665" spans="2:9" ht="15">
      <c r="B1665" s="32">
        <v>2</v>
      </c>
      <c r="C1665" s="66" t="s">
        <v>48</v>
      </c>
      <c r="D1665" s="64">
        <v>41960</v>
      </c>
      <c r="E1665">
        <v>5.9197758738562811E-3</v>
      </c>
      <c r="F1665" s="65">
        <v>1.7577815013918113E-2</v>
      </c>
      <c r="G1665" s="40">
        <f t="shared" si="64"/>
        <v>0</v>
      </c>
      <c r="H1665" s="33">
        <f t="shared" si="65"/>
        <v>-1.7577815013918113E-2</v>
      </c>
      <c r="I1665" s="43"/>
    </row>
    <row r="1666" spans="2:9" ht="15">
      <c r="B1666" s="32">
        <v>2</v>
      </c>
      <c r="C1666" s="66" t="s">
        <v>48</v>
      </c>
      <c r="D1666" s="64">
        <v>41961</v>
      </c>
      <c r="E1666">
        <v>7.1630933346513714E-3</v>
      </c>
      <c r="F1666" s="65">
        <v>1.5187279862661813E-2</v>
      </c>
      <c r="G1666" s="40">
        <f t="shared" si="64"/>
        <v>0</v>
      </c>
      <c r="H1666" s="33">
        <f t="shared" si="65"/>
        <v>-1.5187279862661813E-2</v>
      </c>
      <c r="I1666" s="43"/>
    </row>
    <row r="1667" spans="2:9" ht="15">
      <c r="B1667" s="32">
        <v>2</v>
      </c>
      <c r="C1667" s="66" t="s">
        <v>48</v>
      </c>
      <c r="D1667" s="64">
        <v>41962</v>
      </c>
      <c r="E1667">
        <v>1.2423053839727416E-2</v>
      </c>
      <c r="F1667" s="65">
        <v>2.3736830478369966E-2</v>
      </c>
      <c r="G1667" s="40">
        <f t="shared" si="64"/>
        <v>0</v>
      </c>
      <c r="H1667" s="33">
        <f t="shared" si="65"/>
        <v>-2.3736830478369966E-2</v>
      </c>
      <c r="I1667" s="43"/>
    </row>
    <row r="1668" spans="2:9" ht="15">
      <c r="B1668" s="32">
        <v>2</v>
      </c>
      <c r="C1668" s="66" t="s">
        <v>48</v>
      </c>
      <c r="D1668" s="64">
        <v>41963</v>
      </c>
      <c r="E1668">
        <v>9.2953183602366707E-3</v>
      </c>
      <c r="F1668" s="65">
        <v>2.0973166184015273E-2</v>
      </c>
      <c r="G1668" s="40">
        <f t="shared" si="64"/>
        <v>0</v>
      </c>
      <c r="H1668" s="33">
        <f t="shared" si="65"/>
        <v>-2.0973166184015273E-2</v>
      </c>
      <c r="I1668" s="43"/>
    </row>
    <row r="1669" spans="2:9" ht="15">
      <c r="B1669" s="32">
        <v>2</v>
      </c>
      <c r="C1669" s="66" t="s">
        <v>48</v>
      </c>
      <c r="D1669" s="64">
        <v>41964</v>
      </c>
      <c r="E1669">
        <v>5.7359372047436352E-3</v>
      </c>
      <c r="F1669" s="65">
        <v>1.9370832218141079E-2</v>
      </c>
      <c r="G1669" s="40">
        <f t="shared" si="64"/>
        <v>0</v>
      </c>
      <c r="H1669" s="33">
        <f t="shared" si="65"/>
        <v>-1.9370832218141079E-2</v>
      </c>
      <c r="I1669" s="43"/>
    </row>
    <row r="1670" spans="2:9" ht="15">
      <c r="B1670" s="32">
        <v>2</v>
      </c>
      <c r="C1670" s="66" t="s">
        <v>48</v>
      </c>
      <c r="D1670" s="64">
        <v>41967</v>
      </c>
      <c r="E1670">
        <v>-4.4070144183336879E-3</v>
      </c>
      <c r="F1670" s="65">
        <v>2.6145299254379778E-2</v>
      </c>
      <c r="G1670" s="40">
        <f t="shared" si="64"/>
        <v>0</v>
      </c>
      <c r="H1670" s="33">
        <f t="shared" si="65"/>
        <v>-2.6145299254379778E-2</v>
      </c>
      <c r="I1670" s="43"/>
    </row>
    <row r="1671" spans="2:9" ht="15">
      <c r="B1671" s="32">
        <v>2</v>
      </c>
      <c r="C1671" s="66" t="s">
        <v>48</v>
      </c>
      <c r="D1671" s="64">
        <v>41968</v>
      </c>
      <c r="E1671">
        <v>-3.4941750566268581E-3</v>
      </c>
      <c r="F1671" s="65">
        <v>2.4821705931017152E-2</v>
      </c>
      <c r="G1671" s="40">
        <f t="shared" si="64"/>
        <v>0</v>
      </c>
      <c r="H1671" s="33">
        <f t="shared" si="65"/>
        <v>-2.4821705931017152E-2</v>
      </c>
      <c r="I1671" s="43"/>
    </row>
    <row r="1672" spans="2:9" ht="15">
      <c r="B1672" s="32">
        <v>2</v>
      </c>
      <c r="C1672" s="66" t="s">
        <v>48</v>
      </c>
      <c r="D1672" s="64">
        <v>41969</v>
      </c>
      <c r="E1672">
        <v>-2.2782348446616751E-2</v>
      </c>
      <c r="F1672" s="65">
        <v>2.1532966734656794E-2</v>
      </c>
      <c r="G1672" s="40">
        <f t="shared" si="64"/>
        <v>1</v>
      </c>
      <c r="H1672" s="33">
        <f t="shared" si="65"/>
        <v>-2.1532966734656794E-2</v>
      </c>
      <c r="I1672" s="43">
        <f t="shared" ref="I1670:I1733" si="67">IF(G1672=0,"",E1672)</f>
        <v>-2.2782348446616751E-2</v>
      </c>
    </row>
    <row r="1673" spans="2:9" ht="15">
      <c r="B1673" s="32">
        <v>2</v>
      </c>
      <c r="C1673" s="66" t="s">
        <v>48</v>
      </c>
      <c r="D1673" s="64">
        <v>41971</v>
      </c>
      <c r="E1673">
        <v>-1.5711250295158408E-2</v>
      </c>
      <c r="F1673" s="65">
        <v>2.1279510796484918E-2</v>
      </c>
      <c r="G1673" s="40">
        <f t="shared" si="64"/>
        <v>0</v>
      </c>
      <c r="H1673" s="33">
        <f t="shared" si="65"/>
        <v>-2.1279510796484918E-2</v>
      </c>
      <c r="I1673" s="43"/>
    </row>
    <row r="1674" spans="2:9" ht="15">
      <c r="B1674" s="32">
        <v>2</v>
      </c>
      <c r="C1674" s="66" t="s">
        <v>48</v>
      </c>
      <c r="D1674" s="64">
        <v>41974</v>
      </c>
      <c r="E1674">
        <v>-2.5204926348099121E-2</v>
      </c>
      <c r="F1674" s="65">
        <v>2.0596801679749279E-2</v>
      </c>
      <c r="G1674" s="40">
        <f t="shared" si="64"/>
        <v>1</v>
      </c>
      <c r="H1674" s="33">
        <f t="shared" si="65"/>
        <v>-2.0596801679749279E-2</v>
      </c>
      <c r="I1674" s="43">
        <f t="shared" si="67"/>
        <v>-2.5204926348099121E-2</v>
      </c>
    </row>
    <row r="1675" spans="2:9" ht="15">
      <c r="B1675" s="32">
        <v>2</v>
      </c>
      <c r="C1675" s="66" t="s">
        <v>48</v>
      </c>
      <c r="D1675" s="64">
        <v>41975</v>
      </c>
      <c r="E1675">
        <v>-3.7931879573465999E-2</v>
      </c>
      <c r="F1675" s="65">
        <v>3.1891292337645316E-2</v>
      </c>
      <c r="G1675" s="40">
        <f t="shared" ref="G1675:G1738" si="68">--(E1675&lt;-F1675)</f>
        <v>1</v>
      </c>
      <c r="H1675" s="33">
        <f t="shared" ref="H1675:H1738" si="69">-F1675</f>
        <v>-3.1891292337645316E-2</v>
      </c>
      <c r="I1675" s="43">
        <f t="shared" si="67"/>
        <v>-3.7931879573465999E-2</v>
      </c>
    </row>
    <row r="1676" spans="2:9" ht="15">
      <c r="B1676" s="32">
        <v>2</v>
      </c>
      <c r="C1676" s="66" t="s">
        <v>48</v>
      </c>
      <c r="D1676" s="64">
        <v>41976</v>
      </c>
      <c r="E1676">
        <v>-5.0214813307149164E-2</v>
      </c>
      <c r="F1676" s="65">
        <v>3.6688251819152626E-2</v>
      </c>
      <c r="G1676" s="40">
        <f t="shared" si="68"/>
        <v>1</v>
      </c>
      <c r="H1676" s="33">
        <f t="shared" si="69"/>
        <v>-3.6688251819152626E-2</v>
      </c>
      <c r="I1676" s="43">
        <f t="shared" si="67"/>
        <v>-5.0214813307149164E-2</v>
      </c>
    </row>
    <row r="1677" spans="2:9" ht="15">
      <c r="B1677" s="32">
        <v>2</v>
      </c>
      <c r="C1677" s="66" t="s">
        <v>48</v>
      </c>
      <c r="D1677" s="64">
        <v>41977</v>
      </c>
      <c r="E1677">
        <v>-2.8904168159196608E-2</v>
      </c>
      <c r="F1677" s="65">
        <v>3.4396313469868108E-2</v>
      </c>
      <c r="G1677" s="40">
        <f t="shared" si="68"/>
        <v>0</v>
      </c>
      <c r="H1677" s="33">
        <f t="shared" si="69"/>
        <v>-3.4396313469868108E-2</v>
      </c>
      <c r="I1677" s="43"/>
    </row>
    <row r="1678" spans="2:9" ht="15">
      <c r="B1678" s="32">
        <v>2</v>
      </c>
      <c r="C1678" s="66" t="s">
        <v>48</v>
      </c>
      <c r="D1678" s="64">
        <v>41978</v>
      </c>
      <c r="E1678">
        <v>-6.8366251238014542E-3</v>
      </c>
      <c r="F1678" s="65">
        <v>2.9535019674192808E-2</v>
      </c>
      <c r="G1678" s="40">
        <f t="shared" si="68"/>
        <v>0</v>
      </c>
      <c r="H1678" s="33">
        <f t="shared" si="69"/>
        <v>-2.9535019674192808E-2</v>
      </c>
      <c r="I1678" s="43"/>
    </row>
    <row r="1679" spans="2:9" ht="15">
      <c r="B1679" s="32">
        <v>2</v>
      </c>
      <c r="C1679" s="66" t="s">
        <v>48</v>
      </c>
      <c r="D1679" s="64">
        <v>41981</v>
      </c>
      <c r="E1679">
        <v>5.006034767211176E-3</v>
      </c>
      <c r="F1679" s="65">
        <v>2.5884704808883691E-2</v>
      </c>
      <c r="G1679" s="40">
        <f t="shared" si="68"/>
        <v>0</v>
      </c>
      <c r="H1679" s="33">
        <f t="shared" si="69"/>
        <v>-2.5884704808883691E-2</v>
      </c>
      <c r="I1679" s="43"/>
    </row>
    <row r="1680" spans="2:9" ht="15">
      <c r="B1680" s="32">
        <v>2</v>
      </c>
      <c r="C1680" s="66" t="s">
        <v>48</v>
      </c>
      <c r="D1680" s="64">
        <v>41982</v>
      </c>
      <c r="E1680">
        <v>9.0471095805613189E-3</v>
      </c>
      <c r="F1680" s="65">
        <v>3.586336104557182E-2</v>
      </c>
      <c r="G1680" s="40">
        <f t="shared" si="68"/>
        <v>0</v>
      </c>
      <c r="H1680" s="33">
        <f t="shared" si="69"/>
        <v>-3.586336104557182E-2</v>
      </c>
      <c r="I1680" s="43"/>
    </row>
    <row r="1681" spans="2:9" ht="15">
      <c r="B1681" s="32">
        <v>2</v>
      </c>
      <c r="C1681" s="66" t="s">
        <v>48</v>
      </c>
      <c r="D1681" s="64">
        <v>41983</v>
      </c>
      <c r="E1681">
        <v>2.7278069135435068E-2</v>
      </c>
      <c r="F1681" s="65">
        <v>3.0445153262211196E-2</v>
      </c>
      <c r="G1681" s="40">
        <f t="shared" si="68"/>
        <v>0</v>
      </c>
      <c r="H1681" s="33">
        <f t="shared" si="69"/>
        <v>-3.0445153262211196E-2</v>
      </c>
      <c r="I1681" s="43"/>
    </row>
    <row r="1682" spans="2:9" ht="15">
      <c r="B1682" s="32">
        <v>2</v>
      </c>
      <c r="C1682" s="66" t="s">
        <v>48</v>
      </c>
      <c r="D1682" s="64">
        <v>41984</v>
      </c>
      <c r="E1682">
        <v>2.2613329153151618E-2</v>
      </c>
      <c r="F1682" s="65">
        <v>6.9180365270637381E-2</v>
      </c>
      <c r="G1682" s="40">
        <f t="shared" si="68"/>
        <v>0</v>
      </c>
      <c r="H1682" s="33">
        <f t="shared" si="69"/>
        <v>-6.9180365270637381E-2</v>
      </c>
      <c r="I1682" s="43"/>
    </row>
    <row r="1683" spans="2:9" ht="15">
      <c r="B1683" s="32">
        <v>2</v>
      </c>
      <c r="C1683" s="66" t="s">
        <v>48</v>
      </c>
      <c r="D1683" s="64">
        <v>41985</v>
      </c>
      <c r="E1683">
        <v>4.2263905061725282E-2</v>
      </c>
      <c r="F1683" s="65">
        <v>6.1287824106631521E-2</v>
      </c>
      <c r="G1683" s="40">
        <f t="shared" si="68"/>
        <v>0</v>
      </c>
      <c r="H1683" s="33">
        <f t="shared" si="69"/>
        <v>-6.1287824106631521E-2</v>
      </c>
      <c r="I1683" s="43"/>
    </row>
    <row r="1684" spans="2:9" ht="15">
      <c r="B1684" s="32">
        <v>2</v>
      </c>
      <c r="C1684" s="66" t="s">
        <v>48</v>
      </c>
      <c r="D1684" s="64">
        <v>41988</v>
      </c>
      <c r="E1684">
        <v>4.9488094279008799E-2</v>
      </c>
      <c r="F1684" s="65">
        <v>8.2179865397396926E-2</v>
      </c>
      <c r="G1684" s="40">
        <f t="shared" si="68"/>
        <v>0</v>
      </c>
      <c r="H1684" s="33">
        <f t="shared" si="69"/>
        <v>-8.2179865397396926E-2</v>
      </c>
      <c r="I1684" s="43"/>
    </row>
    <row r="1685" spans="2:9" ht="15">
      <c r="B1685" s="32">
        <v>2</v>
      </c>
      <c r="C1685" s="66" t="s">
        <v>48</v>
      </c>
      <c r="D1685" s="64">
        <v>41989</v>
      </c>
      <c r="E1685">
        <v>5.3112761624729998E-2</v>
      </c>
      <c r="F1685" s="65">
        <v>7.4000162541491429E-2</v>
      </c>
      <c r="G1685" s="40">
        <f t="shared" si="68"/>
        <v>0</v>
      </c>
      <c r="H1685" s="33">
        <f t="shared" si="69"/>
        <v>-7.4000162541491429E-2</v>
      </c>
      <c r="I1685" s="43"/>
    </row>
    <row r="1686" spans="2:9" ht="15">
      <c r="B1686" s="32">
        <v>2</v>
      </c>
      <c r="C1686" s="66" t="s">
        <v>48</v>
      </c>
      <c r="D1686" s="64">
        <v>41990</v>
      </c>
      <c r="E1686">
        <v>2.2600304194527077E-2</v>
      </c>
      <c r="F1686" s="65">
        <v>7.1021689474314323E-2</v>
      </c>
      <c r="G1686" s="40">
        <f t="shared" si="68"/>
        <v>0</v>
      </c>
      <c r="H1686" s="33">
        <f t="shared" si="69"/>
        <v>-7.1021689474314323E-2</v>
      </c>
      <c r="I1686" s="43"/>
    </row>
    <row r="1687" spans="2:9" ht="15">
      <c r="B1687" s="32">
        <v>2</v>
      </c>
      <c r="C1687" s="66" t="s">
        <v>48</v>
      </c>
      <c r="D1687" s="64">
        <v>41991</v>
      </c>
      <c r="E1687">
        <v>-1.4710916787983308E-3</v>
      </c>
      <c r="F1687" s="65">
        <v>9.8909777152376574E-2</v>
      </c>
      <c r="G1687" s="40">
        <f t="shared" si="68"/>
        <v>0</v>
      </c>
      <c r="H1687" s="33">
        <f t="shared" si="69"/>
        <v>-9.8909777152376574E-2</v>
      </c>
      <c r="I1687" s="43"/>
    </row>
    <row r="1688" spans="2:9" ht="15">
      <c r="B1688" s="32">
        <v>2</v>
      </c>
      <c r="C1688" s="66" t="s">
        <v>48</v>
      </c>
      <c r="D1688" s="64">
        <v>41992</v>
      </c>
      <c r="E1688">
        <v>-2.4477943183764062E-2</v>
      </c>
      <c r="F1688" s="65">
        <v>0.12481135126653271</v>
      </c>
      <c r="G1688" s="40">
        <f t="shared" si="68"/>
        <v>0</v>
      </c>
      <c r="H1688" s="33">
        <f t="shared" si="69"/>
        <v>-0.12481135126653271</v>
      </c>
      <c r="I1688" s="43"/>
    </row>
    <row r="1689" spans="2:9" ht="15">
      <c r="B1689" s="32">
        <v>2</v>
      </c>
      <c r="C1689" s="66" t="s">
        <v>48</v>
      </c>
      <c r="D1689" s="64">
        <v>41995</v>
      </c>
      <c r="E1689">
        <v>-3.72144206388203E-2</v>
      </c>
      <c r="F1689" s="65">
        <v>0.10738300880653145</v>
      </c>
      <c r="G1689" s="40">
        <f t="shared" si="68"/>
        <v>0</v>
      </c>
      <c r="H1689" s="33">
        <f t="shared" si="69"/>
        <v>-0.10738300880653145</v>
      </c>
      <c r="I1689" s="43"/>
    </row>
    <row r="1690" spans="2:9" ht="15">
      <c r="B1690" s="32">
        <v>2</v>
      </c>
      <c r="C1690" s="66" t="s">
        <v>48</v>
      </c>
      <c r="D1690" s="64">
        <v>41996</v>
      </c>
      <c r="E1690">
        <v>-2.7396523542583928E-2</v>
      </c>
      <c r="F1690" s="65">
        <v>9.2312429411086999E-2</v>
      </c>
      <c r="G1690" s="40">
        <f t="shared" si="68"/>
        <v>0</v>
      </c>
      <c r="H1690" s="33">
        <f t="shared" si="69"/>
        <v>-9.2312429411086999E-2</v>
      </c>
      <c r="I1690" s="43"/>
    </row>
    <row r="1691" spans="2:9" ht="15">
      <c r="B1691" s="32">
        <v>2</v>
      </c>
      <c r="C1691" s="66" t="s">
        <v>48</v>
      </c>
      <c r="D1691" s="64">
        <v>41997</v>
      </c>
      <c r="E1691">
        <v>-9.5270487954168814E-3</v>
      </c>
      <c r="F1691" s="65">
        <v>7.8623626162605417E-2</v>
      </c>
      <c r="G1691" s="40">
        <f t="shared" si="68"/>
        <v>0</v>
      </c>
      <c r="H1691" s="33">
        <f t="shared" si="69"/>
        <v>-7.8623626162605417E-2</v>
      </c>
      <c r="I1691" s="43"/>
    </row>
    <row r="1692" spans="2:9" ht="15">
      <c r="B1692" s="32">
        <v>2</v>
      </c>
      <c r="C1692" s="66" t="s">
        <v>48</v>
      </c>
      <c r="D1692" s="64">
        <v>41999</v>
      </c>
      <c r="E1692">
        <v>-2.1270481064875391E-2</v>
      </c>
      <c r="F1692" s="65">
        <v>6.6716562964939885E-2</v>
      </c>
      <c r="G1692" s="40">
        <f t="shared" si="68"/>
        <v>0</v>
      </c>
      <c r="H1692" s="33">
        <f t="shared" si="69"/>
        <v>-6.6716562964939885E-2</v>
      </c>
      <c r="I1692" s="43"/>
    </row>
    <row r="1693" spans="2:9" ht="15">
      <c r="B1693" s="32">
        <v>2</v>
      </c>
      <c r="C1693" s="66" t="s">
        <v>48</v>
      </c>
      <c r="D1693" s="64">
        <v>42002</v>
      </c>
      <c r="E1693">
        <v>-3.0258501023237905E-2</v>
      </c>
      <c r="F1693" s="65">
        <v>5.8053618649802984E-2</v>
      </c>
      <c r="G1693" s="40">
        <f t="shared" si="68"/>
        <v>0</v>
      </c>
      <c r="H1693" s="33">
        <f t="shared" si="69"/>
        <v>-5.8053618649802984E-2</v>
      </c>
      <c r="I1693" s="43"/>
    </row>
    <row r="1694" spans="2:9" ht="15">
      <c r="B1694" s="32">
        <v>2</v>
      </c>
      <c r="C1694" s="66" t="s">
        <v>48</v>
      </c>
      <c r="D1694" s="64">
        <v>42003</v>
      </c>
      <c r="E1694">
        <v>-2.7939794023991382E-2</v>
      </c>
      <c r="F1694" s="65">
        <v>4.9374125628179742E-2</v>
      </c>
      <c r="G1694" s="40">
        <f t="shared" si="68"/>
        <v>0</v>
      </c>
      <c r="H1694" s="33">
        <f t="shared" si="69"/>
        <v>-4.9374125628179742E-2</v>
      </c>
      <c r="I1694" s="43"/>
    </row>
    <row r="1695" spans="2:9" ht="15">
      <c r="B1695" s="32">
        <v>2</v>
      </c>
      <c r="C1695" s="66" t="s">
        <v>48</v>
      </c>
      <c r="D1695" s="64">
        <v>42004</v>
      </c>
      <c r="E1695">
        <v>-2.3405438718712368E-2</v>
      </c>
      <c r="F1695" s="65">
        <v>4.6034095449127614E-2</v>
      </c>
      <c r="G1695" s="40">
        <f t="shared" si="68"/>
        <v>0</v>
      </c>
      <c r="H1695" s="33">
        <f t="shared" si="69"/>
        <v>-4.6034095449127614E-2</v>
      </c>
      <c r="I1695" s="43"/>
    </row>
    <row r="1696" spans="2:9" ht="15">
      <c r="B1696" s="32">
        <v>2</v>
      </c>
      <c r="C1696" s="66" t="s">
        <v>48</v>
      </c>
      <c r="D1696" s="64">
        <v>42006</v>
      </c>
      <c r="E1696">
        <v>-3.2356320539212113E-2</v>
      </c>
      <c r="F1696" s="65">
        <v>5.6156514767455437E-2</v>
      </c>
      <c r="G1696" s="40">
        <f t="shared" si="68"/>
        <v>0</v>
      </c>
      <c r="H1696" s="33">
        <f t="shared" si="69"/>
        <v>-5.6156514767455437E-2</v>
      </c>
      <c r="I1696" s="43"/>
    </row>
    <row r="1697" spans="2:9" ht="15">
      <c r="B1697" s="32">
        <v>2</v>
      </c>
      <c r="C1697" s="66" t="s">
        <v>48</v>
      </c>
      <c r="D1697" s="64">
        <v>42009</v>
      </c>
      <c r="E1697">
        <v>-5.7421387716427574E-4</v>
      </c>
      <c r="F1697" s="65">
        <v>4.7668762633371678E-2</v>
      </c>
      <c r="G1697" s="40">
        <f t="shared" si="68"/>
        <v>0</v>
      </c>
      <c r="H1697" s="33">
        <f t="shared" si="69"/>
        <v>-4.7668762633371678E-2</v>
      </c>
      <c r="I1697" s="43"/>
    </row>
    <row r="1698" spans="2:9" ht="15">
      <c r="B1698" s="32">
        <v>2</v>
      </c>
      <c r="C1698" s="66" t="s">
        <v>48</v>
      </c>
      <c r="D1698" s="64">
        <v>42010</v>
      </c>
      <c r="E1698">
        <v>9.9077934533227108E-3</v>
      </c>
      <c r="F1698" s="65">
        <v>8.2418011303564714E-2</v>
      </c>
      <c r="G1698" s="40">
        <f t="shared" si="68"/>
        <v>0</v>
      </c>
      <c r="H1698" s="33">
        <f t="shared" si="69"/>
        <v>-8.2418011303564714E-2</v>
      </c>
      <c r="I1698" s="43"/>
    </row>
    <row r="1699" spans="2:9" ht="15">
      <c r="B1699" s="32">
        <v>2</v>
      </c>
      <c r="C1699" s="66" t="s">
        <v>48</v>
      </c>
      <c r="D1699" s="64">
        <v>42011</v>
      </c>
      <c r="E1699">
        <v>3.0655225168212397E-3</v>
      </c>
      <c r="F1699" s="65">
        <v>7.8102780815839642E-2</v>
      </c>
      <c r="G1699" s="40">
        <f t="shared" si="68"/>
        <v>0</v>
      </c>
      <c r="H1699" s="33">
        <f t="shared" si="69"/>
        <v>-7.8102780815839642E-2</v>
      </c>
      <c r="I1699" s="43"/>
    </row>
    <row r="1700" spans="2:9" ht="15">
      <c r="B1700" s="32">
        <v>2</v>
      </c>
      <c r="C1700" s="66" t="s">
        <v>48</v>
      </c>
      <c r="D1700" s="64">
        <v>42012</v>
      </c>
      <c r="E1700">
        <v>4.8966694238306019E-4</v>
      </c>
      <c r="F1700" s="65">
        <v>8.0112303413893235E-2</v>
      </c>
      <c r="G1700" s="40">
        <f t="shared" si="68"/>
        <v>0</v>
      </c>
      <c r="H1700" s="33">
        <f t="shared" si="69"/>
        <v>-8.0112303413893235E-2</v>
      </c>
      <c r="I1700" s="43"/>
    </row>
    <row r="1701" spans="2:9" ht="15">
      <c r="B1701" s="32">
        <v>2</v>
      </c>
      <c r="C1701" s="66" t="s">
        <v>48</v>
      </c>
      <c r="D1701" s="64">
        <v>42013</v>
      </c>
      <c r="E1701">
        <v>3.4223328075322357E-3</v>
      </c>
      <c r="F1701" s="65">
        <v>9.6873743500778556E-2</v>
      </c>
      <c r="G1701" s="40">
        <f t="shared" si="68"/>
        <v>0</v>
      </c>
      <c r="H1701" s="33">
        <f t="shared" si="69"/>
        <v>-9.6873743500778556E-2</v>
      </c>
      <c r="I1701" s="43"/>
    </row>
    <row r="1702" spans="2:9" ht="15">
      <c r="B1702" s="32">
        <v>2</v>
      </c>
      <c r="C1702" s="66" t="s">
        <v>48</v>
      </c>
      <c r="D1702" s="64">
        <v>42016</v>
      </c>
      <c r="E1702">
        <v>1.411411796106421E-2</v>
      </c>
      <c r="F1702" s="65">
        <v>8.8521788370317239E-2</v>
      </c>
      <c r="G1702" s="40">
        <f t="shared" si="68"/>
        <v>0</v>
      </c>
      <c r="H1702" s="33">
        <f t="shared" si="69"/>
        <v>-8.8521788370317239E-2</v>
      </c>
      <c r="I1702" s="43"/>
    </row>
    <row r="1703" spans="2:9" ht="15">
      <c r="B1703" s="32">
        <v>2</v>
      </c>
      <c r="C1703" s="66" t="s">
        <v>48</v>
      </c>
      <c r="D1703" s="64">
        <v>42017</v>
      </c>
      <c r="E1703">
        <v>3.2177158748423196E-3</v>
      </c>
      <c r="F1703" s="65">
        <v>8.1503068080392552E-2</v>
      </c>
      <c r="G1703" s="40">
        <f t="shared" si="68"/>
        <v>0</v>
      </c>
      <c r="H1703" s="33">
        <f t="shared" si="69"/>
        <v>-8.1503068080392552E-2</v>
      </c>
      <c r="I1703" s="43"/>
    </row>
    <row r="1704" spans="2:9" ht="15">
      <c r="B1704" s="32">
        <v>2</v>
      </c>
      <c r="C1704" s="66" t="s">
        <v>48</v>
      </c>
      <c r="D1704" s="64">
        <v>42018</v>
      </c>
      <c r="E1704">
        <v>-4.5397585224469239E-3</v>
      </c>
      <c r="F1704" s="65">
        <v>6.9884147206265665E-2</v>
      </c>
      <c r="G1704" s="40">
        <f t="shared" si="68"/>
        <v>0</v>
      </c>
      <c r="H1704" s="33">
        <f t="shared" si="69"/>
        <v>-6.9884147206265665E-2</v>
      </c>
      <c r="I1704" s="43"/>
    </row>
    <row r="1705" spans="2:9" ht="15">
      <c r="B1705" s="32">
        <v>2</v>
      </c>
      <c r="C1705" s="66" t="s">
        <v>48</v>
      </c>
      <c r="D1705" s="64">
        <v>42019</v>
      </c>
      <c r="E1705">
        <v>1.4240661835748014E-2</v>
      </c>
      <c r="F1705" s="65">
        <v>6.3493156335782508E-2</v>
      </c>
      <c r="G1705" s="40">
        <f t="shared" si="68"/>
        <v>0</v>
      </c>
      <c r="H1705" s="33">
        <f t="shared" si="69"/>
        <v>-6.3493156335782508E-2</v>
      </c>
      <c r="I1705" s="43"/>
    </row>
    <row r="1706" spans="2:9" ht="15">
      <c r="B1706" s="32">
        <v>2</v>
      </c>
      <c r="C1706" s="66" t="s">
        <v>48</v>
      </c>
      <c r="D1706" s="64">
        <v>42020</v>
      </c>
      <c r="E1706">
        <v>-1.2171330473955244E-2</v>
      </c>
      <c r="F1706" s="65">
        <v>6.4889451050801142E-2</v>
      </c>
      <c r="G1706" s="40">
        <f t="shared" si="68"/>
        <v>0</v>
      </c>
      <c r="H1706" s="33">
        <f t="shared" si="69"/>
        <v>-6.4889451050801142E-2</v>
      </c>
      <c r="I1706" s="43"/>
    </row>
    <row r="1707" spans="2:9" ht="15">
      <c r="B1707" s="32">
        <v>2</v>
      </c>
      <c r="C1707" s="66" t="s">
        <v>48</v>
      </c>
      <c r="D1707" s="64">
        <v>42024</v>
      </c>
      <c r="E1707">
        <v>-8.4091264266206167E-4</v>
      </c>
      <c r="F1707" s="65">
        <v>7.5671742121761906E-2</v>
      </c>
      <c r="G1707" s="40">
        <f t="shared" si="68"/>
        <v>0</v>
      </c>
      <c r="H1707" s="33">
        <f t="shared" si="69"/>
        <v>-7.5671742121761906E-2</v>
      </c>
      <c r="I1707" s="43"/>
    </row>
    <row r="1708" spans="2:9" ht="15">
      <c r="B1708" s="32">
        <v>2</v>
      </c>
      <c r="C1708" s="66" t="s">
        <v>48</v>
      </c>
      <c r="D1708" s="64">
        <v>42025</v>
      </c>
      <c r="E1708">
        <v>8.7748607055377903E-3</v>
      </c>
      <c r="F1708" s="65">
        <v>6.4492017145766314E-2</v>
      </c>
      <c r="G1708" s="40">
        <f t="shared" si="68"/>
        <v>0</v>
      </c>
      <c r="H1708" s="33">
        <f t="shared" si="69"/>
        <v>-6.4492017145766314E-2</v>
      </c>
      <c r="I1708" s="43"/>
    </row>
    <row r="1709" spans="2:9" ht="15">
      <c r="B1709" s="32">
        <v>2</v>
      </c>
      <c r="C1709" s="66" t="s">
        <v>48</v>
      </c>
      <c r="D1709" s="64">
        <v>42026</v>
      </c>
      <c r="E1709">
        <v>-1.0544158568978723E-2</v>
      </c>
      <c r="F1709" s="65">
        <v>5.7726046792328338E-2</v>
      </c>
      <c r="G1709" s="40">
        <f t="shared" si="68"/>
        <v>0</v>
      </c>
      <c r="H1709" s="33">
        <f t="shared" si="69"/>
        <v>-5.7726046792328338E-2</v>
      </c>
      <c r="I1709" s="43"/>
    </row>
    <row r="1710" spans="2:9" ht="15">
      <c r="B1710" s="32">
        <v>2</v>
      </c>
      <c r="C1710" s="66" t="s">
        <v>48</v>
      </c>
      <c r="D1710" s="64">
        <v>42027</v>
      </c>
      <c r="E1710">
        <v>5.2013085422331073E-3</v>
      </c>
      <c r="F1710" s="65">
        <v>7.6676321849057191E-2</v>
      </c>
      <c r="G1710" s="40">
        <f t="shared" si="68"/>
        <v>0</v>
      </c>
      <c r="H1710" s="33">
        <f t="shared" si="69"/>
        <v>-7.6676321849057191E-2</v>
      </c>
      <c r="I1710" s="43"/>
    </row>
    <row r="1711" spans="2:9" ht="15">
      <c r="B1711" s="32">
        <v>2</v>
      </c>
      <c r="C1711" s="66" t="s">
        <v>48</v>
      </c>
      <c r="D1711" s="64">
        <v>42030</v>
      </c>
      <c r="E1711">
        <v>-7.8788737942581122E-4</v>
      </c>
      <c r="F1711" s="65">
        <v>6.8502289314045936E-2</v>
      </c>
      <c r="G1711" s="40">
        <f t="shared" si="68"/>
        <v>0</v>
      </c>
      <c r="H1711" s="33">
        <f t="shared" si="69"/>
        <v>-6.8502289314045936E-2</v>
      </c>
      <c r="I1711" s="43"/>
    </row>
    <row r="1712" spans="2:9" ht="15">
      <c r="B1712" s="32">
        <v>2</v>
      </c>
      <c r="C1712" s="66" t="s">
        <v>48</v>
      </c>
      <c r="D1712" s="64">
        <v>42031</v>
      </c>
      <c r="E1712">
        <v>8.4341608354892017E-3</v>
      </c>
      <c r="F1712" s="65">
        <v>5.8977588105077784E-2</v>
      </c>
      <c r="G1712" s="40">
        <f t="shared" si="68"/>
        <v>0</v>
      </c>
      <c r="H1712" s="33">
        <f t="shared" si="69"/>
        <v>-5.8977588105077784E-2</v>
      </c>
      <c r="I1712" s="43"/>
    </row>
    <row r="1713" spans="2:9" ht="15">
      <c r="B1713" s="32">
        <v>2</v>
      </c>
      <c r="C1713" s="66" t="s">
        <v>48</v>
      </c>
      <c r="D1713" s="64">
        <v>42032</v>
      </c>
      <c r="E1713">
        <v>3.2640643542392489E-2</v>
      </c>
      <c r="F1713" s="65">
        <v>7.2506756925430252E-2</v>
      </c>
      <c r="G1713" s="40">
        <f t="shared" si="68"/>
        <v>0</v>
      </c>
      <c r="H1713" s="33">
        <f t="shared" si="69"/>
        <v>-7.2506756925430252E-2</v>
      </c>
      <c r="I1713" s="43"/>
    </row>
    <row r="1714" spans="2:9" ht="15">
      <c r="B1714" s="32">
        <v>2</v>
      </c>
      <c r="C1714" s="66" t="s">
        <v>48</v>
      </c>
      <c r="D1714" s="64">
        <v>42033</v>
      </c>
      <c r="E1714">
        <v>2.3122092187830567E-2</v>
      </c>
      <c r="F1714" s="65">
        <v>8.1134530950677769E-2</v>
      </c>
      <c r="G1714" s="40">
        <f t="shared" si="68"/>
        <v>0</v>
      </c>
      <c r="H1714" s="33">
        <f t="shared" si="69"/>
        <v>-8.1134530950677769E-2</v>
      </c>
      <c r="I1714" s="43"/>
    </row>
    <row r="1715" spans="2:9" ht="15">
      <c r="B1715" s="32">
        <v>2</v>
      </c>
      <c r="C1715" s="66" t="s">
        <v>48</v>
      </c>
      <c r="D1715" s="64">
        <v>42034</v>
      </c>
      <c r="E1715">
        <v>4.5797486296620171E-2</v>
      </c>
      <c r="F1715" s="65">
        <v>7.812934123548762E-2</v>
      </c>
      <c r="G1715" s="40">
        <f t="shared" si="68"/>
        <v>0</v>
      </c>
      <c r="H1715" s="33">
        <f t="shared" si="69"/>
        <v>-7.812934123548762E-2</v>
      </c>
      <c r="I1715" s="43"/>
    </row>
    <row r="1716" spans="2:9" ht="15">
      <c r="B1716" s="32">
        <v>2</v>
      </c>
      <c r="C1716" s="66" t="s">
        <v>48</v>
      </c>
      <c r="D1716" s="64">
        <v>42037</v>
      </c>
      <c r="E1716">
        <v>3.6984775314485852E-2</v>
      </c>
      <c r="F1716" s="65">
        <v>8.358465254786418E-2</v>
      </c>
      <c r="G1716" s="40">
        <f t="shared" si="68"/>
        <v>0</v>
      </c>
      <c r="H1716" s="33">
        <f t="shared" si="69"/>
        <v>-8.358465254786418E-2</v>
      </c>
      <c r="I1716" s="43"/>
    </row>
    <row r="1717" spans="2:9" ht="15">
      <c r="B1717" s="32">
        <v>2</v>
      </c>
      <c r="C1717" s="66" t="s">
        <v>48</v>
      </c>
      <c r="D1717" s="64">
        <v>42038</v>
      </c>
      <c r="E1717">
        <v>2.4244836948383863E-2</v>
      </c>
      <c r="F1717" s="65">
        <v>8.6854638742593485E-2</v>
      </c>
      <c r="G1717" s="40">
        <f t="shared" si="68"/>
        <v>0</v>
      </c>
      <c r="H1717" s="33">
        <f t="shared" si="69"/>
        <v>-8.6854638742593485E-2</v>
      </c>
      <c r="I1717" s="43"/>
    </row>
    <row r="1718" spans="2:9" ht="15">
      <c r="B1718" s="32">
        <v>2</v>
      </c>
      <c r="C1718" s="66" t="s">
        <v>48</v>
      </c>
      <c r="D1718" s="64">
        <v>42039</v>
      </c>
      <c r="E1718">
        <v>2.8095184757070513E-2</v>
      </c>
      <c r="F1718" s="65">
        <v>9.2444083419449791E-2</v>
      </c>
      <c r="G1718" s="40">
        <f t="shared" si="68"/>
        <v>0</v>
      </c>
      <c r="H1718" s="33">
        <f t="shared" si="69"/>
        <v>-9.2444083419449791E-2</v>
      </c>
      <c r="I1718" s="43"/>
    </row>
    <row r="1719" spans="2:9" ht="15">
      <c r="B1719" s="32">
        <v>2</v>
      </c>
      <c r="C1719" s="66" t="s">
        <v>48</v>
      </c>
      <c r="D1719" s="64">
        <v>42040</v>
      </c>
      <c r="E1719">
        <v>1.6793751964875092E-2</v>
      </c>
      <c r="F1719" s="65">
        <v>8.0099218933514849E-2</v>
      </c>
      <c r="G1719" s="40">
        <f t="shared" si="68"/>
        <v>0</v>
      </c>
      <c r="H1719" s="33">
        <f t="shared" si="69"/>
        <v>-8.0099218933514849E-2</v>
      </c>
      <c r="I1719" s="43"/>
    </row>
    <row r="1720" spans="2:9" ht="15">
      <c r="B1720" s="32">
        <v>2</v>
      </c>
      <c r="C1720" s="66" t="s">
        <v>48</v>
      </c>
      <c r="D1720" s="64">
        <v>42041</v>
      </c>
      <c r="E1720">
        <v>2.6325622544038474E-2</v>
      </c>
      <c r="F1720" s="65">
        <v>7.8790908193975287E-2</v>
      </c>
      <c r="G1720" s="40">
        <f t="shared" si="68"/>
        <v>0</v>
      </c>
      <c r="H1720" s="33">
        <f t="shared" si="69"/>
        <v>-7.8790908193975287E-2</v>
      </c>
      <c r="I1720" s="43"/>
    </row>
    <row r="1721" spans="2:9" ht="15">
      <c r="B1721" s="32">
        <v>2</v>
      </c>
      <c r="C1721" s="66" t="s">
        <v>48</v>
      </c>
      <c r="D1721" s="64">
        <v>42044</v>
      </c>
      <c r="E1721">
        <v>3.0278476768187623E-2</v>
      </c>
      <c r="F1721" s="65">
        <v>6.8172003157580568E-2</v>
      </c>
      <c r="G1721" s="40">
        <f t="shared" si="68"/>
        <v>0</v>
      </c>
      <c r="H1721" s="33">
        <f t="shared" si="69"/>
        <v>-6.8172003157580568E-2</v>
      </c>
      <c r="I1721" s="43"/>
    </row>
    <row r="1722" spans="2:9" ht="15">
      <c r="B1722" s="32">
        <v>2</v>
      </c>
      <c r="C1722" s="66" t="s">
        <v>48</v>
      </c>
      <c r="D1722" s="64">
        <v>42045</v>
      </c>
      <c r="E1722">
        <v>2.2414469345834576E-2</v>
      </c>
      <c r="F1722" s="65">
        <v>6.017187613047506E-2</v>
      </c>
      <c r="G1722" s="40">
        <f t="shared" si="68"/>
        <v>0</v>
      </c>
      <c r="H1722" s="33">
        <f t="shared" si="69"/>
        <v>-6.017187613047506E-2</v>
      </c>
      <c r="I1722" s="43"/>
    </row>
    <row r="1723" spans="2:9" ht="15">
      <c r="B1723" s="32">
        <v>2</v>
      </c>
      <c r="C1723" s="66" t="s">
        <v>48</v>
      </c>
      <c r="D1723" s="64">
        <v>42046</v>
      </c>
      <c r="E1723">
        <v>2.1677486610788499E-2</v>
      </c>
      <c r="F1723" s="65">
        <v>6.5693221460441778E-2</v>
      </c>
      <c r="G1723" s="40">
        <f t="shared" si="68"/>
        <v>0</v>
      </c>
      <c r="H1723" s="33">
        <f t="shared" si="69"/>
        <v>-6.5693221460441778E-2</v>
      </c>
      <c r="I1723" s="43"/>
    </row>
    <row r="1724" spans="2:9" ht="15">
      <c r="B1724" s="32">
        <v>2</v>
      </c>
      <c r="C1724" s="66" t="s">
        <v>48</v>
      </c>
      <c r="D1724" s="64">
        <v>42047</v>
      </c>
      <c r="E1724">
        <v>1.0602073084081454E-2</v>
      </c>
      <c r="F1724" s="65">
        <v>5.5742661427519373E-2</v>
      </c>
      <c r="G1724" s="40">
        <f t="shared" si="68"/>
        <v>0</v>
      </c>
      <c r="H1724" s="33">
        <f t="shared" si="69"/>
        <v>-5.5742661427519373E-2</v>
      </c>
      <c r="I1724" s="43"/>
    </row>
    <row r="1725" spans="2:9" ht="15">
      <c r="B1725" s="32">
        <v>2</v>
      </c>
      <c r="C1725" s="66" t="s">
        <v>48</v>
      </c>
      <c r="D1725" s="64">
        <v>42048</v>
      </c>
      <c r="E1725">
        <v>3.5749308060308849E-3</v>
      </c>
      <c r="F1725" s="65">
        <v>6.0276433317117607E-2</v>
      </c>
      <c r="G1725" s="40">
        <f t="shared" si="68"/>
        <v>0</v>
      </c>
      <c r="H1725" s="33">
        <f t="shared" si="69"/>
        <v>-6.0276433317117607E-2</v>
      </c>
      <c r="I1725" s="43"/>
    </row>
    <row r="1726" spans="2:9" ht="15">
      <c r="B1726" s="32">
        <v>2</v>
      </c>
      <c r="C1726" s="66" t="s">
        <v>48</v>
      </c>
      <c r="D1726" s="64">
        <v>42052</v>
      </c>
      <c r="E1726">
        <v>8.0848693247661529E-3</v>
      </c>
      <c r="F1726" s="65">
        <v>5.3539847654777255E-2</v>
      </c>
      <c r="G1726" s="40">
        <f t="shared" si="68"/>
        <v>0</v>
      </c>
      <c r="H1726" s="33">
        <f t="shared" si="69"/>
        <v>-5.3539847654777255E-2</v>
      </c>
      <c r="I1726" s="43"/>
    </row>
    <row r="1727" spans="2:9" ht="15">
      <c r="B1727" s="32">
        <v>2</v>
      </c>
      <c r="C1727" s="66" t="s">
        <v>48</v>
      </c>
      <c r="D1727" s="64">
        <v>42053</v>
      </c>
      <c r="E1727">
        <v>3.8503548850048475E-3</v>
      </c>
      <c r="F1727" s="65">
        <v>4.585307243226356E-2</v>
      </c>
      <c r="G1727" s="40">
        <f t="shared" si="68"/>
        <v>0</v>
      </c>
      <c r="H1727" s="33">
        <f t="shared" si="69"/>
        <v>-4.585307243226356E-2</v>
      </c>
      <c r="I1727" s="43"/>
    </row>
    <row r="1728" spans="2:9" ht="15">
      <c r="B1728" s="32">
        <v>2</v>
      </c>
      <c r="C1728" s="66" t="s">
        <v>48</v>
      </c>
      <c r="D1728" s="64">
        <v>42054</v>
      </c>
      <c r="E1728">
        <v>5.1481562304989126E-4</v>
      </c>
      <c r="F1728" s="65">
        <v>3.8926861289313483E-2</v>
      </c>
      <c r="G1728" s="40">
        <f t="shared" si="68"/>
        <v>0</v>
      </c>
      <c r="H1728" s="33">
        <f t="shared" si="69"/>
        <v>-3.8926861289313483E-2</v>
      </c>
      <c r="I1728" s="43"/>
    </row>
    <row r="1729" spans="2:9" ht="15">
      <c r="B1729" s="32">
        <v>2</v>
      </c>
      <c r="C1729" s="66" t="s">
        <v>48</v>
      </c>
      <c r="D1729" s="64">
        <v>42055</v>
      </c>
      <c r="E1729">
        <v>-4.3976618986398819E-3</v>
      </c>
      <c r="F1729" s="65">
        <v>3.3288541110293772E-2</v>
      </c>
      <c r="G1729" s="40">
        <f t="shared" si="68"/>
        <v>0</v>
      </c>
      <c r="H1729" s="33">
        <f t="shared" si="69"/>
        <v>-3.3288541110293772E-2</v>
      </c>
      <c r="I1729" s="43"/>
    </row>
    <row r="1730" spans="2:9" ht="15">
      <c r="B1730" s="32">
        <v>2</v>
      </c>
      <c r="C1730" s="66" t="s">
        <v>48</v>
      </c>
      <c r="D1730" s="64">
        <v>42058</v>
      </c>
      <c r="E1730">
        <v>-1.8369632772927247E-2</v>
      </c>
      <c r="F1730" s="65">
        <v>3.6920952363730421E-2</v>
      </c>
      <c r="G1730" s="40">
        <f t="shared" si="68"/>
        <v>0</v>
      </c>
      <c r="H1730" s="33">
        <f t="shared" si="69"/>
        <v>-3.6920952363730421E-2</v>
      </c>
      <c r="I1730" s="43"/>
    </row>
    <row r="1731" spans="2:9" ht="15">
      <c r="B1731" s="32">
        <v>2</v>
      </c>
      <c r="C1731" s="66" t="s">
        <v>48</v>
      </c>
      <c r="D1731" s="64">
        <v>42059</v>
      </c>
      <c r="E1731">
        <v>-1.7187942654378396E-2</v>
      </c>
      <c r="F1731" s="65">
        <v>3.135071915351878E-2</v>
      </c>
      <c r="G1731" s="40">
        <f t="shared" si="68"/>
        <v>0</v>
      </c>
      <c r="H1731" s="33">
        <f t="shared" si="69"/>
        <v>-3.135071915351878E-2</v>
      </c>
      <c r="I1731" s="43"/>
    </row>
    <row r="1732" spans="2:9" ht="15">
      <c r="B1732" s="32">
        <v>2</v>
      </c>
      <c r="C1732" s="66" t="s">
        <v>48</v>
      </c>
      <c r="D1732" s="64">
        <v>42060</v>
      </c>
      <c r="E1732">
        <v>-3.3528746910648444E-2</v>
      </c>
      <c r="F1732" s="65">
        <v>2.8682334497960028E-2</v>
      </c>
      <c r="G1732" s="40">
        <f t="shared" si="68"/>
        <v>1</v>
      </c>
      <c r="H1732" s="33">
        <f t="shared" si="69"/>
        <v>-2.8682334497960028E-2</v>
      </c>
      <c r="I1732" s="43">
        <f t="shared" si="67"/>
        <v>-3.3528746910648444E-2</v>
      </c>
    </row>
    <row r="1733" spans="2:9" ht="15">
      <c r="B1733" s="32">
        <v>2</v>
      </c>
      <c r="C1733" s="66" t="s">
        <v>48</v>
      </c>
      <c r="D1733" s="64">
        <v>42061</v>
      </c>
      <c r="E1733">
        <v>-3.3971149072389295E-2</v>
      </c>
      <c r="F1733" s="65">
        <v>2.4519759998904642E-2</v>
      </c>
      <c r="G1733" s="40">
        <f t="shared" si="68"/>
        <v>1</v>
      </c>
      <c r="H1733" s="33">
        <f t="shared" si="69"/>
        <v>-2.4519759998904642E-2</v>
      </c>
      <c r="I1733" s="43">
        <f t="shared" si="67"/>
        <v>-3.3971149072389295E-2</v>
      </c>
    </row>
    <row r="1734" spans="2:9" ht="15">
      <c r="B1734" s="32">
        <v>2</v>
      </c>
      <c r="C1734" s="66" t="s">
        <v>48</v>
      </c>
      <c r="D1734" s="64">
        <v>42062</v>
      </c>
      <c r="E1734">
        <v>-1.8487763897077514E-2</v>
      </c>
      <c r="F1734" s="65">
        <v>2.1585645540028821E-2</v>
      </c>
      <c r="G1734" s="40">
        <f t="shared" si="68"/>
        <v>0</v>
      </c>
      <c r="H1734" s="33">
        <f t="shared" si="69"/>
        <v>-2.1585645540028821E-2</v>
      </c>
      <c r="I1734" s="43"/>
    </row>
    <row r="1735" spans="2:9" ht="15">
      <c r="B1735" s="32">
        <v>2</v>
      </c>
      <c r="C1735" s="66" t="s">
        <v>48</v>
      </c>
      <c r="D1735" s="64">
        <v>42065</v>
      </c>
      <c r="E1735">
        <v>-3.0687239451861359E-2</v>
      </c>
      <c r="F1735" s="65">
        <v>2.1640363464124821E-2</v>
      </c>
      <c r="G1735" s="40">
        <f t="shared" si="68"/>
        <v>1</v>
      </c>
      <c r="H1735" s="33">
        <f t="shared" si="69"/>
        <v>-2.1640363464124821E-2</v>
      </c>
      <c r="I1735" s="43">
        <f t="shared" ref="I1734:I1797" si="70">IF(G1735=0,"",E1735)</f>
        <v>-3.0687239451861359E-2</v>
      </c>
    </row>
    <row r="1736" spans="2:9" ht="15">
      <c r="B1736" s="32">
        <v>2</v>
      </c>
      <c r="C1736" s="66" t="s">
        <v>48</v>
      </c>
      <c r="D1736" s="64">
        <v>42066</v>
      </c>
      <c r="E1736">
        <v>-1.269545751189316E-2</v>
      </c>
      <c r="F1736" s="65">
        <v>3.0036447464139207E-2</v>
      </c>
      <c r="G1736" s="40">
        <f t="shared" si="68"/>
        <v>0</v>
      </c>
      <c r="H1736" s="33">
        <f t="shared" si="69"/>
        <v>-3.0036447464139207E-2</v>
      </c>
      <c r="I1736" s="43"/>
    </row>
    <row r="1737" spans="2:9" ht="15">
      <c r="B1737" s="32">
        <v>2</v>
      </c>
      <c r="C1737" s="66" t="s">
        <v>48</v>
      </c>
      <c r="D1737" s="64">
        <v>42067</v>
      </c>
      <c r="E1737">
        <v>-1.1622993936820869E-2</v>
      </c>
      <c r="F1737" s="65">
        <v>3.1034357978959384E-2</v>
      </c>
      <c r="G1737" s="40">
        <f t="shared" si="68"/>
        <v>0</v>
      </c>
      <c r="H1737" s="33">
        <f t="shared" si="69"/>
        <v>-3.1034357978959384E-2</v>
      </c>
      <c r="I1737" s="43"/>
    </row>
    <row r="1738" spans="2:9" ht="15">
      <c r="B1738" s="32">
        <v>2</v>
      </c>
      <c r="C1738" s="66" t="s">
        <v>48</v>
      </c>
      <c r="D1738" s="64">
        <v>42068</v>
      </c>
      <c r="E1738">
        <v>-7.3325765482668004E-4</v>
      </c>
      <c r="F1738" s="65">
        <v>3.1409829934122523E-2</v>
      </c>
      <c r="G1738" s="40">
        <f t="shared" si="68"/>
        <v>0</v>
      </c>
      <c r="H1738" s="33">
        <f t="shared" si="69"/>
        <v>-3.1409829934122523E-2</v>
      </c>
      <c r="I1738" s="43"/>
    </row>
    <row r="1739" spans="2:9" ht="15">
      <c r="B1739" s="32">
        <v>2</v>
      </c>
      <c r="C1739" s="66" t="s">
        <v>48</v>
      </c>
      <c r="D1739" s="64">
        <v>42069</v>
      </c>
      <c r="E1739">
        <v>8.6576096621469034E-3</v>
      </c>
      <c r="F1739" s="65">
        <v>2.7055281767975774E-2</v>
      </c>
      <c r="G1739" s="40">
        <f t="shared" ref="G1739:G1802" si="71">--(E1739&lt;-F1739)</f>
        <v>0</v>
      </c>
      <c r="H1739" s="33">
        <f t="shared" ref="H1739:H1802" si="72">-F1739</f>
        <v>-2.7055281767975774E-2</v>
      </c>
      <c r="I1739" s="43"/>
    </row>
    <row r="1740" spans="2:9" ht="15">
      <c r="B1740" s="32">
        <v>2</v>
      </c>
      <c r="C1740" s="66" t="s">
        <v>48</v>
      </c>
      <c r="D1740" s="64">
        <v>42072</v>
      </c>
      <c r="E1740">
        <v>1.3693329376463836E-2</v>
      </c>
      <c r="F1740" s="65">
        <v>6.0125366892197149E-2</v>
      </c>
      <c r="G1740" s="40">
        <f t="shared" si="71"/>
        <v>0</v>
      </c>
      <c r="H1740" s="33">
        <f t="shared" si="72"/>
        <v>-6.0125366892197149E-2</v>
      </c>
      <c r="I1740" s="43"/>
    </row>
    <row r="1741" spans="2:9" ht="15">
      <c r="B1741" s="32">
        <v>2</v>
      </c>
      <c r="C1741" s="66" t="s">
        <v>48</v>
      </c>
      <c r="D1741" s="64">
        <v>42073</v>
      </c>
      <c r="E1741">
        <v>2.9052893863956264E-2</v>
      </c>
      <c r="F1741" s="65">
        <v>5.3269864713094917E-2</v>
      </c>
      <c r="G1741" s="40">
        <f t="shared" si="71"/>
        <v>0</v>
      </c>
      <c r="H1741" s="33">
        <f t="shared" si="72"/>
        <v>-5.3269864713094917E-2</v>
      </c>
      <c r="I1741" s="43"/>
    </row>
    <row r="1742" spans="2:9" ht="15">
      <c r="B1742" s="32">
        <v>2</v>
      </c>
      <c r="C1742" s="66" t="s">
        <v>48</v>
      </c>
      <c r="D1742" s="64">
        <v>42074</v>
      </c>
      <c r="E1742">
        <v>2.4814068806423784E-2</v>
      </c>
      <c r="F1742" s="65">
        <v>8.0483799581890308E-2</v>
      </c>
      <c r="G1742" s="40">
        <f t="shared" si="71"/>
        <v>0</v>
      </c>
      <c r="H1742" s="33">
        <f t="shared" si="72"/>
        <v>-8.0483799581890308E-2</v>
      </c>
      <c r="I1742" s="43"/>
    </row>
    <row r="1743" spans="2:9" ht="15">
      <c r="B1743" s="32">
        <v>2</v>
      </c>
      <c r="C1743" s="66" t="s">
        <v>48</v>
      </c>
      <c r="D1743" s="64">
        <v>42075</v>
      </c>
      <c r="E1743">
        <v>-2.3745598751423458E-3</v>
      </c>
      <c r="F1743" s="65">
        <v>6.8700331088785788E-2</v>
      </c>
      <c r="G1743" s="40">
        <f t="shared" si="71"/>
        <v>0</v>
      </c>
      <c r="H1743" s="33">
        <f t="shared" si="72"/>
        <v>-6.8700331088785788E-2</v>
      </c>
      <c r="I1743" s="43"/>
    </row>
    <row r="1744" spans="2:9" ht="15">
      <c r="B1744" s="32">
        <v>2</v>
      </c>
      <c r="C1744" s="66" t="s">
        <v>48</v>
      </c>
      <c r="D1744" s="64">
        <v>42076</v>
      </c>
      <c r="E1744">
        <v>1.3383463112184302E-3</v>
      </c>
      <c r="F1744" s="65">
        <v>7.5990272571391196E-2</v>
      </c>
      <c r="G1744" s="40">
        <f t="shared" si="71"/>
        <v>0</v>
      </c>
      <c r="H1744" s="33">
        <f t="shared" si="72"/>
        <v>-7.5990272571391196E-2</v>
      </c>
      <c r="I1744" s="43"/>
    </row>
    <row r="1745" spans="2:9" ht="15">
      <c r="B1745" s="32">
        <v>2</v>
      </c>
      <c r="C1745" s="66" t="s">
        <v>48</v>
      </c>
      <c r="D1745" s="64">
        <v>42079</v>
      </c>
      <c r="E1745">
        <v>-9.7388015607204892E-3</v>
      </c>
      <c r="F1745" s="65">
        <v>6.8704151276933259E-2</v>
      </c>
      <c r="G1745" s="40">
        <f t="shared" si="71"/>
        <v>0</v>
      </c>
      <c r="H1745" s="33">
        <f t="shared" si="72"/>
        <v>-6.8704151276933259E-2</v>
      </c>
      <c r="I1745" s="43"/>
    </row>
    <row r="1746" spans="2:9" ht="15">
      <c r="B1746" s="32">
        <v>2</v>
      </c>
      <c r="C1746" s="66" t="s">
        <v>48</v>
      </c>
      <c r="D1746" s="64">
        <v>42080</v>
      </c>
      <c r="E1746">
        <v>5.749278402352509E-3</v>
      </c>
      <c r="F1746" s="65">
        <v>7.8338805452692742E-2</v>
      </c>
      <c r="G1746" s="40">
        <f t="shared" si="71"/>
        <v>0</v>
      </c>
      <c r="H1746" s="33">
        <f t="shared" si="72"/>
        <v>-7.8338805452692742E-2</v>
      </c>
      <c r="I1746" s="43"/>
    </row>
    <row r="1747" spans="2:9" ht="15">
      <c r="B1747" s="32">
        <v>2</v>
      </c>
      <c r="C1747" s="66" t="s">
        <v>48</v>
      </c>
      <c r="D1747" s="64">
        <v>42081</v>
      </c>
      <c r="E1747">
        <v>-1.5170509143573874E-2</v>
      </c>
      <c r="F1747" s="65">
        <v>6.7721612779315335E-2</v>
      </c>
      <c r="G1747" s="40">
        <f t="shared" si="71"/>
        <v>0</v>
      </c>
      <c r="H1747" s="33">
        <f t="shared" si="72"/>
        <v>-6.7721612779315335E-2</v>
      </c>
      <c r="I1747" s="43"/>
    </row>
    <row r="1748" spans="2:9" ht="15">
      <c r="B1748" s="32">
        <v>2</v>
      </c>
      <c r="C1748" s="66" t="s">
        <v>48</v>
      </c>
      <c r="D1748" s="64">
        <v>42082</v>
      </c>
      <c r="E1748">
        <v>-1.4259274844081737E-2</v>
      </c>
      <c r="F1748" s="65">
        <v>7.426446935957054E-2</v>
      </c>
      <c r="G1748" s="40">
        <f t="shared" si="71"/>
        <v>0</v>
      </c>
      <c r="H1748" s="33">
        <f t="shared" si="72"/>
        <v>-7.426446935957054E-2</v>
      </c>
      <c r="I1748" s="43"/>
    </row>
    <row r="1749" spans="2:9" ht="15">
      <c r="B1749" s="32">
        <v>2</v>
      </c>
      <c r="C1749" s="66" t="s">
        <v>48</v>
      </c>
      <c r="D1749" s="64">
        <v>42083</v>
      </c>
      <c r="E1749">
        <v>-1.9708204444852662E-2</v>
      </c>
      <c r="F1749" s="65">
        <v>6.5821601806262328E-2</v>
      </c>
      <c r="G1749" s="40">
        <f t="shared" si="71"/>
        <v>0</v>
      </c>
      <c r="H1749" s="33">
        <f t="shared" si="72"/>
        <v>-6.5821601806262328E-2</v>
      </c>
      <c r="I1749" s="43"/>
    </row>
    <row r="1750" spans="2:9" ht="15">
      <c r="B1750" s="32">
        <v>2</v>
      </c>
      <c r="C1750" s="66" t="s">
        <v>48</v>
      </c>
      <c r="D1750" s="64">
        <v>42086</v>
      </c>
      <c r="E1750">
        <v>-1.1373875207666195E-2</v>
      </c>
      <c r="F1750" s="65">
        <v>6.5873242899639889E-2</v>
      </c>
      <c r="G1750" s="40">
        <f t="shared" si="71"/>
        <v>0</v>
      </c>
      <c r="H1750" s="33">
        <f t="shared" si="72"/>
        <v>-6.5873242899639889E-2</v>
      </c>
      <c r="I1750" s="43"/>
    </row>
    <row r="1751" spans="2:9" ht="15">
      <c r="B1751" s="32">
        <v>2</v>
      </c>
      <c r="C1751" s="66" t="s">
        <v>48</v>
      </c>
      <c r="D1751" s="64">
        <v>42087</v>
      </c>
      <c r="E1751">
        <v>-7.2795621253476384E-3</v>
      </c>
      <c r="F1751" s="65">
        <v>5.6307603285947978E-2</v>
      </c>
      <c r="G1751" s="40">
        <f t="shared" si="71"/>
        <v>0</v>
      </c>
      <c r="H1751" s="33">
        <f t="shared" si="72"/>
        <v>-5.6307603285947978E-2</v>
      </c>
      <c r="I1751" s="43"/>
    </row>
    <row r="1752" spans="2:9" ht="15">
      <c r="B1752" s="32">
        <v>2</v>
      </c>
      <c r="C1752" s="66" t="s">
        <v>48</v>
      </c>
      <c r="D1752" s="64">
        <v>42088</v>
      </c>
      <c r="E1752">
        <v>1.0065305770935673E-2</v>
      </c>
      <c r="F1752" s="65">
        <v>5.3455455256184344E-2</v>
      </c>
      <c r="G1752" s="40">
        <f t="shared" si="71"/>
        <v>0</v>
      </c>
      <c r="H1752" s="33">
        <f t="shared" si="72"/>
        <v>-5.3455455256184344E-2</v>
      </c>
      <c r="I1752" s="43"/>
    </row>
    <row r="1753" spans="2:9" ht="15">
      <c r="B1753" s="32">
        <v>2</v>
      </c>
      <c r="C1753" s="66" t="s">
        <v>48</v>
      </c>
      <c r="D1753" s="64">
        <v>42089</v>
      </c>
      <c r="E1753">
        <v>1.6893212969574911E-2</v>
      </c>
      <c r="F1753" s="65">
        <v>7.2915737883546272E-2</v>
      </c>
      <c r="G1753" s="40">
        <f t="shared" si="71"/>
        <v>0</v>
      </c>
      <c r="H1753" s="33">
        <f t="shared" si="72"/>
        <v>-7.2915737883546272E-2</v>
      </c>
      <c r="I1753" s="43"/>
    </row>
    <row r="1754" spans="2:9" ht="15">
      <c r="B1754" s="32">
        <v>2</v>
      </c>
      <c r="C1754" s="66" t="s">
        <v>48</v>
      </c>
      <c r="D1754" s="64">
        <v>42090</v>
      </c>
      <c r="E1754">
        <v>1.9716828766319416E-2</v>
      </c>
      <c r="F1754" s="65">
        <v>6.2561056030204856E-2</v>
      </c>
      <c r="G1754" s="40">
        <f t="shared" si="71"/>
        <v>0</v>
      </c>
      <c r="H1754" s="33">
        <f t="shared" si="72"/>
        <v>-6.2561056030204856E-2</v>
      </c>
      <c r="I1754" s="43"/>
    </row>
    <row r="1755" spans="2:9" ht="15">
      <c r="B1755" s="32">
        <v>2</v>
      </c>
      <c r="C1755" s="66" t="s">
        <v>48</v>
      </c>
      <c r="D1755" s="64">
        <v>42093</v>
      </c>
      <c r="E1755">
        <v>2.9626396164763591E-3</v>
      </c>
      <c r="F1755" s="65">
        <v>5.3877714597527639E-2</v>
      </c>
      <c r="G1755" s="40">
        <f t="shared" si="71"/>
        <v>0</v>
      </c>
      <c r="H1755" s="33">
        <f t="shared" si="72"/>
        <v>-5.3877714597527639E-2</v>
      </c>
      <c r="I1755" s="43"/>
    </row>
    <row r="1756" spans="2:9" ht="15">
      <c r="B1756" s="32">
        <v>2</v>
      </c>
      <c r="C1756" s="66" t="s">
        <v>48</v>
      </c>
      <c r="D1756" s="64">
        <v>42094</v>
      </c>
      <c r="E1756">
        <v>1.3425757656601256E-2</v>
      </c>
      <c r="F1756" s="65">
        <v>6.5814529822334683E-2</v>
      </c>
      <c r="G1756" s="40">
        <f t="shared" si="71"/>
        <v>0</v>
      </c>
      <c r="H1756" s="33">
        <f t="shared" si="72"/>
        <v>-6.5814529822334683E-2</v>
      </c>
      <c r="I1756" s="43"/>
    </row>
    <row r="1757" spans="2:9" ht="15">
      <c r="B1757" s="32">
        <v>2</v>
      </c>
      <c r="C1757" s="66" t="s">
        <v>48</v>
      </c>
      <c r="D1757" s="64">
        <v>42095</v>
      </c>
      <c r="E1757">
        <v>2.2534001341512955E-2</v>
      </c>
      <c r="F1757" s="65">
        <v>6.55855050453895E-2</v>
      </c>
      <c r="G1757" s="40">
        <f t="shared" si="71"/>
        <v>0</v>
      </c>
      <c r="H1757" s="33">
        <f t="shared" si="72"/>
        <v>-6.55855050453895E-2</v>
      </c>
      <c r="I1757" s="43"/>
    </row>
    <row r="1758" spans="2:9" ht="15">
      <c r="B1758" s="32">
        <v>2</v>
      </c>
      <c r="C1758" s="66" t="s">
        <v>48</v>
      </c>
      <c r="D1758" s="64">
        <v>42096</v>
      </c>
      <c r="E1758">
        <v>1.8231801851991136E-2</v>
      </c>
      <c r="F1758" s="65">
        <v>5.7760467109196849E-2</v>
      </c>
      <c r="G1758" s="40">
        <f t="shared" si="71"/>
        <v>0</v>
      </c>
      <c r="H1758" s="33">
        <f t="shared" si="72"/>
        <v>-5.7760467109196849E-2</v>
      </c>
      <c r="I1758" s="43"/>
    </row>
    <row r="1759" spans="2:9" ht="15">
      <c r="B1759" s="32">
        <v>2</v>
      </c>
      <c r="C1759" s="66" t="s">
        <v>48</v>
      </c>
      <c r="D1759" s="64">
        <v>42100</v>
      </c>
      <c r="E1759">
        <v>2.690254201480613E-4</v>
      </c>
      <c r="F1759" s="65">
        <v>5.0894395769259672E-2</v>
      </c>
      <c r="G1759" s="40">
        <f t="shared" si="71"/>
        <v>0</v>
      </c>
      <c r="H1759" s="33">
        <f t="shared" si="72"/>
        <v>-5.0894395769259672E-2</v>
      </c>
      <c r="I1759" s="43"/>
    </row>
    <row r="1760" spans="2:9" ht="15">
      <c r="B1760" s="32">
        <v>2</v>
      </c>
      <c r="C1760" s="66" t="s">
        <v>48</v>
      </c>
      <c r="D1760" s="64">
        <v>42101</v>
      </c>
      <c r="E1760">
        <v>1.1525806349018453E-2</v>
      </c>
      <c r="F1760" s="65">
        <v>5.0224168757046946E-2</v>
      </c>
      <c r="G1760" s="40">
        <f t="shared" si="71"/>
        <v>0</v>
      </c>
      <c r="H1760" s="33">
        <f t="shared" si="72"/>
        <v>-5.0224168757046946E-2</v>
      </c>
      <c r="I1760" s="43"/>
    </row>
    <row r="1761" spans="2:9" ht="15">
      <c r="B1761" s="32">
        <v>2</v>
      </c>
      <c r="C1761" s="66" t="s">
        <v>48</v>
      </c>
      <c r="D1761" s="64">
        <v>42102</v>
      </c>
      <c r="E1761">
        <v>7.3651625256729858E-3</v>
      </c>
      <c r="F1761" s="65">
        <v>4.3367417577404151E-2</v>
      </c>
      <c r="G1761" s="40">
        <f t="shared" si="71"/>
        <v>0</v>
      </c>
      <c r="H1761" s="33">
        <f t="shared" si="72"/>
        <v>-4.3367417577404151E-2</v>
      </c>
      <c r="I1761" s="43"/>
    </row>
    <row r="1762" spans="2:9" ht="15">
      <c r="B1762" s="32">
        <v>2</v>
      </c>
      <c r="C1762" s="66" t="s">
        <v>48</v>
      </c>
      <c r="D1762" s="64">
        <v>42103</v>
      </c>
      <c r="E1762">
        <v>7.9921692279176781E-3</v>
      </c>
      <c r="F1762" s="65">
        <v>3.8247598967606974E-2</v>
      </c>
      <c r="G1762" s="40">
        <f t="shared" si="71"/>
        <v>0</v>
      </c>
      <c r="H1762" s="33">
        <f t="shared" si="72"/>
        <v>-3.8247598967606974E-2</v>
      </c>
      <c r="I1762" s="43"/>
    </row>
    <row r="1763" spans="2:9" ht="15">
      <c r="B1763" s="32">
        <v>2</v>
      </c>
      <c r="C1763" s="66" t="s">
        <v>48</v>
      </c>
      <c r="D1763" s="64">
        <v>42104</v>
      </c>
      <c r="E1763">
        <v>5.1577332900381023E-3</v>
      </c>
      <c r="F1763" s="65">
        <v>3.678341028100296E-2</v>
      </c>
      <c r="G1763" s="40">
        <f t="shared" si="71"/>
        <v>0</v>
      </c>
      <c r="H1763" s="33">
        <f t="shared" si="72"/>
        <v>-3.678341028100296E-2</v>
      </c>
      <c r="I1763" s="43"/>
    </row>
    <row r="1764" spans="2:9" ht="15">
      <c r="B1764" s="32">
        <v>2</v>
      </c>
      <c r="C1764" s="66" t="s">
        <v>48</v>
      </c>
      <c r="D1764" s="64">
        <v>42107</v>
      </c>
      <c r="E1764">
        <v>1.1999806595344609E-2</v>
      </c>
      <c r="F1764" s="65">
        <v>3.717857984862509E-2</v>
      </c>
      <c r="G1764" s="40">
        <f t="shared" si="71"/>
        <v>0</v>
      </c>
      <c r="H1764" s="33">
        <f t="shared" si="72"/>
        <v>-3.717857984862509E-2</v>
      </c>
      <c r="I1764" s="43"/>
    </row>
    <row r="1765" spans="2:9" ht="15">
      <c r="B1765" s="32">
        <v>2</v>
      </c>
      <c r="C1765" s="66" t="s">
        <v>48</v>
      </c>
      <c r="D1765" s="64">
        <v>42108</v>
      </c>
      <c r="E1765">
        <v>6.2214614667688295E-3</v>
      </c>
      <c r="F1765" s="65">
        <v>3.6259073661232169E-2</v>
      </c>
      <c r="G1765" s="40">
        <f t="shared" si="71"/>
        <v>0</v>
      </c>
      <c r="H1765" s="33">
        <f t="shared" si="72"/>
        <v>-3.6259073661232169E-2</v>
      </c>
      <c r="I1765" s="43"/>
    </row>
    <row r="1766" spans="2:9" ht="15">
      <c r="B1766" s="32">
        <v>2</v>
      </c>
      <c r="C1766" s="66" t="s">
        <v>48</v>
      </c>
      <c r="D1766" s="64">
        <v>42109</v>
      </c>
      <c r="E1766">
        <v>3.8518768738580178E-3</v>
      </c>
      <c r="F1766" s="65">
        <v>3.141308810264274E-2</v>
      </c>
      <c r="G1766" s="40">
        <f t="shared" si="71"/>
        <v>0</v>
      </c>
      <c r="H1766" s="33">
        <f t="shared" si="72"/>
        <v>-3.141308810264274E-2</v>
      </c>
      <c r="I1766" s="43"/>
    </row>
    <row r="1767" spans="2:9" ht="15">
      <c r="B1767" s="32">
        <v>2</v>
      </c>
      <c r="C1767" s="66" t="s">
        <v>48</v>
      </c>
      <c r="D1767" s="64">
        <v>42110</v>
      </c>
      <c r="E1767">
        <v>8.8327575694702176E-4</v>
      </c>
      <c r="F1767" s="65">
        <v>3.3317370183512343E-2</v>
      </c>
      <c r="G1767" s="40">
        <f t="shared" si="71"/>
        <v>0</v>
      </c>
      <c r="H1767" s="33">
        <f t="shared" si="72"/>
        <v>-3.3317370183512343E-2</v>
      </c>
      <c r="I1767" s="43"/>
    </row>
    <row r="1768" spans="2:9" ht="15">
      <c r="B1768" s="32">
        <v>2</v>
      </c>
      <c r="C1768" s="66" t="s">
        <v>48</v>
      </c>
      <c r="D1768" s="64">
        <v>42111</v>
      </c>
      <c r="E1768">
        <v>2.0784265779552058E-3</v>
      </c>
      <c r="F1768" s="65">
        <v>2.8432791379463338E-2</v>
      </c>
      <c r="G1768" s="40">
        <f t="shared" si="71"/>
        <v>0</v>
      </c>
      <c r="H1768" s="33">
        <f t="shared" si="72"/>
        <v>-2.8432791379463338E-2</v>
      </c>
      <c r="I1768" s="43"/>
    </row>
    <row r="1769" spans="2:9" ht="15">
      <c r="B1769" s="32">
        <v>2</v>
      </c>
      <c r="C1769" s="66" t="s">
        <v>48</v>
      </c>
      <c r="D1769" s="64">
        <v>42114</v>
      </c>
      <c r="E1769">
        <v>3.7494547491849772E-3</v>
      </c>
      <c r="F1769" s="65">
        <v>5.0428198545809703E-2</v>
      </c>
      <c r="G1769" s="40">
        <f t="shared" si="71"/>
        <v>0</v>
      </c>
      <c r="H1769" s="33">
        <f t="shared" si="72"/>
        <v>-5.0428198545809703E-2</v>
      </c>
      <c r="I1769" s="43"/>
    </row>
    <row r="1770" spans="2:9" ht="15">
      <c r="B1770" s="32">
        <v>2</v>
      </c>
      <c r="C1770" s="66" t="s">
        <v>48</v>
      </c>
      <c r="D1770" s="64">
        <v>42115</v>
      </c>
      <c r="E1770">
        <v>8.1675901866589129E-3</v>
      </c>
      <c r="F1770" s="65">
        <v>5.5780972144360806E-2</v>
      </c>
      <c r="G1770" s="40">
        <f t="shared" si="71"/>
        <v>0</v>
      </c>
      <c r="H1770" s="33">
        <f t="shared" si="72"/>
        <v>-5.5780972144360806E-2</v>
      </c>
      <c r="I1770" s="43"/>
    </row>
    <row r="1771" spans="2:9" ht="15">
      <c r="B1771" s="32">
        <v>2</v>
      </c>
      <c r="C1771" s="66" t="s">
        <v>48</v>
      </c>
      <c r="D1771" s="64">
        <v>42116</v>
      </c>
      <c r="E1771">
        <v>-8.8149959439531855E-3</v>
      </c>
      <c r="F1771" s="65">
        <v>4.7681865883023658E-2</v>
      </c>
      <c r="G1771" s="40">
        <f t="shared" si="71"/>
        <v>0</v>
      </c>
      <c r="H1771" s="33">
        <f t="shared" si="72"/>
        <v>-4.7681865883023658E-2</v>
      </c>
      <c r="I1771" s="43"/>
    </row>
    <row r="1772" spans="2:9" ht="15">
      <c r="B1772" s="32">
        <v>2</v>
      </c>
      <c r="C1772" s="66" t="s">
        <v>48</v>
      </c>
      <c r="D1772" s="64">
        <v>42117</v>
      </c>
      <c r="E1772">
        <v>-1.5635618263035944E-2</v>
      </c>
      <c r="F1772" s="65">
        <v>4.5024239232550972E-2</v>
      </c>
      <c r="G1772" s="40">
        <f t="shared" si="71"/>
        <v>0</v>
      </c>
      <c r="H1772" s="33">
        <f t="shared" si="72"/>
        <v>-4.5024239232550972E-2</v>
      </c>
      <c r="I1772" s="43"/>
    </row>
    <row r="1773" spans="2:9" ht="15">
      <c r="B1773" s="32">
        <v>2</v>
      </c>
      <c r="C1773" s="66" t="s">
        <v>48</v>
      </c>
      <c r="D1773" s="64">
        <v>42118</v>
      </c>
      <c r="E1773">
        <v>-1.4119174091141495E-2</v>
      </c>
      <c r="F1773" s="65">
        <v>3.9288770892694752E-2</v>
      </c>
      <c r="G1773" s="40">
        <f t="shared" si="71"/>
        <v>0</v>
      </c>
      <c r="H1773" s="33">
        <f t="shared" si="72"/>
        <v>-3.9288770892694752E-2</v>
      </c>
      <c r="I1773" s="43"/>
    </row>
    <row r="1774" spans="2:9" ht="15">
      <c r="B1774" s="32">
        <v>2</v>
      </c>
      <c r="C1774" s="66" t="s">
        <v>48</v>
      </c>
      <c r="D1774" s="64">
        <v>42121</v>
      </c>
      <c r="E1774">
        <v>3.398887048291499E-3</v>
      </c>
      <c r="F1774" s="65">
        <v>3.4469249888099726E-2</v>
      </c>
      <c r="G1774" s="40">
        <f t="shared" si="71"/>
        <v>0</v>
      </c>
      <c r="H1774" s="33">
        <f t="shared" si="72"/>
        <v>-3.4469249888099726E-2</v>
      </c>
      <c r="I1774" s="43"/>
    </row>
    <row r="1775" spans="2:9" ht="15">
      <c r="B1775" s="32">
        <v>2</v>
      </c>
      <c r="C1775" s="66" t="s">
        <v>48</v>
      </c>
      <c r="D1775" s="64">
        <v>42122</v>
      </c>
      <c r="E1775">
        <v>-4.4690741185124949E-3</v>
      </c>
      <c r="F1775" s="65">
        <v>3.3412869631450993E-2</v>
      </c>
      <c r="G1775" s="40">
        <f t="shared" si="71"/>
        <v>0</v>
      </c>
      <c r="H1775" s="33">
        <f t="shared" si="72"/>
        <v>-3.3412869631450993E-2</v>
      </c>
      <c r="I1775" s="43"/>
    </row>
    <row r="1776" spans="2:9" ht="15">
      <c r="B1776" s="32">
        <v>2</v>
      </c>
      <c r="C1776" s="66" t="s">
        <v>48</v>
      </c>
      <c r="D1776" s="64">
        <v>42123</v>
      </c>
      <c r="E1776">
        <v>-3.6757225125860771E-3</v>
      </c>
      <c r="F1776" s="65">
        <v>3.032666510645898E-2</v>
      </c>
      <c r="G1776" s="40">
        <f t="shared" si="71"/>
        <v>0</v>
      </c>
      <c r="H1776" s="33">
        <f t="shared" si="72"/>
        <v>-3.032666510645898E-2</v>
      </c>
      <c r="I1776" s="43"/>
    </row>
    <row r="1777" spans="2:9" ht="15">
      <c r="B1777" s="32">
        <v>2</v>
      </c>
      <c r="C1777" s="66" t="s">
        <v>48</v>
      </c>
      <c r="D1777" s="64">
        <v>42124</v>
      </c>
      <c r="E1777">
        <v>6.1998291467331157E-3</v>
      </c>
      <c r="F1777" s="65">
        <v>2.9580074762976669E-2</v>
      </c>
      <c r="G1777" s="40">
        <f t="shared" si="71"/>
        <v>0</v>
      </c>
      <c r="H1777" s="33">
        <f t="shared" si="72"/>
        <v>-2.9580074762976669E-2</v>
      </c>
      <c r="I1777" s="43"/>
    </row>
    <row r="1778" spans="2:9" ht="15">
      <c r="B1778" s="32">
        <v>2</v>
      </c>
      <c r="C1778" s="66" t="s">
        <v>48</v>
      </c>
      <c r="D1778" s="64">
        <v>42125</v>
      </c>
      <c r="E1778">
        <v>6.0576573725033001E-3</v>
      </c>
      <c r="F1778" s="65">
        <v>4.6909808558511443E-2</v>
      </c>
      <c r="G1778" s="40">
        <f t="shared" si="71"/>
        <v>0</v>
      </c>
      <c r="H1778" s="33">
        <f t="shared" si="72"/>
        <v>-4.6909808558511443E-2</v>
      </c>
      <c r="I1778" s="43"/>
    </row>
    <row r="1779" spans="2:9" ht="15">
      <c r="B1779" s="32">
        <v>2</v>
      </c>
      <c r="C1779" s="66" t="s">
        <v>48</v>
      </c>
      <c r="D1779" s="64">
        <v>42128</v>
      </c>
      <c r="E1779">
        <v>3.8893427509183454E-3</v>
      </c>
      <c r="F1779" s="65">
        <v>5.8075808296920765E-2</v>
      </c>
      <c r="G1779" s="40">
        <f t="shared" si="71"/>
        <v>0</v>
      </c>
      <c r="H1779" s="33">
        <f t="shared" si="72"/>
        <v>-5.8075808296920765E-2</v>
      </c>
      <c r="I1779" s="43"/>
    </row>
    <row r="1780" spans="2:9" ht="15">
      <c r="B1780" s="32">
        <v>2</v>
      </c>
      <c r="C1780" s="66" t="s">
        <v>48</v>
      </c>
      <c r="D1780" s="64">
        <v>42129</v>
      </c>
      <c r="E1780">
        <v>1.884065858136541E-2</v>
      </c>
      <c r="F1780" s="65">
        <v>5.0587321757763197E-2</v>
      </c>
      <c r="G1780" s="40">
        <f t="shared" si="71"/>
        <v>0</v>
      </c>
      <c r="H1780" s="33">
        <f t="shared" si="72"/>
        <v>-5.0587321757763197E-2</v>
      </c>
      <c r="I1780" s="43"/>
    </row>
    <row r="1781" spans="2:9" ht="15">
      <c r="B1781" s="32">
        <v>2</v>
      </c>
      <c r="C1781" s="66" t="s">
        <v>48</v>
      </c>
      <c r="D1781" s="64">
        <v>42130</v>
      </c>
      <c r="E1781">
        <v>2.2662758341597922E-2</v>
      </c>
      <c r="F1781" s="65">
        <v>6.3176596027283788E-2</v>
      </c>
      <c r="G1781" s="40">
        <f t="shared" si="71"/>
        <v>0</v>
      </c>
      <c r="H1781" s="33">
        <f t="shared" si="72"/>
        <v>-6.3176596027283788E-2</v>
      </c>
      <c r="I1781" s="43"/>
    </row>
    <row r="1782" spans="2:9" ht="15">
      <c r="B1782" s="32">
        <v>2</v>
      </c>
      <c r="C1782" s="66" t="s">
        <v>48</v>
      </c>
      <c r="D1782" s="64">
        <v>42131</v>
      </c>
      <c r="E1782">
        <v>1.7965098476521391E-2</v>
      </c>
      <c r="F1782" s="65">
        <v>5.635525828649892E-2</v>
      </c>
      <c r="G1782" s="40">
        <f t="shared" si="71"/>
        <v>0</v>
      </c>
      <c r="H1782" s="33">
        <f t="shared" si="72"/>
        <v>-5.635525828649892E-2</v>
      </c>
      <c r="I1782" s="43"/>
    </row>
    <row r="1783" spans="2:9" ht="15">
      <c r="B1783" s="32">
        <v>2</v>
      </c>
      <c r="C1783" s="66" t="s">
        <v>48</v>
      </c>
      <c r="D1783" s="64">
        <v>42132</v>
      </c>
      <c r="E1783">
        <v>6.9320959051033526E-3</v>
      </c>
      <c r="F1783" s="65">
        <v>5.0016553590094791E-2</v>
      </c>
      <c r="G1783" s="40">
        <f t="shared" si="71"/>
        <v>0</v>
      </c>
      <c r="H1783" s="33">
        <f t="shared" si="72"/>
        <v>-5.0016553590094791E-2</v>
      </c>
      <c r="I1783" s="43"/>
    </row>
    <row r="1784" spans="2:9" ht="15">
      <c r="B1784" s="32">
        <v>2</v>
      </c>
      <c r="C1784" s="66" t="s">
        <v>48</v>
      </c>
      <c r="D1784" s="64">
        <v>42135</v>
      </c>
      <c r="E1784">
        <v>9.7982677932577644E-3</v>
      </c>
      <c r="F1784" s="65">
        <v>6.7150573041326364E-2</v>
      </c>
      <c r="G1784" s="40">
        <f t="shared" si="71"/>
        <v>0</v>
      </c>
      <c r="H1784" s="33">
        <f t="shared" si="72"/>
        <v>-6.7150573041326364E-2</v>
      </c>
      <c r="I1784" s="43"/>
    </row>
    <row r="1785" spans="2:9" ht="15">
      <c r="B1785" s="32">
        <v>2</v>
      </c>
      <c r="C1785" s="66" t="s">
        <v>48</v>
      </c>
      <c r="D1785" s="64">
        <v>42136</v>
      </c>
      <c r="E1785">
        <v>2.4170590823091587E-3</v>
      </c>
      <c r="F1785" s="65">
        <v>6.0341994724447269E-2</v>
      </c>
      <c r="G1785" s="40">
        <f t="shared" si="71"/>
        <v>0</v>
      </c>
      <c r="H1785" s="33">
        <f t="shared" si="72"/>
        <v>-6.0341994724447269E-2</v>
      </c>
      <c r="I1785" s="43"/>
    </row>
    <row r="1786" spans="2:9" ht="15">
      <c r="B1786" s="32">
        <v>2</v>
      </c>
      <c r="C1786" s="66" t="s">
        <v>48</v>
      </c>
      <c r="D1786" s="64">
        <v>42137</v>
      </c>
      <c r="E1786">
        <v>1.1842979297060019E-2</v>
      </c>
      <c r="F1786" s="65">
        <v>5.2477249657596786E-2</v>
      </c>
      <c r="G1786" s="40">
        <f t="shared" si="71"/>
        <v>0</v>
      </c>
      <c r="H1786" s="33">
        <f t="shared" si="72"/>
        <v>-5.2477249657596786E-2</v>
      </c>
      <c r="I1786" s="43"/>
    </row>
    <row r="1787" spans="2:9" ht="15">
      <c r="B1787" s="32">
        <v>2</v>
      </c>
      <c r="C1787" s="66" t="s">
        <v>48</v>
      </c>
      <c r="D1787" s="64">
        <v>42138</v>
      </c>
      <c r="E1787">
        <v>-1.4618907634922351E-4</v>
      </c>
      <c r="F1787" s="65">
        <v>4.4544248743045411E-2</v>
      </c>
      <c r="G1787" s="40">
        <f t="shared" si="71"/>
        <v>0</v>
      </c>
      <c r="H1787" s="33">
        <f t="shared" si="72"/>
        <v>-4.4544248743045411E-2</v>
      </c>
      <c r="I1787" s="43"/>
    </row>
    <row r="1788" spans="2:9" ht="15">
      <c r="B1788" s="32">
        <v>2</v>
      </c>
      <c r="C1788" s="66" t="s">
        <v>48</v>
      </c>
      <c r="D1788" s="64">
        <v>42139</v>
      </c>
      <c r="E1788">
        <v>-7.2528224757686388E-3</v>
      </c>
      <c r="F1788" s="65">
        <v>5.6307474940057951E-2</v>
      </c>
      <c r="G1788" s="40">
        <f t="shared" si="71"/>
        <v>0</v>
      </c>
      <c r="H1788" s="33">
        <f t="shared" si="72"/>
        <v>-5.6307474940057951E-2</v>
      </c>
      <c r="I1788" s="43"/>
    </row>
    <row r="1789" spans="2:9" ht="15">
      <c r="B1789" s="32">
        <v>2</v>
      </c>
      <c r="C1789" s="66" t="s">
        <v>48</v>
      </c>
      <c r="D1789" s="64">
        <v>42142</v>
      </c>
      <c r="E1789">
        <v>-8.2387920114550539E-3</v>
      </c>
      <c r="F1789" s="65">
        <v>4.7871947821918989E-2</v>
      </c>
      <c r="G1789" s="40">
        <f t="shared" si="71"/>
        <v>0</v>
      </c>
      <c r="H1789" s="33">
        <f t="shared" si="72"/>
        <v>-4.7871947821918989E-2</v>
      </c>
      <c r="I1789" s="43"/>
    </row>
    <row r="1790" spans="2:9" ht="15">
      <c r="B1790" s="32">
        <v>2</v>
      </c>
      <c r="C1790" s="66" t="s">
        <v>48</v>
      </c>
      <c r="D1790" s="64">
        <v>42143</v>
      </c>
      <c r="E1790">
        <v>-8.6043152160195646E-3</v>
      </c>
      <c r="F1790" s="65">
        <v>4.2312964700815948E-2</v>
      </c>
      <c r="G1790" s="40">
        <f t="shared" si="71"/>
        <v>0</v>
      </c>
      <c r="H1790" s="33">
        <f t="shared" si="72"/>
        <v>-4.2312964700815948E-2</v>
      </c>
      <c r="I1790" s="43"/>
    </row>
    <row r="1791" spans="2:9" ht="15">
      <c r="B1791" s="32">
        <v>2</v>
      </c>
      <c r="C1791" s="66" t="s">
        <v>48</v>
      </c>
      <c r="D1791" s="64">
        <v>42144</v>
      </c>
      <c r="E1791">
        <v>-5.5567368488524949E-3</v>
      </c>
      <c r="F1791" s="65">
        <v>3.599104171611385E-2</v>
      </c>
      <c r="G1791" s="40">
        <f t="shared" si="71"/>
        <v>0</v>
      </c>
      <c r="H1791" s="33">
        <f t="shared" si="72"/>
        <v>-3.599104171611385E-2</v>
      </c>
      <c r="I1791" s="43"/>
    </row>
    <row r="1792" spans="2:9" ht="15">
      <c r="B1792" s="32">
        <v>2</v>
      </c>
      <c r="C1792" s="66" t="s">
        <v>48</v>
      </c>
      <c r="D1792" s="64">
        <v>42145</v>
      </c>
      <c r="E1792">
        <v>-1.6552444420163681E-2</v>
      </c>
      <c r="F1792" s="65">
        <v>3.0753674921468993E-2</v>
      </c>
      <c r="G1792" s="40">
        <f t="shared" si="71"/>
        <v>0</v>
      </c>
      <c r="H1792" s="33">
        <f t="shared" si="72"/>
        <v>-3.0753674921468993E-2</v>
      </c>
      <c r="I1792" s="43"/>
    </row>
    <row r="1793" spans="2:9" ht="15">
      <c r="B1793" s="32">
        <v>2</v>
      </c>
      <c r="C1793" s="66" t="s">
        <v>48</v>
      </c>
      <c r="D1793" s="64">
        <v>42146</v>
      </c>
      <c r="E1793">
        <v>-1.5753274975063292E-2</v>
      </c>
      <c r="F1793" s="65">
        <v>2.7633263699352054E-2</v>
      </c>
      <c r="G1793" s="40">
        <f t="shared" si="71"/>
        <v>0</v>
      </c>
      <c r="H1793" s="33">
        <f t="shared" si="72"/>
        <v>-2.7633263699352054E-2</v>
      </c>
      <c r="I1793" s="43"/>
    </row>
    <row r="1794" spans="2:9" ht="15">
      <c r="B1794" s="32">
        <v>2</v>
      </c>
      <c r="C1794" s="66" t="s">
        <v>48</v>
      </c>
      <c r="D1794" s="64">
        <v>42150</v>
      </c>
      <c r="E1794">
        <v>-1.191363021615377E-2</v>
      </c>
      <c r="F1794" s="65">
        <v>2.5011557774382992E-2</v>
      </c>
      <c r="G1794" s="40">
        <f t="shared" si="71"/>
        <v>0</v>
      </c>
      <c r="H1794" s="33">
        <f t="shared" si="72"/>
        <v>-2.5011557774382992E-2</v>
      </c>
      <c r="I1794" s="43"/>
    </row>
    <row r="1795" spans="2:9" ht="15">
      <c r="B1795" s="32">
        <v>2</v>
      </c>
      <c r="C1795" s="66" t="s">
        <v>48</v>
      </c>
      <c r="D1795" s="64">
        <v>42151</v>
      </c>
      <c r="E1795">
        <v>-2.0616283509672151E-2</v>
      </c>
      <c r="F1795" s="65">
        <v>4.5486685995141676E-2</v>
      </c>
      <c r="G1795" s="40">
        <f t="shared" si="71"/>
        <v>0</v>
      </c>
      <c r="H1795" s="33">
        <f t="shared" si="72"/>
        <v>-4.5486685995141676E-2</v>
      </c>
      <c r="I1795" s="43"/>
    </row>
    <row r="1796" spans="2:9" ht="15">
      <c r="B1796" s="32">
        <v>2</v>
      </c>
      <c r="C1796" s="66" t="s">
        <v>48</v>
      </c>
      <c r="D1796" s="64">
        <v>42152</v>
      </c>
      <c r="E1796">
        <v>-7.3782279473375567E-3</v>
      </c>
      <c r="F1796" s="65">
        <v>5.2443576909210941E-2</v>
      </c>
      <c r="G1796" s="40">
        <f t="shared" si="71"/>
        <v>0</v>
      </c>
      <c r="H1796" s="33">
        <f t="shared" si="72"/>
        <v>-5.2443576909210941E-2</v>
      </c>
      <c r="I1796" s="43"/>
    </row>
    <row r="1797" spans="2:9" ht="15">
      <c r="B1797" s="32">
        <v>2</v>
      </c>
      <c r="C1797" s="66" t="s">
        <v>48</v>
      </c>
      <c r="D1797" s="64">
        <v>42153</v>
      </c>
      <c r="E1797">
        <v>6.974036452245258E-4</v>
      </c>
      <c r="F1797" s="65">
        <v>4.4772578554544175E-2</v>
      </c>
      <c r="G1797" s="40">
        <f t="shared" si="71"/>
        <v>0</v>
      </c>
      <c r="H1797" s="33">
        <f t="shared" si="72"/>
        <v>-4.4772578554544175E-2</v>
      </c>
      <c r="I1797" s="43"/>
    </row>
    <row r="1798" spans="2:9" ht="15">
      <c r="B1798" s="32">
        <v>2</v>
      </c>
      <c r="C1798" s="66" t="s">
        <v>48</v>
      </c>
      <c r="D1798" s="64">
        <v>42156</v>
      </c>
      <c r="E1798">
        <v>-8.3788140862726124E-3</v>
      </c>
      <c r="F1798" s="65">
        <v>4.5300233804005052E-2</v>
      </c>
      <c r="G1798" s="40">
        <f t="shared" si="71"/>
        <v>0</v>
      </c>
      <c r="H1798" s="33">
        <f t="shared" si="72"/>
        <v>-4.5300233804005052E-2</v>
      </c>
      <c r="I1798" s="43"/>
    </row>
    <row r="1799" spans="2:9" ht="15">
      <c r="B1799" s="32">
        <v>2</v>
      </c>
      <c r="C1799" s="66" t="s">
        <v>48</v>
      </c>
      <c r="D1799" s="64">
        <v>42157</v>
      </c>
      <c r="E1799">
        <v>-1.2002998553747979E-2</v>
      </c>
      <c r="F1799" s="65">
        <v>3.9263963695758838E-2</v>
      </c>
      <c r="G1799" s="40">
        <f t="shared" si="71"/>
        <v>0</v>
      </c>
      <c r="H1799" s="33">
        <f t="shared" si="72"/>
        <v>-3.9263963695758838E-2</v>
      </c>
      <c r="I1799" s="43"/>
    </row>
    <row r="1800" spans="2:9" ht="15">
      <c r="B1800" s="32">
        <v>2</v>
      </c>
      <c r="C1800" s="66" t="s">
        <v>48</v>
      </c>
      <c r="D1800" s="64">
        <v>42158</v>
      </c>
      <c r="E1800">
        <v>-8.445897377035827E-3</v>
      </c>
      <c r="F1800" s="65">
        <v>3.3547352564143755E-2</v>
      </c>
      <c r="G1800" s="40">
        <f t="shared" si="71"/>
        <v>0</v>
      </c>
      <c r="H1800" s="33">
        <f t="shared" si="72"/>
        <v>-3.3547352564143755E-2</v>
      </c>
      <c r="I1800" s="43"/>
    </row>
    <row r="1801" spans="2:9" ht="15">
      <c r="B1801" s="32">
        <v>2</v>
      </c>
      <c r="C1801" s="66" t="s">
        <v>48</v>
      </c>
      <c r="D1801" s="64">
        <v>42159</v>
      </c>
      <c r="E1801">
        <v>2.1923488473616359E-3</v>
      </c>
      <c r="F1801" s="65">
        <v>2.9634346755736372E-2</v>
      </c>
      <c r="G1801" s="40">
        <f t="shared" si="71"/>
        <v>0</v>
      </c>
      <c r="H1801" s="33">
        <f t="shared" si="72"/>
        <v>-2.9634346755736372E-2</v>
      </c>
      <c r="I1801" s="43"/>
    </row>
    <row r="1802" spans="2:9" ht="15">
      <c r="B1802" s="32">
        <v>2</v>
      </c>
      <c r="C1802" s="66" t="s">
        <v>48</v>
      </c>
      <c r="D1802" s="64">
        <v>42160</v>
      </c>
      <c r="E1802">
        <v>1.3483564328939046E-2</v>
      </c>
      <c r="F1802" s="65">
        <v>4.205803971003895E-2</v>
      </c>
      <c r="G1802" s="40">
        <f t="shared" si="71"/>
        <v>0</v>
      </c>
      <c r="H1802" s="33">
        <f t="shared" si="72"/>
        <v>-4.205803971003895E-2</v>
      </c>
      <c r="I1802" s="43"/>
    </row>
    <row r="1803" spans="2:9" ht="15">
      <c r="B1803" s="32">
        <v>2</v>
      </c>
      <c r="C1803" s="66" t="s">
        <v>48</v>
      </c>
      <c r="D1803" s="64">
        <v>42163</v>
      </c>
      <c r="E1803">
        <v>1.466150951175571E-2</v>
      </c>
      <c r="F1803" s="65">
        <v>3.6123304804507823E-2</v>
      </c>
      <c r="G1803" s="40">
        <f t="shared" ref="G1803:G1866" si="73">--(E1803&lt;-F1803)</f>
        <v>0</v>
      </c>
      <c r="H1803" s="33">
        <f t="shared" ref="H1803:H1866" si="74">-F1803</f>
        <v>-3.6123304804507823E-2</v>
      </c>
      <c r="I1803" s="43"/>
    </row>
    <row r="1804" spans="2:9" ht="15">
      <c r="B1804" s="32">
        <v>2</v>
      </c>
      <c r="C1804" s="66" t="s">
        <v>48</v>
      </c>
      <c r="D1804" s="64">
        <v>42164</v>
      </c>
      <c r="E1804">
        <v>2.0319612269777743E-2</v>
      </c>
      <c r="F1804" s="65">
        <v>3.973507156324875E-2</v>
      </c>
      <c r="G1804" s="40">
        <f t="shared" si="73"/>
        <v>0</v>
      </c>
      <c r="H1804" s="33">
        <f t="shared" si="74"/>
        <v>-3.973507156324875E-2</v>
      </c>
      <c r="I1804" s="43"/>
    </row>
    <row r="1805" spans="2:9" ht="15">
      <c r="B1805" s="32">
        <v>2</v>
      </c>
      <c r="C1805" s="66" t="s">
        <v>48</v>
      </c>
      <c r="D1805" s="64">
        <v>42165</v>
      </c>
      <c r="E1805">
        <v>8.9847866160059908E-3</v>
      </c>
      <c r="F1805" s="65">
        <v>3.3755616823260157E-2</v>
      </c>
      <c r="G1805" s="40">
        <f t="shared" si="73"/>
        <v>0</v>
      </c>
      <c r="H1805" s="33">
        <f t="shared" si="74"/>
        <v>-3.3755616823260157E-2</v>
      </c>
      <c r="I1805" s="43"/>
    </row>
    <row r="1806" spans="2:9" ht="15">
      <c r="B1806" s="32">
        <v>2</v>
      </c>
      <c r="C1806" s="66" t="s">
        <v>48</v>
      </c>
      <c r="D1806" s="64">
        <v>42166</v>
      </c>
      <c r="E1806">
        <v>-1.327957187902129E-4</v>
      </c>
      <c r="F1806" s="65">
        <v>5.4696942518176049E-2</v>
      </c>
      <c r="G1806" s="40">
        <f t="shared" si="73"/>
        <v>0</v>
      </c>
      <c r="H1806" s="33">
        <f t="shared" si="74"/>
        <v>-5.4696942518176049E-2</v>
      </c>
      <c r="I1806" s="43"/>
    </row>
    <row r="1807" spans="2:9" ht="15">
      <c r="B1807" s="32">
        <v>2</v>
      </c>
      <c r="C1807" s="66" t="s">
        <v>48</v>
      </c>
      <c r="D1807" s="64">
        <v>42167</v>
      </c>
      <c r="E1807">
        <v>3.9080750316466961E-3</v>
      </c>
      <c r="F1807" s="65">
        <v>4.6901921022964574E-2</v>
      </c>
      <c r="G1807" s="40">
        <f t="shared" si="73"/>
        <v>0</v>
      </c>
      <c r="H1807" s="33">
        <f t="shared" si="74"/>
        <v>-4.6901921022964574E-2</v>
      </c>
      <c r="I1807" s="43"/>
    </row>
    <row r="1808" spans="2:9" ht="15">
      <c r="B1808" s="32">
        <v>2</v>
      </c>
      <c r="C1808" s="66" t="s">
        <v>48</v>
      </c>
      <c r="D1808" s="64">
        <v>42170</v>
      </c>
      <c r="E1808">
        <v>8.1512082298607069E-3</v>
      </c>
      <c r="F1808" s="65">
        <v>4.8273910579152278E-2</v>
      </c>
      <c r="G1808" s="40">
        <f t="shared" si="73"/>
        <v>0</v>
      </c>
      <c r="H1808" s="33">
        <f t="shared" si="74"/>
        <v>-4.8273910579152278E-2</v>
      </c>
      <c r="I1808" s="43"/>
    </row>
    <row r="1809" spans="2:9" ht="15">
      <c r="B1809" s="32">
        <v>2</v>
      </c>
      <c r="C1809" s="66" t="s">
        <v>48</v>
      </c>
      <c r="D1809" s="64">
        <v>42171</v>
      </c>
      <c r="E1809">
        <v>-1.8609491275724643E-2</v>
      </c>
      <c r="F1809" s="65">
        <v>4.4756768201116022E-2</v>
      </c>
      <c r="G1809" s="40">
        <f t="shared" si="73"/>
        <v>0</v>
      </c>
      <c r="H1809" s="33">
        <f t="shared" si="74"/>
        <v>-4.4756768201116022E-2</v>
      </c>
      <c r="I1809" s="43"/>
    </row>
    <row r="1810" spans="2:9" ht="15">
      <c r="B1810" s="32">
        <v>2</v>
      </c>
      <c r="C1810" s="66" t="s">
        <v>48</v>
      </c>
      <c r="D1810" s="64">
        <v>42172</v>
      </c>
      <c r="E1810">
        <v>-1.7932213564246346E-2</v>
      </c>
      <c r="F1810" s="65">
        <v>4.3932726595894665E-2</v>
      </c>
      <c r="G1810" s="40">
        <f t="shared" si="73"/>
        <v>0</v>
      </c>
      <c r="H1810" s="33">
        <f t="shared" si="74"/>
        <v>-4.3932726595894665E-2</v>
      </c>
      <c r="I1810" s="43"/>
    </row>
    <row r="1811" spans="2:9" ht="15">
      <c r="B1811" s="32">
        <v>2</v>
      </c>
      <c r="C1811" s="66" t="s">
        <v>48</v>
      </c>
      <c r="D1811" s="64">
        <v>42173</v>
      </c>
      <c r="E1811">
        <v>-2.0874117001884684E-2</v>
      </c>
      <c r="F1811" s="65">
        <v>3.806479934229115E-2</v>
      </c>
      <c r="G1811" s="40">
        <f t="shared" si="73"/>
        <v>0</v>
      </c>
      <c r="H1811" s="33">
        <f t="shared" si="74"/>
        <v>-3.806479934229115E-2</v>
      </c>
      <c r="I1811" s="43"/>
    </row>
    <row r="1812" spans="2:9" ht="15">
      <c r="B1812" s="32">
        <v>2</v>
      </c>
      <c r="C1812" s="66" t="s">
        <v>48</v>
      </c>
      <c r="D1812" s="64">
        <v>42174</v>
      </c>
      <c r="E1812">
        <v>-1.5864572156012891E-2</v>
      </c>
      <c r="F1812" s="65">
        <v>5.014613328876473E-2</v>
      </c>
      <c r="G1812" s="40">
        <f t="shared" si="73"/>
        <v>0</v>
      </c>
      <c r="H1812" s="33">
        <f t="shared" si="74"/>
        <v>-5.014613328876473E-2</v>
      </c>
      <c r="I1812" s="43"/>
    </row>
    <row r="1813" spans="2:9" ht="15">
      <c r="B1813" s="32">
        <v>2</v>
      </c>
      <c r="C1813" s="66" t="s">
        <v>48</v>
      </c>
      <c r="D1813" s="64">
        <v>42177</v>
      </c>
      <c r="E1813">
        <v>-2.581017285321785E-2</v>
      </c>
      <c r="F1813" s="65">
        <v>4.7318362644093448E-2</v>
      </c>
      <c r="G1813" s="40">
        <f t="shared" si="73"/>
        <v>0</v>
      </c>
      <c r="H1813" s="33">
        <f t="shared" si="74"/>
        <v>-4.7318362644093448E-2</v>
      </c>
      <c r="I1813" s="43"/>
    </row>
    <row r="1814" spans="2:9" ht="15">
      <c r="B1814" s="32">
        <v>2</v>
      </c>
      <c r="C1814" s="66" t="s">
        <v>48</v>
      </c>
      <c r="D1814" s="64">
        <v>42178</v>
      </c>
      <c r="E1814">
        <v>-2.0383278502443147E-2</v>
      </c>
      <c r="F1814" s="65">
        <v>4.6600363415756553E-2</v>
      </c>
      <c r="G1814" s="40">
        <f t="shared" si="73"/>
        <v>0</v>
      </c>
      <c r="H1814" s="33">
        <f t="shared" si="74"/>
        <v>-4.6600363415756553E-2</v>
      </c>
      <c r="I1814" s="43"/>
    </row>
    <row r="1815" spans="2:9" ht="15">
      <c r="B1815" s="32">
        <v>2</v>
      </c>
      <c r="C1815" s="66" t="s">
        <v>48</v>
      </c>
      <c r="D1815" s="64">
        <v>42179</v>
      </c>
      <c r="E1815">
        <v>-2.9795777629225917E-2</v>
      </c>
      <c r="F1815" s="65">
        <v>3.9619068705836237E-2</v>
      </c>
      <c r="G1815" s="40">
        <f t="shared" si="73"/>
        <v>0</v>
      </c>
      <c r="H1815" s="33">
        <f t="shared" si="74"/>
        <v>-3.9619068705836237E-2</v>
      </c>
      <c r="I1815" s="43"/>
    </row>
    <row r="1816" spans="2:9" ht="15">
      <c r="B1816" s="32">
        <v>2</v>
      </c>
      <c r="C1816" s="66" t="s">
        <v>48</v>
      </c>
      <c r="D1816" s="64">
        <v>42180</v>
      </c>
      <c r="E1816">
        <v>-2.4558126023522142E-2</v>
      </c>
      <c r="F1816" s="65">
        <v>4.4221969998209806E-2</v>
      </c>
      <c r="G1816" s="40">
        <f t="shared" si="73"/>
        <v>0</v>
      </c>
      <c r="H1816" s="33">
        <f t="shared" si="74"/>
        <v>-4.4221969998209806E-2</v>
      </c>
      <c r="I1816" s="43"/>
    </row>
    <row r="1817" spans="2:9" ht="15">
      <c r="B1817" s="32">
        <v>2</v>
      </c>
      <c r="C1817" s="66" t="s">
        <v>48</v>
      </c>
      <c r="D1817" s="64">
        <v>42181</v>
      </c>
      <c r="E1817">
        <v>-1.1904983877159658E-2</v>
      </c>
      <c r="F1817" s="65">
        <v>3.9273485763444277E-2</v>
      </c>
      <c r="G1817" s="40">
        <f t="shared" si="73"/>
        <v>0</v>
      </c>
      <c r="H1817" s="33">
        <f t="shared" si="74"/>
        <v>-3.9273485763444277E-2</v>
      </c>
      <c r="I1817" s="43"/>
    </row>
    <row r="1818" spans="2:9" ht="15">
      <c r="B1818" s="32">
        <v>2</v>
      </c>
      <c r="C1818" s="66" t="s">
        <v>48</v>
      </c>
      <c r="D1818" s="64">
        <v>42184</v>
      </c>
      <c r="E1818">
        <v>2.0187254076263095E-2</v>
      </c>
      <c r="F1818" s="65">
        <v>3.3359248716044981E-2</v>
      </c>
      <c r="G1818" s="40">
        <f t="shared" si="73"/>
        <v>0</v>
      </c>
      <c r="H1818" s="33">
        <f t="shared" si="74"/>
        <v>-3.3359248716044981E-2</v>
      </c>
      <c r="I1818" s="43"/>
    </row>
    <row r="1819" spans="2:9" ht="15">
      <c r="B1819" s="32">
        <v>2</v>
      </c>
      <c r="C1819" s="66" t="s">
        <v>48</v>
      </c>
      <c r="D1819" s="64">
        <v>42185</v>
      </c>
      <c r="E1819">
        <v>2.1975565124590979E-2</v>
      </c>
      <c r="F1819" s="65">
        <v>8.6829239582469894E-2</v>
      </c>
      <c r="G1819" s="40">
        <f t="shared" si="73"/>
        <v>0</v>
      </c>
      <c r="H1819" s="33">
        <f t="shared" si="74"/>
        <v>-8.6829239582469894E-2</v>
      </c>
      <c r="I1819" s="43"/>
    </row>
    <row r="1820" spans="2:9" ht="15">
      <c r="B1820" s="32">
        <v>2</v>
      </c>
      <c r="C1820" s="66" t="s">
        <v>48</v>
      </c>
      <c r="D1820" s="64">
        <v>42186</v>
      </c>
      <c r="E1820">
        <v>1.43282120429431E-2</v>
      </c>
      <c r="F1820" s="65">
        <v>7.4398394397013512E-2</v>
      </c>
      <c r="G1820" s="40">
        <f t="shared" si="73"/>
        <v>0</v>
      </c>
      <c r="H1820" s="33">
        <f t="shared" si="74"/>
        <v>-7.4398394397013512E-2</v>
      </c>
      <c r="I1820" s="43"/>
    </row>
    <row r="1821" spans="2:9" ht="15">
      <c r="B1821" s="32">
        <v>2</v>
      </c>
      <c r="C1821" s="66" t="s">
        <v>48</v>
      </c>
      <c r="D1821" s="64">
        <v>42187</v>
      </c>
      <c r="E1821">
        <v>2.2619016013779358E-2</v>
      </c>
      <c r="F1821" s="65">
        <v>6.8624105332711877E-2</v>
      </c>
      <c r="G1821" s="40">
        <f t="shared" si="73"/>
        <v>0</v>
      </c>
      <c r="H1821" s="33">
        <f t="shared" si="74"/>
        <v>-6.8624105332711877E-2</v>
      </c>
      <c r="I1821" s="43"/>
    </row>
    <row r="1822" spans="2:9" ht="15">
      <c r="B1822" s="32">
        <v>2</v>
      </c>
      <c r="C1822" s="66" t="s">
        <v>48</v>
      </c>
      <c r="D1822" s="64">
        <v>42191</v>
      </c>
      <c r="E1822">
        <v>2.7593820308683625E-2</v>
      </c>
      <c r="F1822" s="65">
        <v>5.8241832043429545E-2</v>
      </c>
      <c r="G1822" s="40">
        <f t="shared" si="73"/>
        <v>0</v>
      </c>
      <c r="H1822" s="33">
        <f t="shared" si="74"/>
        <v>-5.8241832043429545E-2</v>
      </c>
      <c r="I1822" s="43"/>
    </row>
    <row r="1823" spans="2:9" ht="15">
      <c r="B1823" s="32">
        <v>2</v>
      </c>
      <c r="C1823" s="66" t="s">
        <v>48</v>
      </c>
      <c r="D1823" s="64">
        <v>42192</v>
      </c>
      <c r="E1823">
        <v>2.2302196061692037E-2</v>
      </c>
      <c r="F1823" s="65">
        <v>5.1664101940951904E-2</v>
      </c>
      <c r="G1823" s="40">
        <f t="shared" si="73"/>
        <v>0</v>
      </c>
      <c r="H1823" s="33">
        <f t="shared" si="74"/>
        <v>-5.1664101940951904E-2</v>
      </c>
      <c r="I1823" s="43"/>
    </row>
    <row r="1824" spans="2:9" ht="15">
      <c r="B1824" s="32">
        <v>2</v>
      </c>
      <c r="C1824" s="66" t="s">
        <v>48</v>
      </c>
      <c r="D1824" s="64">
        <v>42193</v>
      </c>
      <c r="E1824">
        <v>3.4824364811408159E-2</v>
      </c>
      <c r="F1824" s="65">
        <v>4.9787181490134058E-2</v>
      </c>
      <c r="G1824" s="40">
        <f t="shared" si="73"/>
        <v>0</v>
      </c>
      <c r="H1824" s="33">
        <f t="shared" si="74"/>
        <v>-4.9787181490134058E-2</v>
      </c>
      <c r="I1824" s="43"/>
    </row>
    <row r="1825" spans="2:9" ht="15">
      <c r="B1825" s="32">
        <v>2</v>
      </c>
      <c r="C1825" s="66" t="s">
        <v>48</v>
      </c>
      <c r="D1825" s="64">
        <v>42194</v>
      </c>
      <c r="E1825">
        <v>3.0174151897501389E-2</v>
      </c>
      <c r="F1825" s="65">
        <v>7.7833136232380265E-2</v>
      </c>
      <c r="G1825" s="40">
        <f t="shared" si="73"/>
        <v>0</v>
      </c>
      <c r="H1825" s="33">
        <f t="shared" si="74"/>
        <v>-7.7833136232380265E-2</v>
      </c>
      <c r="I1825" s="43"/>
    </row>
    <row r="1826" spans="2:9" ht="15">
      <c r="B1826" s="32">
        <v>2</v>
      </c>
      <c r="C1826" s="66" t="s">
        <v>48</v>
      </c>
      <c r="D1826" s="64">
        <v>42195</v>
      </c>
      <c r="E1826">
        <v>1.2218955588521929E-2</v>
      </c>
      <c r="F1826" s="65">
        <v>6.6626802403185123E-2</v>
      </c>
      <c r="G1826" s="40">
        <f t="shared" si="73"/>
        <v>0</v>
      </c>
      <c r="H1826" s="33">
        <f t="shared" si="74"/>
        <v>-6.6626802403185123E-2</v>
      </c>
      <c r="I1826" s="43"/>
    </row>
    <row r="1827" spans="2:9" ht="15">
      <c r="B1827" s="32">
        <v>2</v>
      </c>
      <c r="C1827" s="66" t="s">
        <v>48</v>
      </c>
      <c r="D1827" s="64">
        <v>42198</v>
      </c>
      <c r="E1827">
        <v>-9.5473338712768197E-3</v>
      </c>
      <c r="F1827" s="65">
        <v>7.3992841806913914E-2</v>
      </c>
      <c r="G1827" s="40">
        <f t="shared" si="73"/>
        <v>0</v>
      </c>
      <c r="H1827" s="33">
        <f t="shared" si="74"/>
        <v>-7.3992841806913914E-2</v>
      </c>
      <c r="I1827" s="43"/>
    </row>
    <row r="1828" spans="2:9" ht="15">
      <c r="B1828" s="32">
        <v>2</v>
      </c>
      <c r="C1828" s="66" t="s">
        <v>48</v>
      </c>
      <c r="D1828" s="64">
        <v>42199</v>
      </c>
      <c r="E1828">
        <v>-1.9782361558292827E-2</v>
      </c>
      <c r="F1828" s="65">
        <v>7.6008315169583479E-2</v>
      </c>
      <c r="G1828" s="40">
        <f t="shared" si="73"/>
        <v>0</v>
      </c>
      <c r="H1828" s="33">
        <f t="shared" si="74"/>
        <v>-7.6008315169583479E-2</v>
      </c>
      <c r="I1828" s="43"/>
    </row>
    <row r="1829" spans="2:9" ht="15">
      <c r="B1829" s="32">
        <v>2</v>
      </c>
      <c r="C1829" s="66" t="s">
        <v>48</v>
      </c>
      <c r="D1829" s="64">
        <v>42200</v>
      </c>
      <c r="E1829">
        <v>-6.7370315780852508E-3</v>
      </c>
      <c r="F1829" s="65">
        <v>6.6774222751976753E-2</v>
      </c>
      <c r="G1829" s="40">
        <f t="shared" si="73"/>
        <v>0</v>
      </c>
      <c r="H1829" s="33">
        <f t="shared" si="74"/>
        <v>-6.6774222751976753E-2</v>
      </c>
      <c r="I1829" s="43"/>
    </row>
    <row r="1830" spans="2:9" ht="15">
      <c r="B1830" s="32">
        <v>2</v>
      </c>
      <c r="C1830" s="66" t="s">
        <v>48</v>
      </c>
      <c r="D1830" s="64">
        <v>42201</v>
      </c>
      <c r="E1830">
        <v>-7.4276223993061663E-3</v>
      </c>
      <c r="F1830" s="65">
        <v>5.6732051075665778E-2</v>
      </c>
      <c r="G1830" s="40">
        <f t="shared" si="73"/>
        <v>0</v>
      </c>
      <c r="H1830" s="33">
        <f t="shared" si="74"/>
        <v>-5.6732051075665778E-2</v>
      </c>
      <c r="I1830" s="43"/>
    </row>
    <row r="1831" spans="2:9" ht="15">
      <c r="B1831" s="32">
        <v>2</v>
      </c>
      <c r="C1831" s="66" t="s">
        <v>48</v>
      </c>
      <c r="D1831" s="64">
        <v>42202</v>
      </c>
      <c r="E1831">
        <v>-8.5048270881769028E-3</v>
      </c>
      <c r="F1831" s="65">
        <v>5.7297191484525202E-2</v>
      </c>
      <c r="G1831" s="40">
        <f t="shared" si="73"/>
        <v>0</v>
      </c>
      <c r="H1831" s="33">
        <f t="shared" si="74"/>
        <v>-5.7297191484525202E-2</v>
      </c>
      <c r="I1831" s="43"/>
    </row>
    <row r="1832" spans="2:9" ht="15">
      <c r="B1832" s="32">
        <v>2</v>
      </c>
      <c r="C1832" s="66" t="s">
        <v>48</v>
      </c>
      <c r="D1832" s="64">
        <v>42205</v>
      </c>
      <c r="E1832">
        <v>-1.1549867212296228E-2</v>
      </c>
      <c r="F1832" s="65">
        <v>4.880838850614052E-2</v>
      </c>
      <c r="G1832" s="40">
        <f t="shared" si="73"/>
        <v>0</v>
      </c>
      <c r="H1832" s="33">
        <f t="shared" si="74"/>
        <v>-4.880838850614052E-2</v>
      </c>
      <c r="I1832" s="43"/>
    </row>
    <row r="1833" spans="2:9" ht="15">
      <c r="B1833" s="32">
        <v>2</v>
      </c>
      <c r="C1833" s="66" t="s">
        <v>48</v>
      </c>
      <c r="D1833" s="64">
        <v>42206</v>
      </c>
      <c r="E1833">
        <v>-1.0039765165238634E-2</v>
      </c>
      <c r="F1833" s="65">
        <v>4.1523879689774869E-2</v>
      </c>
      <c r="G1833" s="40">
        <f t="shared" si="73"/>
        <v>0</v>
      </c>
      <c r="H1833" s="33">
        <f t="shared" si="74"/>
        <v>-4.1523879689774869E-2</v>
      </c>
      <c r="I1833" s="43"/>
    </row>
    <row r="1834" spans="2:9" ht="15">
      <c r="B1834" s="32">
        <v>2</v>
      </c>
      <c r="C1834" s="66" t="s">
        <v>48</v>
      </c>
      <c r="D1834" s="64">
        <v>42207</v>
      </c>
      <c r="E1834">
        <v>-9.9014392617808866E-3</v>
      </c>
      <c r="F1834" s="65">
        <v>3.8959455510050679E-2</v>
      </c>
      <c r="G1834" s="40">
        <f t="shared" si="73"/>
        <v>0</v>
      </c>
      <c r="H1834" s="33">
        <f t="shared" si="74"/>
        <v>-3.8959455510050679E-2</v>
      </c>
      <c r="I1834" s="43"/>
    </row>
    <row r="1835" spans="2:9" ht="15">
      <c r="B1835" s="32">
        <v>2</v>
      </c>
      <c r="C1835" s="66" t="s">
        <v>48</v>
      </c>
      <c r="D1835" s="64">
        <v>42208</v>
      </c>
      <c r="E1835">
        <v>-1.0993906402188003E-3</v>
      </c>
      <c r="F1835" s="65">
        <v>3.4343010058373237E-2</v>
      </c>
      <c r="G1835" s="40">
        <f t="shared" si="73"/>
        <v>0</v>
      </c>
      <c r="H1835" s="33">
        <f t="shared" si="74"/>
        <v>-3.4343010058373237E-2</v>
      </c>
      <c r="I1835" s="43"/>
    </row>
    <row r="1836" spans="2:9" ht="15">
      <c r="B1836" s="32">
        <v>2</v>
      </c>
      <c r="C1836" s="66" t="s">
        <v>48</v>
      </c>
      <c r="D1836" s="64">
        <v>42209</v>
      </c>
      <c r="E1836">
        <v>1.8784342785416186E-3</v>
      </c>
      <c r="F1836" s="65">
        <v>3.6608531747760853E-2</v>
      </c>
      <c r="G1836" s="40">
        <f t="shared" si="73"/>
        <v>0</v>
      </c>
      <c r="H1836" s="33">
        <f t="shared" si="74"/>
        <v>-3.6608531747760853E-2</v>
      </c>
      <c r="I1836" s="43"/>
    </row>
    <row r="1837" spans="2:9" ht="15">
      <c r="B1837" s="32">
        <v>2</v>
      </c>
      <c r="C1837" s="66" t="s">
        <v>48</v>
      </c>
      <c r="D1837" s="64">
        <v>42212</v>
      </c>
      <c r="E1837">
        <v>4.7911657499817295E-3</v>
      </c>
      <c r="F1837" s="65">
        <v>5.2150541613558768E-2</v>
      </c>
      <c r="G1837" s="40">
        <f t="shared" si="73"/>
        <v>0</v>
      </c>
      <c r="H1837" s="33">
        <f t="shared" si="74"/>
        <v>-5.2150541613558768E-2</v>
      </c>
      <c r="I1837" s="43"/>
    </row>
    <row r="1838" spans="2:9" ht="15">
      <c r="B1838" s="32">
        <v>2</v>
      </c>
      <c r="C1838" s="66" t="s">
        <v>48</v>
      </c>
      <c r="D1838" s="64">
        <v>42213</v>
      </c>
      <c r="E1838">
        <v>5.2079281279233669E-3</v>
      </c>
      <c r="F1838" s="65">
        <v>4.9663645837247895E-2</v>
      </c>
      <c r="G1838" s="40">
        <f t="shared" si="73"/>
        <v>0</v>
      </c>
      <c r="H1838" s="33">
        <f t="shared" si="74"/>
        <v>-4.9663645837247895E-2</v>
      </c>
      <c r="I1838" s="43"/>
    </row>
    <row r="1839" spans="2:9" ht="15">
      <c r="B1839" s="32">
        <v>2</v>
      </c>
      <c r="C1839" s="66" t="s">
        <v>48</v>
      </c>
      <c r="D1839" s="64">
        <v>42214</v>
      </c>
      <c r="E1839">
        <v>-1.1687279652436544E-2</v>
      </c>
      <c r="F1839" s="65">
        <v>6.3813510061318579E-2</v>
      </c>
      <c r="G1839" s="40">
        <f t="shared" si="73"/>
        <v>0</v>
      </c>
      <c r="H1839" s="33">
        <f t="shared" si="74"/>
        <v>-6.3813510061318579E-2</v>
      </c>
      <c r="I1839" s="43"/>
    </row>
    <row r="1840" spans="2:9" ht="15">
      <c r="B1840" s="32">
        <v>2</v>
      </c>
      <c r="C1840" s="66" t="s">
        <v>48</v>
      </c>
      <c r="D1840" s="64">
        <v>42215</v>
      </c>
      <c r="E1840">
        <v>-1.0766042922768726E-2</v>
      </c>
      <c r="F1840" s="65">
        <v>6.1137061856666876E-2</v>
      </c>
      <c r="G1840" s="40">
        <f t="shared" si="73"/>
        <v>0</v>
      </c>
      <c r="H1840" s="33">
        <f t="shared" si="74"/>
        <v>-6.1137061856666876E-2</v>
      </c>
      <c r="I1840" s="43"/>
    </row>
    <row r="1841" spans="2:9" ht="15">
      <c r="B1841" s="32">
        <v>2</v>
      </c>
      <c r="C1841" s="66" t="s">
        <v>48</v>
      </c>
      <c r="D1841" s="64">
        <v>42216</v>
      </c>
      <c r="E1841">
        <v>-9.7679648330641911E-3</v>
      </c>
      <c r="F1841" s="65">
        <v>5.1876634751863632E-2</v>
      </c>
      <c r="G1841" s="40">
        <f t="shared" si="73"/>
        <v>0</v>
      </c>
      <c r="H1841" s="33">
        <f t="shared" si="74"/>
        <v>-5.1876634751863632E-2</v>
      </c>
      <c r="I1841" s="43"/>
    </row>
    <row r="1842" spans="2:9" ht="15">
      <c r="B1842" s="32">
        <v>2</v>
      </c>
      <c r="C1842" s="66" t="s">
        <v>48</v>
      </c>
      <c r="D1842" s="64">
        <v>42219</v>
      </c>
      <c r="E1842">
        <v>-3.1029387643988215E-3</v>
      </c>
      <c r="F1842" s="65">
        <v>4.4900104821896686E-2</v>
      </c>
      <c r="G1842" s="40">
        <f t="shared" si="73"/>
        <v>0</v>
      </c>
      <c r="H1842" s="33">
        <f t="shared" si="74"/>
        <v>-4.4900104821896686E-2</v>
      </c>
      <c r="I1842" s="43"/>
    </row>
    <row r="1843" spans="2:9" ht="15">
      <c r="B1843" s="32">
        <v>2</v>
      </c>
      <c r="C1843" s="66" t="s">
        <v>48</v>
      </c>
      <c r="D1843" s="64">
        <v>42220</v>
      </c>
      <c r="E1843">
        <v>4.3471920904787353E-3</v>
      </c>
      <c r="F1843" s="65">
        <v>3.9585652060367668E-2</v>
      </c>
      <c r="G1843" s="40">
        <f t="shared" si="73"/>
        <v>0</v>
      </c>
      <c r="H1843" s="33">
        <f t="shared" si="74"/>
        <v>-3.9585652060367668E-2</v>
      </c>
      <c r="I1843" s="43"/>
    </row>
    <row r="1844" spans="2:9" ht="15">
      <c r="B1844" s="32">
        <v>2</v>
      </c>
      <c r="C1844" s="66" t="s">
        <v>48</v>
      </c>
      <c r="D1844" s="64">
        <v>42221</v>
      </c>
      <c r="E1844">
        <v>-1.3916290015698607E-3</v>
      </c>
      <c r="F1844" s="65">
        <v>3.4714889442939302E-2</v>
      </c>
      <c r="G1844" s="40">
        <f t="shared" si="73"/>
        <v>0</v>
      </c>
      <c r="H1844" s="33">
        <f t="shared" si="74"/>
        <v>-3.4714889442939302E-2</v>
      </c>
      <c r="I1844" s="43"/>
    </row>
    <row r="1845" spans="2:9" ht="15">
      <c r="B1845" s="32">
        <v>2</v>
      </c>
      <c r="C1845" s="66" t="s">
        <v>48</v>
      </c>
      <c r="D1845" s="64">
        <v>42222</v>
      </c>
      <c r="E1845">
        <v>-1.8975698939707186E-3</v>
      </c>
      <c r="F1845" s="65">
        <v>3.1847103490801443E-2</v>
      </c>
      <c r="G1845" s="40">
        <f t="shared" si="73"/>
        <v>0</v>
      </c>
      <c r="H1845" s="33">
        <f t="shared" si="74"/>
        <v>-3.1847103490801443E-2</v>
      </c>
      <c r="I1845" s="43"/>
    </row>
    <row r="1846" spans="2:9" ht="15">
      <c r="B1846" s="32">
        <v>2</v>
      </c>
      <c r="C1846" s="66" t="s">
        <v>48</v>
      </c>
      <c r="D1846" s="64">
        <v>42223</v>
      </c>
      <c r="E1846">
        <v>-2.0344507151221158E-2</v>
      </c>
      <c r="F1846" s="65">
        <v>4.0598156411470507E-2</v>
      </c>
      <c r="G1846" s="40">
        <f t="shared" si="73"/>
        <v>0</v>
      </c>
      <c r="H1846" s="33">
        <f t="shared" si="74"/>
        <v>-4.0598156411470507E-2</v>
      </c>
      <c r="I1846" s="43"/>
    </row>
    <row r="1847" spans="2:9" ht="15">
      <c r="B1847" s="32">
        <v>2</v>
      </c>
      <c r="C1847" s="66" t="s">
        <v>48</v>
      </c>
      <c r="D1847" s="64">
        <v>42226</v>
      </c>
      <c r="E1847">
        <v>-6.5440585240254201E-2</v>
      </c>
      <c r="F1847" s="65">
        <v>3.6225871217563654E-2</v>
      </c>
      <c r="G1847" s="40">
        <f t="shared" si="73"/>
        <v>1</v>
      </c>
      <c r="H1847" s="33">
        <f t="shared" si="74"/>
        <v>-3.6225871217563654E-2</v>
      </c>
      <c r="I1847" s="43">
        <f t="shared" ref="I1798:I1861" si="75">IF(G1847=0,"",E1847)</f>
        <v>-6.5440585240254201E-2</v>
      </c>
    </row>
    <row r="1848" spans="2:9" ht="15">
      <c r="B1848" s="32">
        <v>2</v>
      </c>
      <c r="C1848" s="66" t="s">
        <v>48</v>
      </c>
      <c r="D1848" s="64">
        <v>42227</v>
      </c>
      <c r="E1848">
        <v>-9.6048964708726814E-2</v>
      </c>
      <c r="F1848" s="65">
        <v>5.8303364240210806E-2</v>
      </c>
      <c r="G1848" s="40">
        <f t="shared" si="73"/>
        <v>1</v>
      </c>
      <c r="H1848" s="33">
        <f t="shared" si="74"/>
        <v>-5.8303364240210806E-2</v>
      </c>
      <c r="I1848" s="43">
        <f t="shared" si="75"/>
        <v>-9.6048964708726814E-2</v>
      </c>
    </row>
    <row r="1849" spans="2:9" ht="15">
      <c r="B1849" s="32">
        <v>2</v>
      </c>
      <c r="C1849" s="66" t="s">
        <v>48</v>
      </c>
      <c r="D1849" s="64">
        <v>42228</v>
      </c>
      <c r="E1849">
        <v>-0.11061281856568339</v>
      </c>
      <c r="F1849" s="65">
        <v>6.2007287215398346E-2</v>
      </c>
      <c r="G1849" s="40">
        <f t="shared" si="73"/>
        <v>1</v>
      </c>
      <c r="H1849" s="33">
        <f t="shared" si="74"/>
        <v>-6.2007287215398346E-2</v>
      </c>
      <c r="I1849" s="43">
        <f t="shared" si="75"/>
        <v>-0.11061281856568339</v>
      </c>
    </row>
    <row r="1850" spans="2:9" ht="15">
      <c r="B1850" s="32">
        <v>2</v>
      </c>
      <c r="C1850" s="66" t="s">
        <v>48</v>
      </c>
      <c r="D1850" s="64">
        <v>42229</v>
      </c>
      <c r="E1850">
        <v>-7.1045493073849997E-2</v>
      </c>
      <c r="F1850" s="65">
        <v>5.2744621488873662E-2</v>
      </c>
      <c r="G1850" s="40">
        <f t="shared" si="73"/>
        <v>1</v>
      </c>
      <c r="H1850" s="33">
        <f t="shared" si="74"/>
        <v>-5.2744621488873662E-2</v>
      </c>
      <c r="I1850" s="43">
        <f t="shared" si="75"/>
        <v>-7.1045493073849997E-2</v>
      </c>
    </row>
    <row r="1851" spans="2:9" ht="15">
      <c r="B1851" s="32">
        <v>2</v>
      </c>
      <c r="C1851" s="66" t="s">
        <v>48</v>
      </c>
      <c r="D1851" s="64">
        <v>42230</v>
      </c>
      <c r="E1851">
        <v>-5.0942570837324119E-2</v>
      </c>
      <c r="F1851" s="65">
        <v>4.5030097839191312E-2</v>
      </c>
      <c r="G1851" s="40">
        <f t="shared" si="73"/>
        <v>1</v>
      </c>
      <c r="H1851" s="33">
        <f t="shared" si="74"/>
        <v>-4.5030097839191312E-2</v>
      </c>
      <c r="I1851" s="43">
        <f t="shared" si="75"/>
        <v>-5.0942570837324119E-2</v>
      </c>
    </row>
    <row r="1852" spans="2:9" ht="15">
      <c r="B1852" s="32">
        <v>2</v>
      </c>
      <c r="C1852" s="66" t="s">
        <v>48</v>
      </c>
      <c r="D1852" s="64">
        <v>42233</v>
      </c>
      <c r="E1852">
        <v>-5.553191119502543E-2</v>
      </c>
      <c r="F1852" s="65">
        <v>4.1121102437501215E-2</v>
      </c>
      <c r="G1852" s="40">
        <f t="shared" si="73"/>
        <v>1</v>
      </c>
      <c r="H1852" s="33">
        <f t="shared" si="74"/>
        <v>-4.1121102437501215E-2</v>
      </c>
      <c r="I1852" s="43">
        <f t="shared" si="75"/>
        <v>-5.553191119502543E-2</v>
      </c>
    </row>
    <row r="1853" spans="2:9" ht="15">
      <c r="B1853" s="32">
        <v>2</v>
      </c>
      <c r="C1853" s="66" t="s">
        <v>48</v>
      </c>
      <c r="D1853" s="64">
        <v>42234</v>
      </c>
      <c r="E1853">
        <v>-6.1330006970724327E-2</v>
      </c>
      <c r="F1853" s="65">
        <v>4.0334768938888661E-2</v>
      </c>
      <c r="G1853" s="40">
        <f t="shared" si="73"/>
        <v>1</v>
      </c>
      <c r="H1853" s="33">
        <f t="shared" si="74"/>
        <v>-4.0334768938888661E-2</v>
      </c>
      <c r="I1853" s="43">
        <f t="shared" si="75"/>
        <v>-6.1330006970724327E-2</v>
      </c>
    </row>
    <row r="1854" spans="2:9" ht="15">
      <c r="B1854" s="32">
        <v>2</v>
      </c>
      <c r="C1854" s="66" t="s">
        <v>48</v>
      </c>
      <c r="D1854" s="64">
        <v>42235</v>
      </c>
      <c r="E1854">
        <v>-8.30635200713008E-2</v>
      </c>
      <c r="F1854" s="65">
        <v>3.5722488739120921E-2</v>
      </c>
      <c r="G1854" s="40">
        <f t="shared" si="73"/>
        <v>1</v>
      </c>
      <c r="H1854" s="33">
        <f t="shared" si="74"/>
        <v>-3.5722488739120921E-2</v>
      </c>
      <c r="I1854" s="43">
        <f t="shared" si="75"/>
        <v>-8.30635200713008E-2</v>
      </c>
    </row>
    <row r="1855" spans="2:9" ht="15">
      <c r="B1855" s="32">
        <v>2</v>
      </c>
      <c r="C1855" s="66" t="s">
        <v>48</v>
      </c>
      <c r="D1855" s="64">
        <v>42236</v>
      </c>
      <c r="E1855">
        <v>-4.3609888563285182E-2</v>
      </c>
      <c r="F1855" s="65">
        <v>4.4271543680703948E-2</v>
      </c>
      <c r="G1855" s="40">
        <f t="shared" si="73"/>
        <v>0</v>
      </c>
      <c r="H1855" s="33">
        <f t="shared" si="74"/>
        <v>-4.4271543680703948E-2</v>
      </c>
      <c r="I1855" s="43"/>
    </row>
    <row r="1856" spans="2:9" ht="15">
      <c r="B1856" s="32">
        <v>2</v>
      </c>
      <c r="C1856" s="66" t="s">
        <v>48</v>
      </c>
      <c r="D1856" s="64">
        <v>42237</v>
      </c>
      <c r="E1856">
        <v>-1.0076530510172432E-2</v>
      </c>
      <c r="F1856" s="65">
        <v>9.1119971883220366E-2</v>
      </c>
      <c r="G1856" s="40">
        <f t="shared" si="73"/>
        <v>0</v>
      </c>
      <c r="H1856" s="33">
        <f t="shared" si="74"/>
        <v>-9.1119971883220366E-2</v>
      </c>
      <c r="I1856" s="43"/>
    </row>
    <row r="1857" spans="2:9" ht="15">
      <c r="B1857" s="32">
        <v>2</v>
      </c>
      <c r="C1857" s="66" t="s">
        <v>48</v>
      </c>
      <c r="D1857" s="64">
        <v>42240</v>
      </c>
      <c r="E1857">
        <v>1.4686605321898583E-2</v>
      </c>
      <c r="F1857" s="65">
        <v>0.14783503113290619</v>
      </c>
      <c r="G1857" s="40">
        <f t="shared" si="73"/>
        <v>0</v>
      </c>
      <c r="H1857" s="33">
        <f t="shared" si="74"/>
        <v>-0.14783503113290619</v>
      </c>
      <c r="I1857" s="43"/>
    </row>
    <row r="1858" spans="2:9" ht="15">
      <c r="B1858" s="32">
        <v>2</v>
      </c>
      <c r="C1858" s="66" t="s">
        <v>48</v>
      </c>
      <c r="D1858" s="64">
        <v>42241</v>
      </c>
      <c r="E1858">
        <v>5.3074492237084492E-2</v>
      </c>
      <c r="F1858" s="65">
        <v>0.20059419878570001</v>
      </c>
      <c r="G1858" s="40">
        <f t="shared" si="73"/>
        <v>0</v>
      </c>
      <c r="H1858" s="33">
        <f t="shared" si="74"/>
        <v>-0.20059419878570001</v>
      </c>
      <c r="I1858" s="43"/>
    </row>
    <row r="1859" spans="2:9" ht="15">
      <c r="B1859" s="32">
        <v>2</v>
      </c>
      <c r="C1859" s="66" t="s">
        <v>48</v>
      </c>
      <c r="D1859" s="64">
        <v>42242</v>
      </c>
      <c r="E1859">
        <v>7.8815678350263596E-4</v>
      </c>
      <c r="F1859" s="65">
        <v>0.17826950139701034</v>
      </c>
      <c r="G1859" s="40">
        <f t="shared" si="73"/>
        <v>0</v>
      </c>
      <c r="H1859" s="33">
        <f t="shared" si="74"/>
        <v>-0.17826950139701034</v>
      </c>
      <c r="I1859" s="43"/>
    </row>
    <row r="1860" spans="2:9" ht="15">
      <c r="B1860" s="32">
        <v>2</v>
      </c>
      <c r="C1860" s="66" t="s">
        <v>48</v>
      </c>
      <c r="D1860" s="64">
        <v>42243</v>
      </c>
      <c r="E1860">
        <v>-1.7955022049901181E-2</v>
      </c>
      <c r="F1860" s="65">
        <v>0.21236700303518871</v>
      </c>
      <c r="G1860" s="40">
        <f t="shared" si="73"/>
        <v>0</v>
      </c>
      <c r="H1860" s="33">
        <f t="shared" si="74"/>
        <v>-0.21236700303518871</v>
      </c>
      <c r="I1860" s="43"/>
    </row>
    <row r="1861" spans="2:9" ht="15">
      <c r="B1861" s="32">
        <v>2</v>
      </c>
      <c r="C1861" s="66" t="s">
        <v>48</v>
      </c>
      <c r="D1861" s="64">
        <v>42244</v>
      </c>
      <c r="E1861">
        <v>-1.4086566673613632E-2</v>
      </c>
      <c r="F1861" s="65">
        <v>0.20299112360408891</v>
      </c>
      <c r="G1861" s="40">
        <f t="shared" si="73"/>
        <v>0</v>
      </c>
      <c r="H1861" s="33">
        <f t="shared" si="74"/>
        <v>-0.20299112360408891</v>
      </c>
      <c r="I1861" s="43"/>
    </row>
    <row r="1862" spans="2:9" ht="15">
      <c r="B1862" s="32">
        <v>2</v>
      </c>
      <c r="C1862" s="66" t="s">
        <v>48</v>
      </c>
      <c r="D1862" s="64">
        <v>42247</v>
      </c>
      <c r="E1862">
        <v>-9.7575296778167342E-3</v>
      </c>
      <c r="F1862" s="65">
        <v>0.1722599695252135</v>
      </c>
      <c r="G1862" s="40">
        <f t="shared" si="73"/>
        <v>0</v>
      </c>
      <c r="H1862" s="33">
        <f t="shared" si="74"/>
        <v>-0.1722599695252135</v>
      </c>
      <c r="I1862" s="43"/>
    </row>
    <row r="1863" spans="2:9" ht="15">
      <c r="B1863" s="32">
        <v>2</v>
      </c>
      <c r="C1863" s="66" t="s">
        <v>48</v>
      </c>
      <c r="D1863" s="64">
        <v>42248</v>
      </c>
      <c r="E1863">
        <v>3.3014807969109938E-2</v>
      </c>
      <c r="F1863" s="65">
        <v>0.14980333672883733</v>
      </c>
      <c r="G1863" s="40">
        <f t="shared" si="73"/>
        <v>0</v>
      </c>
      <c r="H1863" s="33">
        <f t="shared" si="74"/>
        <v>-0.14980333672883733</v>
      </c>
      <c r="I1863" s="43"/>
    </row>
    <row r="1864" spans="2:9" ht="15">
      <c r="B1864" s="32">
        <v>2</v>
      </c>
      <c r="C1864" s="66" t="s">
        <v>48</v>
      </c>
      <c r="D1864" s="64">
        <v>42249</v>
      </c>
      <c r="E1864">
        <v>2.3554877770778582E-2</v>
      </c>
      <c r="F1864" s="65">
        <v>0.1726734590333302</v>
      </c>
      <c r="G1864" s="40">
        <f t="shared" si="73"/>
        <v>0</v>
      </c>
      <c r="H1864" s="33">
        <f t="shared" si="74"/>
        <v>-0.1726734590333302</v>
      </c>
      <c r="I1864" s="43"/>
    </row>
    <row r="1865" spans="2:9" ht="15">
      <c r="B1865" s="32">
        <v>2</v>
      </c>
      <c r="C1865" s="66" t="s">
        <v>48</v>
      </c>
      <c r="D1865" s="64">
        <v>42250</v>
      </c>
      <c r="E1865">
        <v>1.9826417098381732E-2</v>
      </c>
      <c r="F1865" s="65">
        <v>0.16262586964483233</v>
      </c>
      <c r="G1865" s="40">
        <f t="shared" si="73"/>
        <v>0</v>
      </c>
      <c r="H1865" s="33">
        <f t="shared" si="74"/>
        <v>-0.16262586964483233</v>
      </c>
      <c r="I1865" s="43"/>
    </row>
    <row r="1866" spans="2:9" ht="15">
      <c r="B1866" s="32">
        <v>2</v>
      </c>
      <c r="C1866" s="66" t="s">
        <v>48</v>
      </c>
      <c r="D1866" s="64">
        <v>42251</v>
      </c>
      <c r="E1866">
        <v>1.8978494738552953E-2</v>
      </c>
      <c r="F1866" s="65">
        <v>0.1380670132424878</v>
      </c>
      <c r="G1866" s="40">
        <f t="shared" si="73"/>
        <v>0</v>
      </c>
      <c r="H1866" s="33">
        <f t="shared" si="74"/>
        <v>-0.1380670132424878</v>
      </c>
      <c r="I1866" s="43"/>
    </row>
    <row r="1867" spans="2:9" ht="15">
      <c r="B1867" s="32">
        <v>2</v>
      </c>
      <c r="C1867" s="66" t="s">
        <v>48</v>
      </c>
      <c r="D1867" s="64">
        <v>42255</v>
      </c>
      <c r="E1867">
        <v>-1.23974987650044E-3</v>
      </c>
      <c r="F1867" s="65">
        <v>0.13168652112201507</v>
      </c>
      <c r="G1867" s="40">
        <f t="shared" ref="G1867:G1930" si="76">--(E1867&lt;-F1867)</f>
        <v>0</v>
      </c>
      <c r="H1867" s="33">
        <f t="shared" ref="H1867:H1930" si="77">-F1867</f>
        <v>-0.13168652112201507</v>
      </c>
      <c r="I1867" s="43"/>
    </row>
    <row r="1868" spans="2:9" ht="15">
      <c r="B1868" s="32">
        <v>2</v>
      </c>
      <c r="C1868" s="66" t="s">
        <v>48</v>
      </c>
      <c r="D1868" s="64">
        <v>42256</v>
      </c>
      <c r="E1868">
        <v>3.6035554257818347E-4</v>
      </c>
      <c r="F1868" s="65">
        <v>0.14760030146484365</v>
      </c>
      <c r="G1868" s="40">
        <f t="shared" si="76"/>
        <v>0</v>
      </c>
      <c r="H1868" s="33">
        <f t="shared" si="77"/>
        <v>-0.14760030146484365</v>
      </c>
      <c r="I1868" s="43"/>
    </row>
    <row r="1869" spans="2:9" ht="15">
      <c r="B1869" s="32">
        <v>2</v>
      </c>
      <c r="C1869" s="66" t="s">
        <v>48</v>
      </c>
      <c r="D1869" s="64">
        <v>42257</v>
      </c>
      <c r="E1869">
        <v>-6.9544638905894018E-3</v>
      </c>
      <c r="F1869" s="65">
        <v>0.1365787428580798</v>
      </c>
      <c r="G1869" s="40">
        <f t="shared" si="76"/>
        <v>0</v>
      </c>
      <c r="H1869" s="33">
        <f t="shared" si="77"/>
        <v>-0.1365787428580798</v>
      </c>
      <c r="I1869" s="43"/>
    </row>
    <row r="1870" spans="2:9" ht="15">
      <c r="B1870" s="32">
        <v>2</v>
      </c>
      <c r="C1870" s="66" t="s">
        <v>48</v>
      </c>
      <c r="D1870" s="64">
        <v>42258</v>
      </c>
      <c r="E1870">
        <v>-1.4800122568725982E-2</v>
      </c>
      <c r="F1870" s="65">
        <v>0.11768860461045569</v>
      </c>
      <c r="G1870" s="40">
        <f t="shared" si="76"/>
        <v>0</v>
      </c>
      <c r="H1870" s="33">
        <f t="shared" si="77"/>
        <v>-0.11768860461045569</v>
      </c>
      <c r="I1870" s="43"/>
    </row>
    <row r="1871" spans="2:9" ht="15">
      <c r="B1871" s="32">
        <v>2</v>
      </c>
      <c r="C1871" s="66" t="s">
        <v>48</v>
      </c>
      <c r="D1871" s="64">
        <v>42261</v>
      </c>
      <c r="E1871">
        <v>-1.1167982692916745E-2</v>
      </c>
      <c r="F1871" s="65">
        <v>0.10137141657660777</v>
      </c>
      <c r="G1871" s="40">
        <f t="shared" si="76"/>
        <v>0</v>
      </c>
      <c r="H1871" s="33">
        <f t="shared" si="77"/>
        <v>-0.10137141657660777</v>
      </c>
      <c r="I1871" s="43"/>
    </row>
    <row r="1872" spans="2:9" ht="15">
      <c r="B1872" s="32">
        <v>2</v>
      </c>
      <c r="C1872" s="66" t="s">
        <v>48</v>
      </c>
      <c r="D1872" s="64">
        <v>42262</v>
      </c>
      <c r="E1872">
        <v>-4.9918881573941754E-2</v>
      </c>
      <c r="F1872" s="65">
        <v>8.7483266366474174E-2</v>
      </c>
      <c r="G1872" s="40">
        <f t="shared" si="76"/>
        <v>0</v>
      </c>
      <c r="H1872" s="33">
        <f t="shared" si="77"/>
        <v>-8.7483266366474174E-2</v>
      </c>
      <c r="I1872" s="43"/>
    </row>
    <row r="1873" spans="2:9" ht="15">
      <c r="B1873" s="32">
        <v>2</v>
      </c>
      <c r="C1873" s="66" t="s">
        <v>48</v>
      </c>
      <c r="D1873" s="64">
        <v>42263</v>
      </c>
      <c r="E1873">
        <v>-5.7354528642828306E-2</v>
      </c>
      <c r="F1873" s="65">
        <v>8.9295185786513173E-2</v>
      </c>
      <c r="G1873" s="40">
        <f t="shared" si="76"/>
        <v>0</v>
      </c>
      <c r="H1873" s="33">
        <f t="shared" si="77"/>
        <v>-8.9295185786513173E-2</v>
      </c>
      <c r="I1873" s="43"/>
    </row>
    <row r="1874" spans="2:9" ht="15">
      <c r="B1874" s="32">
        <v>2</v>
      </c>
      <c r="C1874" s="66" t="s">
        <v>48</v>
      </c>
      <c r="D1874" s="64">
        <v>42264</v>
      </c>
      <c r="E1874">
        <v>-3.589428555673102E-2</v>
      </c>
      <c r="F1874" s="65">
        <v>8.294261529617078E-2</v>
      </c>
      <c r="G1874" s="40">
        <f t="shared" si="76"/>
        <v>0</v>
      </c>
      <c r="H1874" s="33">
        <f t="shared" si="77"/>
        <v>-8.294261529617078E-2</v>
      </c>
      <c r="I1874" s="43"/>
    </row>
    <row r="1875" spans="2:9" ht="15">
      <c r="B1875" s="32">
        <v>2</v>
      </c>
      <c r="C1875" s="66" t="s">
        <v>48</v>
      </c>
      <c r="D1875" s="64">
        <v>42265</v>
      </c>
      <c r="E1875">
        <v>-1.7626115854386448E-2</v>
      </c>
      <c r="F1875" s="65">
        <v>7.1083541123709848E-2</v>
      </c>
      <c r="G1875" s="40">
        <f t="shared" si="76"/>
        <v>0</v>
      </c>
      <c r="H1875" s="33">
        <f t="shared" si="77"/>
        <v>-7.1083541123709848E-2</v>
      </c>
      <c r="I1875" s="43"/>
    </row>
    <row r="1876" spans="2:9" ht="15">
      <c r="B1876" s="32">
        <v>2</v>
      </c>
      <c r="C1876" s="66" t="s">
        <v>48</v>
      </c>
      <c r="D1876" s="64">
        <v>42268</v>
      </c>
      <c r="E1876">
        <v>-7.9677152041108812E-3</v>
      </c>
      <c r="F1876" s="65">
        <v>8.7534485003772949E-2</v>
      </c>
      <c r="G1876" s="40">
        <f t="shared" si="76"/>
        <v>0</v>
      </c>
      <c r="H1876" s="33">
        <f t="shared" si="77"/>
        <v>-8.7534485003772949E-2</v>
      </c>
      <c r="I1876" s="43"/>
    </row>
    <row r="1877" spans="2:9" ht="15">
      <c r="B1877" s="32">
        <v>2</v>
      </c>
      <c r="C1877" s="66" t="s">
        <v>48</v>
      </c>
      <c r="D1877" s="64">
        <v>42269</v>
      </c>
      <c r="E1877">
        <v>2.2551808872001367E-2</v>
      </c>
      <c r="F1877" s="65">
        <v>7.6362957436140799E-2</v>
      </c>
      <c r="G1877" s="40">
        <f t="shared" si="76"/>
        <v>0</v>
      </c>
      <c r="H1877" s="33">
        <f t="shared" si="77"/>
        <v>-7.6362957436140799E-2</v>
      </c>
      <c r="I1877" s="43"/>
    </row>
    <row r="1878" spans="2:9" ht="15">
      <c r="B1878" s="32">
        <v>2</v>
      </c>
      <c r="C1878" s="66" t="s">
        <v>48</v>
      </c>
      <c r="D1878" s="64">
        <v>42270</v>
      </c>
      <c r="E1878">
        <v>2.1007863457043641E-2</v>
      </c>
      <c r="F1878" s="65">
        <v>8.0787401132741785E-2</v>
      </c>
      <c r="G1878" s="40">
        <f t="shared" si="76"/>
        <v>0</v>
      </c>
      <c r="H1878" s="33">
        <f t="shared" si="77"/>
        <v>-8.0787401132741785E-2</v>
      </c>
      <c r="I1878" s="43"/>
    </row>
    <row r="1879" spans="2:9" ht="15">
      <c r="B1879" s="32">
        <v>2</v>
      </c>
      <c r="C1879" s="66" t="s">
        <v>48</v>
      </c>
      <c r="D1879" s="64">
        <v>42271</v>
      </c>
      <c r="E1879">
        <v>3.2380035373067884E-2</v>
      </c>
      <c r="F1879" s="65">
        <v>6.9013643607183872E-2</v>
      </c>
      <c r="G1879" s="40">
        <f t="shared" si="76"/>
        <v>0</v>
      </c>
      <c r="H1879" s="33">
        <f t="shared" si="77"/>
        <v>-6.9013643607183872E-2</v>
      </c>
      <c r="I1879" s="43"/>
    </row>
    <row r="1880" spans="2:9" ht="15">
      <c r="B1880" s="32">
        <v>2</v>
      </c>
      <c r="C1880" s="66" t="s">
        <v>48</v>
      </c>
      <c r="D1880" s="64">
        <v>42272</v>
      </c>
      <c r="E1880">
        <v>4.1625717275480589E-2</v>
      </c>
      <c r="F1880" s="65">
        <v>6.0010271530191638E-2</v>
      </c>
      <c r="G1880" s="40">
        <f t="shared" si="76"/>
        <v>0</v>
      </c>
      <c r="H1880" s="33">
        <f t="shared" si="77"/>
        <v>-6.0010271530191638E-2</v>
      </c>
      <c r="I1880" s="43"/>
    </row>
    <row r="1881" spans="2:9" ht="15">
      <c r="B1881" s="32">
        <v>2</v>
      </c>
      <c r="C1881" s="66" t="s">
        <v>48</v>
      </c>
      <c r="D1881" s="64">
        <v>42275</v>
      </c>
      <c r="E1881">
        <v>6.8351776873657677E-2</v>
      </c>
      <c r="F1881" s="65">
        <v>5.0952691562013354E-2</v>
      </c>
      <c r="G1881" s="40">
        <f t="shared" si="76"/>
        <v>0</v>
      </c>
      <c r="H1881" s="33">
        <f t="shared" si="77"/>
        <v>-5.0952691562013354E-2</v>
      </c>
      <c r="I1881" s="43"/>
    </row>
    <row r="1882" spans="2:9" ht="15">
      <c r="B1882" s="32">
        <v>2</v>
      </c>
      <c r="C1882" s="66" t="s">
        <v>48</v>
      </c>
      <c r="D1882" s="64">
        <v>42276</v>
      </c>
      <c r="E1882">
        <v>6.8394347448235138E-2</v>
      </c>
      <c r="F1882" s="65">
        <v>0.11006286985292242</v>
      </c>
      <c r="G1882" s="40">
        <f t="shared" si="76"/>
        <v>0</v>
      </c>
      <c r="H1882" s="33">
        <f t="shared" si="77"/>
        <v>-0.11006286985292242</v>
      </c>
      <c r="I1882" s="43"/>
    </row>
    <row r="1883" spans="2:9" ht="15">
      <c r="B1883" s="32">
        <v>2</v>
      </c>
      <c r="C1883" s="66" t="s">
        <v>48</v>
      </c>
      <c r="D1883" s="64">
        <v>42277</v>
      </c>
      <c r="E1883">
        <v>4.2649625170803063E-2</v>
      </c>
      <c r="F1883" s="65">
        <v>9.3514517485727033E-2</v>
      </c>
      <c r="G1883" s="40">
        <f t="shared" si="76"/>
        <v>0</v>
      </c>
      <c r="H1883" s="33">
        <f t="shared" si="77"/>
        <v>-9.3514517485727033E-2</v>
      </c>
      <c r="I1883" s="43"/>
    </row>
    <row r="1884" spans="2:9" ht="15">
      <c r="B1884" s="32">
        <v>2</v>
      </c>
      <c r="C1884" s="66" t="s">
        <v>48</v>
      </c>
      <c r="D1884" s="64">
        <v>42278</v>
      </c>
      <c r="E1884">
        <v>3.5950255661385988E-2</v>
      </c>
      <c r="F1884" s="65">
        <v>0.10819860214430413</v>
      </c>
      <c r="G1884" s="40">
        <f t="shared" si="76"/>
        <v>0</v>
      </c>
      <c r="H1884" s="33">
        <f t="shared" si="77"/>
        <v>-0.10819860214430413</v>
      </c>
      <c r="I1884" s="43"/>
    </row>
    <row r="1885" spans="2:9" ht="15">
      <c r="B1885" s="32">
        <v>2</v>
      </c>
      <c r="C1885" s="66" t="s">
        <v>48</v>
      </c>
      <c r="D1885" s="64">
        <v>42279</v>
      </c>
      <c r="E1885">
        <v>3.6480013970060732E-2</v>
      </c>
      <c r="F1885" s="65">
        <v>9.212990430627134E-2</v>
      </c>
      <c r="G1885" s="40">
        <f t="shared" si="76"/>
        <v>0</v>
      </c>
      <c r="H1885" s="33">
        <f t="shared" si="77"/>
        <v>-9.212990430627134E-2</v>
      </c>
      <c r="I1885" s="43"/>
    </row>
    <row r="1886" spans="2:9" ht="15">
      <c r="B1886" s="32">
        <v>2</v>
      </c>
      <c r="C1886" s="66" t="s">
        <v>48</v>
      </c>
      <c r="D1886" s="64">
        <v>42282</v>
      </c>
      <c r="E1886">
        <v>2.2915481559385498E-2</v>
      </c>
      <c r="F1886" s="65">
        <v>9.5774489927347606E-2</v>
      </c>
      <c r="G1886" s="40">
        <f t="shared" si="76"/>
        <v>0</v>
      </c>
      <c r="H1886" s="33">
        <f t="shared" si="77"/>
        <v>-9.5774489927347606E-2</v>
      </c>
      <c r="I1886" s="43"/>
    </row>
    <row r="1887" spans="2:9" ht="15">
      <c r="B1887" s="32">
        <v>2</v>
      </c>
      <c r="C1887" s="66" t="s">
        <v>48</v>
      </c>
      <c r="D1887" s="64">
        <v>42283</v>
      </c>
      <c r="E1887">
        <v>2.6780679990840994E-2</v>
      </c>
      <c r="F1887" s="65">
        <v>0.1076208912656072</v>
      </c>
      <c r="G1887" s="40">
        <f t="shared" si="76"/>
        <v>0</v>
      </c>
      <c r="H1887" s="33">
        <f t="shared" si="77"/>
        <v>-0.1076208912656072</v>
      </c>
      <c r="I1887" s="43"/>
    </row>
    <row r="1888" spans="2:9" ht="15">
      <c r="B1888" s="32">
        <v>2</v>
      </c>
      <c r="C1888" s="66" t="s">
        <v>48</v>
      </c>
      <c r="D1888" s="64">
        <v>42284</v>
      </c>
      <c r="E1888">
        <v>1.7355059451596766E-2</v>
      </c>
      <c r="F1888" s="65">
        <v>9.2385238738155989E-2</v>
      </c>
      <c r="G1888" s="40">
        <f t="shared" si="76"/>
        <v>0</v>
      </c>
      <c r="H1888" s="33">
        <f t="shared" si="77"/>
        <v>-9.2385238738155989E-2</v>
      </c>
      <c r="I1888" s="43"/>
    </row>
    <row r="1889" spans="2:9" ht="15">
      <c r="B1889" s="32">
        <v>2</v>
      </c>
      <c r="C1889" s="66" t="s">
        <v>48</v>
      </c>
      <c r="D1889" s="64">
        <v>42285</v>
      </c>
      <c r="E1889">
        <v>2.7328297928930212E-3</v>
      </c>
      <c r="F1889" s="65">
        <v>8.435572498909058E-2</v>
      </c>
      <c r="G1889" s="40">
        <f t="shared" si="76"/>
        <v>0</v>
      </c>
      <c r="H1889" s="33">
        <f t="shared" si="77"/>
        <v>-8.435572498909058E-2</v>
      </c>
      <c r="I1889" s="43"/>
    </row>
    <row r="1890" spans="2:9" ht="15">
      <c r="B1890" s="32">
        <v>2</v>
      </c>
      <c r="C1890" s="66" t="s">
        <v>48</v>
      </c>
      <c r="D1890" s="64">
        <v>42286</v>
      </c>
      <c r="E1890">
        <v>1.8498828529464717E-2</v>
      </c>
      <c r="F1890" s="65">
        <v>7.9319134763075727E-2</v>
      </c>
      <c r="G1890" s="40">
        <f t="shared" si="76"/>
        <v>0</v>
      </c>
      <c r="H1890" s="33">
        <f t="shared" si="77"/>
        <v>-7.9319134763075727E-2</v>
      </c>
      <c r="I1890" s="43"/>
    </row>
    <row r="1891" spans="2:9" ht="15">
      <c r="B1891" s="32">
        <v>2</v>
      </c>
      <c r="C1891" s="66" t="s">
        <v>48</v>
      </c>
      <c r="D1891" s="64">
        <v>42289</v>
      </c>
      <c r="E1891">
        <v>2.8194117884837055E-2</v>
      </c>
      <c r="F1891" s="65">
        <v>6.7363638037656659E-2</v>
      </c>
      <c r="G1891" s="40">
        <f t="shared" si="76"/>
        <v>0</v>
      </c>
      <c r="H1891" s="33">
        <f t="shared" si="77"/>
        <v>-6.7363638037656659E-2</v>
      </c>
      <c r="I1891" s="43"/>
    </row>
    <row r="1892" spans="2:9" ht="15">
      <c r="B1892" s="32">
        <v>2</v>
      </c>
      <c r="C1892" s="66" t="s">
        <v>48</v>
      </c>
      <c r="D1892" s="64">
        <v>42290</v>
      </c>
      <c r="E1892">
        <v>3.312800914675762E-2</v>
      </c>
      <c r="F1892" s="65">
        <v>5.7374904157597134E-2</v>
      </c>
      <c r="G1892" s="40">
        <f t="shared" si="76"/>
        <v>0</v>
      </c>
      <c r="H1892" s="33">
        <f t="shared" si="77"/>
        <v>-5.7374904157597134E-2</v>
      </c>
      <c r="I1892" s="43"/>
    </row>
    <row r="1893" spans="2:9" ht="15">
      <c r="B1893" s="32">
        <v>2</v>
      </c>
      <c r="C1893" s="66" t="s">
        <v>48</v>
      </c>
      <c r="D1893" s="64">
        <v>42291</v>
      </c>
      <c r="E1893">
        <v>3.5298054139082602E-2</v>
      </c>
      <c r="F1893" s="65">
        <v>5.5506216992124068E-2</v>
      </c>
      <c r="G1893" s="40">
        <f t="shared" si="76"/>
        <v>0</v>
      </c>
      <c r="H1893" s="33">
        <f t="shared" si="77"/>
        <v>-5.5506216992124068E-2</v>
      </c>
      <c r="I1893" s="43"/>
    </row>
    <row r="1894" spans="2:9" ht="15">
      <c r="B1894" s="32">
        <v>2</v>
      </c>
      <c r="C1894" s="66" t="s">
        <v>48</v>
      </c>
      <c r="D1894" s="64">
        <v>42292</v>
      </c>
      <c r="E1894">
        <v>3.2324991292290051E-2</v>
      </c>
      <c r="F1894" s="65">
        <v>5.0566115753235469E-2</v>
      </c>
      <c r="G1894" s="40">
        <f t="shared" si="76"/>
        <v>0</v>
      </c>
      <c r="H1894" s="33">
        <f t="shared" si="77"/>
        <v>-5.0566115753235469E-2</v>
      </c>
      <c r="I1894" s="43"/>
    </row>
    <row r="1895" spans="2:9" ht="15">
      <c r="B1895" s="32">
        <v>2</v>
      </c>
      <c r="C1895" s="66" t="s">
        <v>48</v>
      </c>
      <c r="D1895" s="64">
        <v>42293</v>
      </c>
      <c r="E1895">
        <v>2.7315054320347976E-2</v>
      </c>
      <c r="F1895" s="65">
        <v>7.1658215084391852E-2</v>
      </c>
      <c r="G1895" s="40">
        <f t="shared" si="76"/>
        <v>0</v>
      </c>
      <c r="H1895" s="33">
        <f t="shared" si="77"/>
        <v>-7.1658215084391852E-2</v>
      </c>
      <c r="I1895" s="43"/>
    </row>
    <row r="1896" spans="2:9" ht="15">
      <c r="B1896" s="32">
        <v>2</v>
      </c>
      <c r="C1896" s="66" t="s">
        <v>48</v>
      </c>
      <c r="D1896" s="64">
        <v>42296</v>
      </c>
      <c r="E1896">
        <v>2.2223063452948111E-2</v>
      </c>
      <c r="F1896" s="65">
        <v>6.3342150899314595E-2</v>
      </c>
      <c r="G1896" s="40">
        <f t="shared" si="76"/>
        <v>0</v>
      </c>
      <c r="H1896" s="33">
        <f t="shared" si="77"/>
        <v>-6.3342150899314595E-2</v>
      </c>
      <c r="I1896" s="43"/>
    </row>
    <row r="1897" spans="2:9" ht="15">
      <c r="B1897" s="32">
        <v>2</v>
      </c>
      <c r="C1897" s="66" t="s">
        <v>48</v>
      </c>
      <c r="D1897" s="64">
        <v>42297</v>
      </c>
      <c r="E1897">
        <v>3.5449040813050559E-2</v>
      </c>
      <c r="F1897" s="65">
        <v>5.3757911632472059E-2</v>
      </c>
      <c r="G1897" s="40">
        <f t="shared" si="76"/>
        <v>0</v>
      </c>
      <c r="H1897" s="33">
        <f t="shared" si="77"/>
        <v>-5.3757911632472059E-2</v>
      </c>
      <c r="I1897" s="43"/>
    </row>
    <row r="1898" spans="2:9" ht="15">
      <c r="B1898" s="32">
        <v>2</v>
      </c>
      <c r="C1898" s="66" t="s">
        <v>48</v>
      </c>
      <c r="D1898" s="64">
        <v>42298</v>
      </c>
      <c r="E1898">
        <v>4.401584296998351E-2</v>
      </c>
      <c r="F1898" s="65">
        <v>4.594978782663009E-2</v>
      </c>
      <c r="G1898" s="40">
        <f t="shared" si="76"/>
        <v>0</v>
      </c>
      <c r="H1898" s="33">
        <f t="shared" si="77"/>
        <v>-4.594978782663009E-2</v>
      </c>
      <c r="I1898" s="43"/>
    </row>
    <row r="1899" spans="2:9" ht="15">
      <c r="B1899" s="32">
        <v>2</v>
      </c>
      <c r="C1899" s="66" t="s">
        <v>48</v>
      </c>
      <c r="D1899" s="64">
        <v>42299</v>
      </c>
      <c r="E1899">
        <v>2.397332892519799E-2</v>
      </c>
      <c r="F1899" s="65">
        <v>4.5138031651181063E-2</v>
      </c>
      <c r="G1899" s="40">
        <f t="shared" si="76"/>
        <v>0</v>
      </c>
      <c r="H1899" s="33">
        <f t="shared" si="77"/>
        <v>-4.5138031651181063E-2</v>
      </c>
      <c r="I1899" s="43"/>
    </row>
    <row r="1900" spans="2:9" ht="15">
      <c r="B1900" s="32">
        <v>2</v>
      </c>
      <c r="C1900" s="66" t="s">
        <v>48</v>
      </c>
      <c r="D1900" s="64">
        <v>42300</v>
      </c>
      <c r="E1900">
        <v>1.1870585457393723E-2</v>
      </c>
      <c r="F1900" s="65">
        <v>7.4752054732636769E-2</v>
      </c>
      <c r="G1900" s="40">
        <f t="shared" si="76"/>
        <v>0</v>
      </c>
      <c r="H1900" s="33">
        <f t="shared" si="77"/>
        <v>-7.4752054732636769E-2</v>
      </c>
      <c r="I1900" s="43"/>
    </row>
    <row r="1901" spans="2:9" ht="15">
      <c r="B1901" s="32">
        <v>2</v>
      </c>
      <c r="C1901" s="66" t="s">
        <v>48</v>
      </c>
      <c r="D1901" s="64">
        <v>42303</v>
      </c>
      <c r="E1901">
        <v>1.3437836086294119E-2</v>
      </c>
      <c r="F1901" s="65">
        <v>7.6464456240465953E-2</v>
      </c>
      <c r="G1901" s="40">
        <f t="shared" si="76"/>
        <v>0</v>
      </c>
      <c r="H1901" s="33">
        <f t="shared" si="77"/>
        <v>-7.6464456240465953E-2</v>
      </c>
      <c r="I1901" s="43"/>
    </row>
    <row r="1902" spans="2:9" ht="15">
      <c r="B1902" s="32">
        <v>2</v>
      </c>
      <c r="C1902" s="66" t="s">
        <v>48</v>
      </c>
      <c r="D1902" s="64">
        <v>42304</v>
      </c>
      <c r="E1902">
        <v>6.1239312859209249E-3</v>
      </c>
      <c r="F1902" s="65">
        <v>6.5309050504359242E-2</v>
      </c>
      <c r="G1902" s="40">
        <f t="shared" si="76"/>
        <v>0</v>
      </c>
      <c r="H1902" s="33">
        <f t="shared" si="77"/>
        <v>-6.5309050504359242E-2</v>
      </c>
      <c r="I1902" s="43"/>
    </row>
    <row r="1903" spans="2:9" ht="15">
      <c r="B1903" s="32">
        <v>2</v>
      </c>
      <c r="C1903" s="66" t="s">
        <v>48</v>
      </c>
      <c r="D1903" s="64">
        <v>42305</v>
      </c>
      <c r="E1903">
        <v>-4.1371018062621445E-3</v>
      </c>
      <c r="F1903" s="65">
        <v>5.6303657745241417E-2</v>
      </c>
      <c r="G1903" s="40">
        <f t="shared" si="76"/>
        <v>0</v>
      </c>
      <c r="H1903" s="33">
        <f t="shared" si="77"/>
        <v>-5.6303657745241417E-2</v>
      </c>
      <c r="I1903" s="43"/>
    </row>
    <row r="1904" spans="2:9" ht="15">
      <c r="B1904" s="32">
        <v>2</v>
      </c>
      <c r="C1904" s="66" t="s">
        <v>48</v>
      </c>
      <c r="D1904" s="64">
        <v>42306</v>
      </c>
      <c r="E1904">
        <v>-6.9205336729867284E-3</v>
      </c>
      <c r="F1904" s="65">
        <v>6.6195761132241557E-2</v>
      </c>
      <c r="G1904" s="40">
        <f t="shared" si="76"/>
        <v>0</v>
      </c>
      <c r="H1904" s="33">
        <f t="shared" si="77"/>
        <v>-6.6195761132241557E-2</v>
      </c>
      <c r="I1904" s="43"/>
    </row>
    <row r="1905" spans="2:9" ht="15">
      <c r="B1905" s="32">
        <v>2</v>
      </c>
      <c r="C1905" s="66" t="s">
        <v>48</v>
      </c>
      <c r="D1905" s="64">
        <v>42307</v>
      </c>
      <c r="E1905">
        <v>-1.6188215025551678E-2</v>
      </c>
      <c r="F1905" s="65">
        <v>5.6196259465639969E-2</v>
      </c>
      <c r="G1905" s="40">
        <f t="shared" si="76"/>
        <v>0</v>
      </c>
      <c r="H1905" s="33">
        <f t="shared" si="77"/>
        <v>-5.6196259465639969E-2</v>
      </c>
      <c r="I1905" s="43"/>
    </row>
    <row r="1906" spans="2:9" ht="15">
      <c r="B1906" s="32">
        <v>2</v>
      </c>
      <c r="C1906" s="66" t="s">
        <v>48</v>
      </c>
      <c r="D1906" s="64">
        <v>42310</v>
      </c>
      <c r="E1906">
        <v>-3.9262732257093091E-2</v>
      </c>
      <c r="F1906" s="65">
        <v>5.1244884842727031E-2</v>
      </c>
      <c r="G1906" s="40">
        <f t="shared" si="76"/>
        <v>0</v>
      </c>
      <c r="H1906" s="33">
        <f t="shared" si="77"/>
        <v>-5.1244884842727031E-2</v>
      </c>
      <c r="I1906" s="43"/>
    </row>
    <row r="1907" spans="2:9" ht="15">
      <c r="B1907" s="32">
        <v>2</v>
      </c>
      <c r="C1907" s="66" t="s">
        <v>48</v>
      </c>
      <c r="D1907" s="64">
        <v>42311</v>
      </c>
      <c r="E1907">
        <v>-2.7193782443583281E-2</v>
      </c>
      <c r="F1907" s="65">
        <v>6.3261996521009778E-2</v>
      </c>
      <c r="G1907" s="40">
        <f t="shared" si="76"/>
        <v>0</v>
      </c>
      <c r="H1907" s="33">
        <f t="shared" si="77"/>
        <v>-6.3261996521009778E-2</v>
      </c>
      <c r="I1907" s="43"/>
    </row>
    <row r="1908" spans="2:9" ht="15">
      <c r="B1908" s="32">
        <v>2</v>
      </c>
      <c r="C1908" s="66" t="s">
        <v>48</v>
      </c>
      <c r="D1908" s="64">
        <v>42312</v>
      </c>
      <c r="E1908">
        <v>-2.4982392745312332E-2</v>
      </c>
      <c r="F1908" s="65">
        <v>5.4717155088069819E-2</v>
      </c>
      <c r="G1908" s="40">
        <f t="shared" si="76"/>
        <v>0</v>
      </c>
      <c r="H1908" s="33">
        <f t="shared" si="77"/>
        <v>-5.4717155088069819E-2</v>
      </c>
      <c r="I1908" s="43"/>
    </row>
    <row r="1909" spans="2:9" ht="15">
      <c r="B1909" s="32">
        <v>2</v>
      </c>
      <c r="C1909" s="66" t="s">
        <v>48</v>
      </c>
      <c r="D1909" s="64">
        <v>42313</v>
      </c>
      <c r="E1909">
        <v>-7.8163729514031388E-3</v>
      </c>
      <c r="F1909" s="65">
        <v>4.8443835152150165E-2</v>
      </c>
      <c r="G1909" s="40">
        <f t="shared" si="76"/>
        <v>0</v>
      </c>
      <c r="H1909" s="33">
        <f t="shared" si="77"/>
        <v>-4.8443835152150165E-2</v>
      </c>
      <c r="I1909" s="43"/>
    </row>
    <row r="1910" spans="2:9" ht="15">
      <c r="B1910" s="32">
        <v>2</v>
      </c>
      <c r="C1910" s="66" t="s">
        <v>48</v>
      </c>
      <c r="D1910" s="64">
        <v>42314</v>
      </c>
      <c r="E1910">
        <v>-8.5924312999656749E-3</v>
      </c>
      <c r="F1910" s="65">
        <v>4.1341802460172418E-2</v>
      </c>
      <c r="G1910" s="40">
        <f t="shared" si="76"/>
        <v>0</v>
      </c>
      <c r="H1910" s="33">
        <f t="shared" si="77"/>
        <v>-4.1341802460172418E-2</v>
      </c>
      <c r="I1910" s="43"/>
    </row>
    <row r="1911" spans="2:9" ht="15">
      <c r="B1911" s="32">
        <v>2</v>
      </c>
      <c r="C1911" s="66" t="s">
        <v>48</v>
      </c>
      <c r="D1911" s="64">
        <v>42317</v>
      </c>
      <c r="E1911">
        <v>5.0818147873918917E-3</v>
      </c>
      <c r="F1911" s="65">
        <v>3.5105781687338578E-2</v>
      </c>
      <c r="G1911" s="40">
        <f t="shared" si="76"/>
        <v>0</v>
      </c>
      <c r="H1911" s="33">
        <f t="shared" si="77"/>
        <v>-3.5105781687338578E-2</v>
      </c>
      <c r="I1911" s="43"/>
    </row>
    <row r="1912" spans="2:9" ht="15">
      <c r="B1912" s="32">
        <v>2</v>
      </c>
      <c r="C1912" s="66" t="s">
        <v>48</v>
      </c>
      <c r="D1912" s="64">
        <v>42318</v>
      </c>
      <c r="E1912">
        <v>2.336735582097127E-3</v>
      </c>
      <c r="F1912" s="65">
        <v>4.8620093394661619E-2</v>
      </c>
      <c r="G1912" s="40">
        <f t="shared" si="76"/>
        <v>0</v>
      </c>
      <c r="H1912" s="33">
        <f t="shared" si="77"/>
        <v>-4.8620093394661619E-2</v>
      </c>
      <c r="I1912" s="43"/>
    </row>
    <row r="1913" spans="2:9" ht="15">
      <c r="B1913" s="32">
        <v>2</v>
      </c>
      <c r="C1913" s="66" t="s">
        <v>48</v>
      </c>
      <c r="D1913" s="64">
        <v>42319</v>
      </c>
      <c r="E1913">
        <v>6.791293140755883E-3</v>
      </c>
      <c r="F1913" s="65">
        <v>4.1671859043943139E-2</v>
      </c>
      <c r="G1913" s="40">
        <f t="shared" si="76"/>
        <v>0</v>
      </c>
      <c r="H1913" s="33">
        <f t="shared" si="77"/>
        <v>-4.1671859043943139E-2</v>
      </c>
      <c r="I1913" s="43"/>
    </row>
    <row r="1914" spans="2:9" ht="15">
      <c r="B1914" s="32">
        <v>2</v>
      </c>
      <c r="C1914" s="66" t="s">
        <v>48</v>
      </c>
      <c r="D1914" s="64">
        <v>42320</v>
      </c>
      <c r="E1914">
        <v>2.0751315425620476E-2</v>
      </c>
      <c r="F1914" s="65">
        <v>3.7533030868515262E-2</v>
      </c>
      <c r="G1914" s="40">
        <f t="shared" si="76"/>
        <v>0</v>
      </c>
      <c r="H1914" s="33">
        <f t="shared" si="77"/>
        <v>-3.7533030868515262E-2</v>
      </c>
      <c r="I1914" s="43"/>
    </row>
    <row r="1915" spans="2:9" ht="15">
      <c r="B1915" s="32">
        <v>2</v>
      </c>
      <c r="C1915" s="66" t="s">
        <v>48</v>
      </c>
      <c r="D1915" s="64">
        <v>42321</v>
      </c>
      <c r="E1915">
        <v>3.2615397481171371E-2</v>
      </c>
      <c r="F1915" s="65">
        <v>6.3421477920657748E-2</v>
      </c>
      <c r="G1915" s="40">
        <f t="shared" si="76"/>
        <v>0</v>
      </c>
      <c r="H1915" s="33">
        <f t="shared" si="77"/>
        <v>-6.3421477920657748E-2</v>
      </c>
      <c r="I1915" s="43"/>
    </row>
    <row r="1916" spans="2:9" ht="15">
      <c r="B1916" s="32">
        <v>2</v>
      </c>
      <c r="C1916" s="66" t="s">
        <v>48</v>
      </c>
      <c r="D1916" s="64">
        <v>42324</v>
      </c>
      <c r="E1916">
        <v>1.3170294863556364E-2</v>
      </c>
      <c r="F1916" s="65">
        <v>6.9432905218888868E-2</v>
      </c>
      <c r="G1916" s="40">
        <f t="shared" si="76"/>
        <v>0</v>
      </c>
      <c r="H1916" s="33">
        <f t="shared" si="77"/>
        <v>-6.9432905218888868E-2</v>
      </c>
      <c r="I1916" s="43"/>
    </row>
    <row r="1917" spans="2:9" ht="15">
      <c r="B1917" s="32">
        <v>2</v>
      </c>
      <c r="C1917" s="66" t="s">
        <v>48</v>
      </c>
      <c r="D1917" s="64">
        <v>42325</v>
      </c>
      <c r="E1917">
        <v>2.5134510970556079E-2</v>
      </c>
      <c r="F1917" s="65">
        <v>8.2384736739474662E-2</v>
      </c>
      <c r="G1917" s="40">
        <f t="shared" si="76"/>
        <v>0</v>
      </c>
      <c r="H1917" s="33">
        <f t="shared" si="77"/>
        <v>-8.2384736739474662E-2</v>
      </c>
      <c r="I1917" s="43"/>
    </row>
    <row r="1918" spans="2:9" ht="15">
      <c r="B1918" s="32">
        <v>2</v>
      </c>
      <c r="C1918" s="66" t="s">
        <v>48</v>
      </c>
      <c r="D1918" s="64">
        <v>42326</v>
      </c>
      <c r="E1918">
        <v>-1.9553116606676468E-3</v>
      </c>
      <c r="F1918" s="65">
        <v>7.0100191260867903E-2</v>
      </c>
      <c r="G1918" s="40">
        <f t="shared" si="76"/>
        <v>0</v>
      </c>
      <c r="H1918" s="33">
        <f t="shared" si="77"/>
        <v>-7.0100191260867903E-2</v>
      </c>
      <c r="I1918" s="43"/>
    </row>
    <row r="1919" spans="2:9" ht="15">
      <c r="B1919" s="32">
        <v>2</v>
      </c>
      <c r="C1919" s="66" t="s">
        <v>48</v>
      </c>
      <c r="D1919" s="64">
        <v>42327</v>
      </c>
      <c r="E1919">
        <v>-1.5309397927405932E-2</v>
      </c>
      <c r="F1919" s="65">
        <v>8.6217646644017487E-2</v>
      </c>
      <c r="G1919" s="40">
        <f t="shared" si="76"/>
        <v>0</v>
      </c>
      <c r="H1919" s="33">
        <f t="shared" si="77"/>
        <v>-8.6217646644017487E-2</v>
      </c>
      <c r="I1919" s="43"/>
    </row>
    <row r="1920" spans="2:9" ht="15">
      <c r="B1920" s="32">
        <v>2</v>
      </c>
      <c r="C1920" s="66" t="s">
        <v>48</v>
      </c>
      <c r="D1920" s="64">
        <v>42328</v>
      </c>
      <c r="E1920">
        <v>1.2055028811106538E-3</v>
      </c>
      <c r="F1920" s="65">
        <v>7.3288764112686422E-2</v>
      </c>
      <c r="G1920" s="40">
        <f t="shared" si="76"/>
        <v>0</v>
      </c>
      <c r="H1920" s="33">
        <f t="shared" si="77"/>
        <v>-7.3288764112686422E-2</v>
      </c>
      <c r="I1920" s="43"/>
    </row>
    <row r="1921" spans="2:9" ht="15">
      <c r="B1921" s="32">
        <v>2</v>
      </c>
      <c r="C1921" s="66" t="s">
        <v>48</v>
      </c>
      <c r="D1921" s="64">
        <v>42331</v>
      </c>
      <c r="E1921">
        <v>-4.5729172089883363E-3</v>
      </c>
      <c r="F1921" s="65">
        <v>6.3925340308427309E-2</v>
      </c>
      <c r="G1921" s="40">
        <f t="shared" si="76"/>
        <v>0</v>
      </c>
      <c r="H1921" s="33">
        <f t="shared" si="77"/>
        <v>-6.3925340308427309E-2</v>
      </c>
      <c r="I1921" s="43"/>
    </row>
    <row r="1922" spans="2:9" ht="15">
      <c r="B1922" s="32">
        <v>2</v>
      </c>
      <c r="C1922" s="66" t="s">
        <v>48</v>
      </c>
      <c r="D1922" s="64">
        <v>42332</v>
      </c>
      <c r="E1922">
        <v>-1.2305219703040216E-2</v>
      </c>
      <c r="F1922" s="65">
        <v>5.4455292953057045E-2</v>
      </c>
      <c r="G1922" s="40">
        <f t="shared" si="76"/>
        <v>0</v>
      </c>
      <c r="H1922" s="33">
        <f t="shared" si="77"/>
        <v>-5.4455292953057045E-2</v>
      </c>
      <c r="I1922" s="43"/>
    </row>
    <row r="1923" spans="2:9" ht="15">
      <c r="B1923" s="32">
        <v>2</v>
      </c>
      <c r="C1923" s="66" t="s">
        <v>48</v>
      </c>
      <c r="D1923" s="64">
        <v>42333</v>
      </c>
      <c r="E1923">
        <v>-1.9945165272300613E-2</v>
      </c>
      <c r="F1923" s="65">
        <v>4.6450761598342029E-2</v>
      </c>
      <c r="G1923" s="40">
        <f t="shared" si="76"/>
        <v>0</v>
      </c>
      <c r="H1923" s="33">
        <f t="shared" si="77"/>
        <v>-4.6450761598342029E-2</v>
      </c>
      <c r="I1923" s="43"/>
    </row>
    <row r="1924" spans="2:9" ht="15">
      <c r="B1924" s="32">
        <v>2</v>
      </c>
      <c r="C1924" s="66" t="s">
        <v>48</v>
      </c>
      <c r="D1924" s="64">
        <v>42335</v>
      </c>
      <c r="E1924">
        <v>-1.8289750312284525E-2</v>
      </c>
      <c r="F1924" s="65">
        <v>3.9417983960738479E-2</v>
      </c>
      <c r="G1924" s="40">
        <f t="shared" si="76"/>
        <v>0</v>
      </c>
      <c r="H1924" s="33">
        <f t="shared" si="77"/>
        <v>-3.9417983960738479E-2</v>
      </c>
      <c r="I1924" s="43"/>
    </row>
    <row r="1925" spans="2:9" ht="15">
      <c r="B1925" s="32">
        <v>2</v>
      </c>
      <c r="C1925" s="66" t="s">
        <v>48</v>
      </c>
      <c r="D1925" s="64">
        <v>42338</v>
      </c>
      <c r="E1925">
        <v>-3.3251817907573589E-2</v>
      </c>
      <c r="F1925" s="65">
        <v>3.3526949634109009E-2</v>
      </c>
      <c r="G1925" s="40">
        <f t="shared" si="76"/>
        <v>0</v>
      </c>
      <c r="H1925" s="33">
        <f t="shared" si="77"/>
        <v>-3.3526949634109009E-2</v>
      </c>
      <c r="I1925" s="43"/>
    </row>
    <row r="1926" spans="2:9" ht="15">
      <c r="B1926" s="32">
        <v>2</v>
      </c>
      <c r="C1926" s="66" t="s">
        <v>48</v>
      </c>
      <c r="D1926" s="64">
        <v>42339</v>
      </c>
      <c r="E1926">
        <v>-3.913146907468068E-2</v>
      </c>
      <c r="F1926" s="65">
        <v>3.3722790689150975E-2</v>
      </c>
      <c r="G1926" s="40">
        <f t="shared" si="76"/>
        <v>1</v>
      </c>
      <c r="H1926" s="33">
        <f t="shared" si="77"/>
        <v>-3.3722790689150975E-2</v>
      </c>
      <c r="I1926" s="43">
        <f t="shared" ref="I1926:I1989" si="78">IF(G1926=0,"",E1926)</f>
        <v>-3.913146907468068E-2</v>
      </c>
    </row>
    <row r="1927" spans="2:9" ht="15">
      <c r="B1927" s="32">
        <v>2</v>
      </c>
      <c r="C1927" s="66" t="s">
        <v>48</v>
      </c>
      <c r="D1927" s="64">
        <v>42340</v>
      </c>
      <c r="E1927">
        <v>-1.7512296239863723E-2</v>
      </c>
      <c r="F1927" s="65">
        <v>5.0290432104110529E-2</v>
      </c>
      <c r="G1927" s="40">
        <f t="shared" si="76"/>
        <v>0</v>
      </c>
      <c r="H1927" s="33">
        <f t="shared" si="77"/>
        <v>-5.0290432104110529E-2</v>
      </c>
      <c r="I1927" s="43"/>
    </row>
    <row r="1928" spans="2:9" ht="15">
      <c r="B1928" s="32">
        <v>2</v>
      </c>
      <c r="C1928" s="66" t="s">
        <v>48</v>
      </c>
      <c r="D1928" s="64">
        <v>42341</v>
      </c>
      <c r="E1928">
        <v>1.1376165973826069E-2</v>
      </c>
      <c r="F1928" s="65">
        <v>6.0608882535221613E-2</v>
      </c>
      <c r="G1928" s="40">
        <f t="shared" si="76"/>
        <v>0</v>
      </c>
      <c r="H1928" s="33">
        <f t="shared" si="77"/>
        <v>-6.0608882535221613E-2</v>
      </c>
      <c r="I1928" s="43"/>
    </row>
    <row r="1929" spans="2:9" ht="15">
      <c r="B1929" s="32">
        <v>2</v>
      </c>
      <c r="C1929" s="66" t="s">
        <v>48</v>
      </c>
      <c r="D1929" s="64">
        <v>42342</v>
      </c>
      <c r="E1929">
        <v>-2.4096466577632647E-2</v>
      </c>
      <c r="F1929" s="65">
        <v>7.6296265290527673E-2</v>
      </c>
      <c r="G1929" s="40">
        <f t="shared" si="76"/>
        <v>0</v>
      </c>
      <c r="H1929" s="33">
        <f t="shared" si="77"/>
        <v>-7.6296265290527673E-2</v>
      </c>
      <c r="I1929" s="43"/>
    </row>
    <row r="1930" spans="2:9" ht="15">
      <c r="B1930" s="32">
        <v>2</v>
      </c>
      <c r="C1930" s="66" t="s">
        <v>48</v>
      </c>
      <c r="D1930" s="64">
        <v>42345</v>
      </c>
      <c r="E1930">
        <v>-3.5039917732017756E-2</v>
      </c>
      <c r="F1930" s="65">
        <v>0.10220920759843247</v>
      </c>
      <c r="G1930" s="40">
        <f t="shared" si="76"/>
        <v>0</v>
      </c>
      <c r="H1930" s="33">
        <f t="shared" si="77"/>
        <v>-0.10220920759843247</v>
      </c>
      <c r="I1930" s="43"/>
    </row>
    <row r="1931" spans="2:9" ht="15">
      <c r="B1931" s="32">
        <v>2</v>
      </c>
      <c r="C1931" s="66" t="s">
        <v>48</v>
      </c>
      <c r="D1931" s="64">
        <v>42346</v>
      </c>
      <c r="E1931">
        <v>-2.0780558895853396E-2</v>
      </c>
      <c r="F1931" s="65">
        <v>9.0923782360548627E-2</v>
      </c>
      <c r="G1931" s="40">
        <f t="shared" ref="G1931:G1994" si="79">--(E1931&lt;-F1931)</f>
        <v>0</v>
      </c>
      <c r="H1931" s="33">
        <f t="shared" ref="H1931:H1994" si="80">-F1931</f>
        <v>-9.0923782360548627E-2</v>
      </c>
      <c r="I1931" s="43"/>
    </row>
    <row r="1932" spans="2:9" ht="15">
      <c r="B1932" s="32">
        <v>2</v>
      </c>
      <c r="C1932" s="66" t="s">
        <v>48</v>
      </c>
      <c r="D1932" s="64">
        <v>42347</v>
      </c>
      <c r="E1932">
        <v>-4.2333764778934579E-3</v>
      </c>
      <c r="F1932" s="65">
        <v>8.1208021957375198E-2</v>
      </c>
      <c r="G1932" s="40">
        <f t="shared" si="79"/>
        <v>0</v>
      </c>
      <c r="H1932" s="33">
        <f t="shared" si="80"/>
        <v>-8.1208021957375198E-2</v>
      </c>
      <c r="I1932" s="43"/>
    </row>
    <row r="1933" spans="2:9" ht="15">
      <c r="B1933" s="32">
        <v>2</v>
      </c>
      <c r="C1933" s="66" t="s">
        <v>48</v>
      </c>
      <c r="D1933" s="64">
        <v>42348</v>
      </c>
      <c r="E1933">
        <v>5.8593634663681726E-3</v>
      </c>
      <c r="F1933" s="65">
        <v>7.5251901392890591E-2</v>
      </c>
      <c r="G1933" s="40">
        <f t="shared" si="79"/>
        <v>0</v>
      </c>
      <c r="H1933" s="33">
        <f t="shared" si="80"/>
        <v>-7.5251901392890591E-2</v>
      </c>
      <c r="I1933" s="43"/>
    </row>
    <row r="1934" spans="2:9" ht="15">
      <c r="B1934" s="32">
        <v>2</v>
      </c>
      <c r="C1934" s="66" t="s">
        <v>48</v>
      </c>
      <c r="D1934" s="64">
        <v>42349</v>
      </c>
      <c r="E1934">
        <v>2.3873315564700626E-2</v>
      </c>
      <c r="F1934" s="65">
        <v>6.4450653057086027E-2</v>
      </c>
      <c r="G1934" s="40">
        <f t="shared" si="79"/>
        <v>0</v>
      </c>
      <c r="H1934" s="33">
        <f t="shared" si="80"/>
        <v>-6.4450653057086027E-2</v>
      </c>
      <c r="I1934" s="43"/>
    </row>
    <row r="1935" spans="2:9" ht="15">
      <c r="B1935" s="32">
        <v>2</v>
      </c>
      <c r="C1935" s="66" t="s">
        <v>48</v>
      </c>
      <c r="D1935" s="64">
        <v>42352</v>
      </c>
      <c r="E1935">
        <v>1.6948091300733381E-2</v>
      </c>
      <c r="F1935" s="65">
        <v>9.3916623780885222E-2</v>
      </c>
      <c r="G1935" s="40">
        <f t="shared" si="79"/>
        <v>0</v>
      </c>
      <c r="H1935" s="33">
        <f t="shared" si="80"/>
        <v>-9.3916623780885222E-2</v>
      </c>
      <c r="I1935" s="43"/>
    </row>
    <row r="1936" spans="2:9" ht="15">
      <c r="B1936" s="32">
        <v>2</v>
      </c>
      <c r="C1936" s="66" t="s">
        <v>48</v>
      </c>
      <c r="D1936" s="64">
        <v>42353</v>
      </c>
      <c r="E1936">
        <v>1.6959175051870723E-2</v>
      </c>
      <c r="F1936" s="65">
        <v>8.1802896250692855E-2</v>
      </c>
      <c r="G1936" s="40">
        <f t="shared" si="79"/>
        <v>0</v>
      </c>
      <c r="H1936" s="33">
        <f t="shared" si="80"/>
        <v>-8.1802896250692855E-2</v>
      </c>
      <c r="I1936" s="43"/>
    </row>
    <row r="1937" spans="2:9" ht="15">
      <c r="B1937" s="32">
        <v>2</v>
      </c>
      <c r="C1937" s="66" t="s">
        <v>48</v>
      </c>
      <c r="D1937" s="64">
        <v>42354</v>
      </c>
      <c r="E1937">
        <v>-4.6948592987350324E-3</v>
      </c>
      <c r="F1937" s="65">
        <v>8.0676262654836309E-2</v>
      </c>
      <c r="G1937" s="40">
        <f t="shared" si="79"/>
        <v>0</v>
      </c>
      <c r="H1937" s="33">
        <f t="shared" si="80"/>
        <v>-8.0676262654836309E-2</v>
      </c>
      <c r="I1937" s="43"/>
    </row>
    <row r="1938" spans="2:9" ht="15">
      <c r="B1938" s="32">
        <v>2</v>
      </c>
      <c r="C1938" s="66" t="s">
        <v>48</v>
      </c>
      <c r="D1938" s="64">
        <v>42355</v>
      </c>
      <c r="E1938">
        <v>1.003431955846068E-3</v>
      </c>
      <c r="F1938" s="65">
        <v>8.8504616683026269E-2</v>
      </c>
      <c r="G1938" s="40">
        <f t="shared" si="79"/>
        <v>0</v>
      </c>
      <c r="H1938" s="33">
        <f t="shared" si="80"/>
        <v>-8.8504616683026269E-2</v>
      </c>
      <c r="I1938" s="43"/>
    </row>
    <row r="1939" spans="2:9" ht="15">
      <c r="B1939" s="32">
        <v>2</v>
      </c>
      <c r="C1939" s="66" t="s">
        <v>48</v>
      </c>
      <c r="D1939" s="64">
        <v>42356</v>
      </c>
      <c r="E1939">
        <v>3.5388853611024729E-3</v>
      </c>
      <c r="F1939" s="65">
        <v>9.5498827386982177E-2</v>
      </c>
      <c r="G1939" s="40">
        <f t="shared" si="79"/>
        <v>0</v>
      </c>
      <c r="H1939" s="33">
        <f t="shared" si="80"/>
        <v>-9.5498827386982177E-2</v>
      </c>
      <c r="I1939" s="43"/>
    </row>
    <row r="1940" spans="2:9" ht="15">
      <c r="B1940" s="32">
        <v>2</v>
      </c>
      <c r="C1940" s="66" t="s">
        <v>48</v>
      </c>
      <c r="D1940" s="64">
        <v>42359</v>
      </c>
      <c r="E1940">
        <v>-2.1992168158604386E-3</v>
      </c>
      <c r="F1940" s="65">
        <v>0.10701836064802042</v>
      </c>
      <c r="G1940" s="40">
        <f t="shared" si="79"/>
        <v>0</v>
      </c>
      <c r="H1940" s="33">
        <f t="shared" si="80"/>
        <v>-0.10701836064802042</v>
      </c>
      <c r="I1940" s="43"/>
    </row>
    <row r="1941" spans="2:9" ht="15">
      <c r="B1941" s="32">
        <v>2</v>
      </c>
      <c r="C1941" s="66" t="s">
        <v>48</v>
      </c>
      <c r="D1941" s="64">
        <v>42360</v>
      </c>
      <c r="E1941">
        <v>-2.4179475673750339E-2</v>
      </c>
      <c r="F1941" s="65">
        <v>9.5686241764448607E-2</v>
      </c>
      <c r="G1941" s="40">
        <f t="shared" si="79"/>
        <v>0</v>
      </c>
      <c r="H1941" s="33">
        <f t="shared" si="80"/>
        <v>-9.5686241764448607E-2</v>
      </c>
      <c r="I1941" s="43"/>
    </row>
    <row r="1942" spans="2:9" ht="15">
      <c r="B1942" s="32">
        <v>2</v>
      </c>
      <c r="C1942" s="66" t="s">
        <v>48</v>
      </c>
      <c r="D1942" s="64">
        <v>42361</v>
      </c>
      <c r="E1942">
        <v>-6.0506888570057704E-2</v>
      </c>
      <c r="F1942" s="65">
        <v>8.8090035379178547E-2</v>
      </c>
      <c r="G1942" s="40">
        <f t="shared" si="79"/>
        <v>0</v>
      </c>
      <c r="H1942" s="33">
        <f t="shared" si="80"/>
        <v>-8.8090035379178547E-2</v>
      </c>
      <c r="I1942" s="43"/>
    </row>
    <row r="1943" spans="2:9" ht="15">
      <c r="B1943" s="32">
        <v>2</v>
      </c>
      <c r="C1943" s="66" t="s">
        <v>48</v>
      </c>
      <c r="D1943" s="64">
        <v>42362</v>
      </c>
      <c r="E1943">
        <v>-6.980451077553429E-2</v>
      </c>
      <c r="F1943" s="65">
        <v>8.8854773019090394E-2</v>
      </c>
      <c r="G1943" s="40">
        <f t="shared" si="79"/>
        <v>0</v>
      </c>
      <c r="H1943" s="33">
        <f t="shared" si="80"/>
        <v>-8.8854773019090394E-2</v>
      </c>
      <c r="I1943" s="43"/>
    </row>
    <row r="1944" spans="2:9" ht="15">
      <c r="B1944" s="32">
        <v>2</v>
      </c>
      <c r="C1944" s="66" t="s">
        <v>48</v>
      </c>
      <c r="D1944" s="64">
        <v>42366</v>
      </c>
      <c r="E1944">
        <v>-6.6770665954236641E-2</v>
      </c>
      <c r="F1944" s="65">
        <v>7.5652569400373418E-2</v>
      </c>
      <c r="G1944" s="40">
        <f t="shared" si="79"/>
        <v>0</v>
      </c>
      <c r="H1944" s="33">
        <f t="shared" si="80"/>
        <v>-7.5652569400373418E-2</v>
      </c>
      <c r="I1944" s="43"/>
    </row>
    <row r="1945" spans="2:9" ht="15">
      <c r="B1945" s="32">
        <v>2</v>
      </c>
      <c r="C1945" s="66" t="s">
        <v>48</v>
      </c>
      <c r="D1945" s="64">
        <v>42367</v>
      </c>
      <c r="E1945">
        <v>-6.9571815685826266E-2</v>
      </c>
      <c r="F1945" s="65">
        <v>6.4752301463073605E-2</v>
      </c>
      <c r="G1945" s="40">
        <f t="shared" si="79"/>
        <v>1</v>
      </c>
      <c r="H1945" s="33">
        <f t="shared" si="80"/>
        <v>-6.4752301463073605E-2</v>
      </c>
      <c r="I1945" s="43">
        <f t="shared" si="78"/>
        <v>-6.9571815685826266E-2</v>
      </c>
    </row>
    <row r="1946" spans="2:9" ht="15">
      <c r="B1946" s="32">
        <v>2</v>
      </c>
      <c r="C1946" s="66" t="s">
        <v>48</v>
      </c>
      <c r="D1946" s="64">
        <v>42368</v>
      </c>
      <c r="E1946">
        <v>-8.761079228463764E-2</v>
      </c>
      <c r="F1946" s="65">
        <v>6.8651547211191058E-2</v>
      </c>
      <c r="G1946" s="40">
        <f t="shared" si="79"/>
        <v>1</v>
      </c>
      <c r="H1946" s="33">
        <f t="shared" si="80"/>
        <v>-6.8651547211191058E-2</v>
      </c>
      <c r="I1946" s="43">
        <f t="shared" si="78"/>
        <v>-8.761079228463764E-2</v>
      </c>
    </row>
    <row r="1947" spans="2:9" ht="15">
      <c r="B1947" s="32">
        <v>2</v>
      </c>
      <c r="C1947" s="66" t="s">
        <v>48</v>
      </c>
      <c r="D1947" s="64">
        <v>42369</v>
      </c>
      <c r="E1947">
        <v>-6.15962460639361E-2</v>
      </c>
      <c r="F1947" s="65">
        <v>6.4718088181783318E-2</v>
      </c>
      <c r="G1947" s="40">
        <f t="shared" si="79"/>
        <v>0</v>
      </c>
      <c r="H1947" s="33">
        <f t="shared" si="80"/>
        <v>-6.4718088181783318E-2</v>
      </c>
      <c r="I1947" s="43"/>
    </row>
    <row r="1948" spans="2:9" ht="15">
      <c r="B1948" s="32">
        <v>2</v>
      </c>
      <c r="C1948" s="66" t="s">
        <v>48</v>
      </c>
      <c r="D1948" s="64">
        <v>42373</v>
      </c>
      <c r="E1948">
        <v>-6.8009977196354932E-2</v>
      </c>
      <c r="F1948" s="65">
        <v>6.6111694707548865E-2</v>
      </c>
      <c r="G1948" s="40">
        <f t="shared" si="79"/>
        <v>1</v>
      </c>
      <c r="H1948" s="33">
        <f t="shared" si="80"/>
        <v>-6.6111694707548865E-2</v>
      </c>
      <c r="I1948" s="43">
        <f t="shared" si="78"/>
        <v>-6.8009977196354932E-2</v>
      </c>
    </row>
    <row r="1949" spans="2:9" ht="15">
      <c r="B1949" s="32">
        <v>2</v>
      </c>
      <c r="C1949" s="66" t="s">
        <v>48</v>
      </c>
      <c r="D1949" s="64">
        <v>42374</v>
      </c>
      <c r="E1949">
        <v>-6.9488501268539338E-2</v>
      </c>
      <c r="F1949" s="65">
        <v>8.2164449846661089E-2</v>
      </c>
      <c r="G1949" s="40">
        <f t="shared" si="79"/>
        <v>0</v>
      </c>
      <c r="H1949" s="33">
        <f t="shared" si="80"/>
        <v>-8.2164449846661089E-2</v>
      </c>
      <c r="I1949" s="43"/>
    </row>
    <row r="1950" spans="2:9" ht="15">
      <c r="B1950" s="32">
        <v>2</v>
      </c>
      <c r="C1950" s="66" t="s">
        <v>48</v>
      </c>
      <c r="D1950" s="64">
        <v>42375</v>
      </c>
      <c r="E1950">
        <v>-6.8049104378926195E-2</v>
      </c>
      <c r="F1950" s="65">
        <v>7.0156617776938893E-2</v>
      </c>
      <c r="G1950" s="40">
        <f t="shared" si="79"/>
        <v>0</v>
      </c>
      <c r="H1950" s="33">
        <f t="shared" si="80"/>
        <v>-7.0156617776938893E-2</v>
      </c>
      <c r="I1950" s="43"/>
    </row>
    <row r="1951" spans="2:9" ht="15">
      <c r="B1951" s="32">
        <v>2</v>
      </c>
      <c r="C1951" s="66" t="s">
        <v>48</v>
      </c>
      <c r="D1951" s="64">
        <v>42376</v>
      </c>
      <c r="E1951">
        <v>-3.8881299294336813E-2</v>
      </c>
      <c r="F1951" s="65">
        <v>7.8644655458306484E-2</v>
      </c>
      <c r="G1951" s="40">
        <f t="shared" si="79"/>
        <v>0</v>
      </c>
      <c r="H1951" s="33">
        <f t="shared" si="80"/>
        <v>-7.8644655458306484E-2</v>
      </c>
      <c r="I1951" s="43"/>
    </row>
    <row r="1952" spans="2:9" ht="15">
      <c r="B1952" s="32">
        <v>2</v>
      </c>
      <c r="C1952" s="66" t="s">
        <v>48</v>
      </c>
      <c r="D1952" s="64">
        <v>42377</v>
      </c>
      <c r="E1952">
        <v>-7.9030348110773474E-3</v>
      </c>
      <c r="F1952" s="65">
        <v>0.11476574771049429</v>
      </c>
      <c r="G1952" s="40">
        <f t="shared" si="79"/>
        <v>0</v>
      </c>
      <c r="H1952" s="33">
        <f t="shared" si="80"/>
        <v>-0.11476574771049429</v>
      </c>
      <c r="I1952" s="43"/>
    </row>
    <row r="1953" spans="2:9" ht="15">
      <c r="B1953" s="32">
        <v>2</v>
      </c>
      <c r="C1953" s="66" t="s">
        <v>48</v>
      </c>
      <c r="D1953" s="64">
        <v>42380</v>
      </c>
      <c r="E1953">
        <v>-2.4517488274605093E-2</v>
      </c>
      <c r="F1953" s="65">
        <v>0.10622051645101037</v>
      </c>
      <c r="G1953" s="40">
        <f t="shared" si="79"/>
        <v>0</v>
      </c>
      <c r="H1953" s="33">
        <f t="shared" si="80"/>
        <v>-0.10622051645101037</v>
      </c>
      <c r="I1953" s="43"/>
    </row>
    <row r="1954" spans="2:9" ht="15">
      <c r="B1954" s="32">
        <v>2</v>
      </c>
      <c r="C1954" s="66" t="s">
        <v>48</v>
      </c>
      <c r="D1954" s="64">
        <v>42381</v>
      </c>
      <c r="E1954">
        <v>-1.8244764591991647E-2</v>
      </c>
      <c r="F1954" s="65">
        <v>9.0192227812118539E-2</v>
      </c>
      <c r="G1954" s="40">
        <f t="shared" si="79"/>
        <v>0</v>
      </c>
      <c r="H1954" s="33">
        <f t="shared" si="80"/>
        <v>-9.0192227812118539E-2</v>
      </c>
      <c r="I1954" s="43"/>
    </row>
    <row r="1955" spans="2:9" ht="15">
      <c r="B1955" s="32">
        <v>2</v>
      </c>
      <c r="C1955" s="66" t="s">
        <v>48</v>
      </c>
      <c r="D1955" s="64">
        <v>42382</v>
      </c>
      <c r="E1955">
        <v>-3.885311661294466E-3</v>
      </c>
      <c r="F1955" s="65">
        <v>8.2294473786235667E-2</v>
      </c>
      <c r="G1955" s="40">
        <f t="shared" si="79"/>
        <v>0</v>
      </c>
      <c r="H1955" s="33">
        <f t="shared" si="80"/>
        <v>-8.2294473786235667E-2</v>
      </c>
      <c r="I1955" s="43"/>
    </row>
    <row r="1956" spans="2:9" ht="15">
      <c r="B1956" s="32">
        <v>2</v>
      </c>
      <c r="C1956" s="66" t="s">
        <v>48</v>
      </c>
      <c r="D1956" s="64">
        <v>42383</v>
      </c>
      <c r="E1956">
        <v>-1.4930022223040851E-2</v>
      </c>
      <c r="F1956" s="65">
        <v>0.1206734578231565</v>
      </c>
      <c r="G1956" s="40">
        <f t="shared" si="79"/>
        <v>0</v>
      </c>
      <c r="H1956" s="33">
        <f t="shared" si="80"/>
        <v>-0.1206734578231565</v>
      </c>
      <c r="I1956" s="43"/>
    </row>
    <row r="1957" spans="2:9" ht="15">
      <c r="B1957" s="32">
        <v>2</v>
      </c>
      <c r="C1957" s="66" t="s">
        <v>48</v>
      </c>
      <c r="D1957" s="64">
        <v>42384</v>
      </c>
      <c r="E1957">
        <v>3.1364401657145713E-2</v>
      </c>
      <c r="F1957" s="65">
        <v>0.12099286050585159</v>
      </c>
      <c r="G1957" s="40">
        <f t="shared" si="79"/>
        <v>0</v>
      </c>
      <c r="H1957" s="33">
        <f t="shared" si="80"/>
        <v>-0.12099286050585159</v>
      </c>
      <c r="I1957" s="43"/>
    </row>
    <row r="1958" spans="2:9" ht="15">
      <c r="B1958" s="32">
        <v>2</v>
      </c>
      <c r="C1958" s="66" t="s">
        <v>48</v>
      </c>
      <c r="D1958" s="64">
        <v>42388</v>
      </c>
      <c r="E1958">
        <v>3.0389386805381058E-2</v>
      </c>
      <c r="F1958" s="65">
        <v>0.13328685742444599</v>
      </c>
      <c r="G1958" s="40">
        <f t="shared" si="79"/>
        <v>0</v>
      </c>
      <c r="H1958" s="33">
        <f t="shared" si="80"/>
        <v>-0.13328685742444599</v>
      </c>
      <c r="I1958" s="43"/>
    </row>
    <row r="1959" spans="2:9" ht="15">
      <c r="B1959" s="32">
        <v>2</v>
      </c>
      <c r="C1959" s="66" t="s">
        <v>48</v>
      </c>
      <c r="D1959" s="64">
        <v>42389</v>
      </c>
      <c r="E1959">
        <v>2.3231183896966101E-2</v>
      </c>
      <c r="F1959" s="65">
        <v>0.11311658487906344</v>
      </c>
      <c r="G1959" s="40">
        <f t="shared" si="79"/>
        <v>0</v>
      </c>
      <c r="H1959" s="33">
        <f t="shared" si="80"/>
        <v>-0.11311658487906344</v>
      </c>
      <c r="I1959" s="43"/>
    </row>
    <row r="1960" spans="2:9" ht="15">
      <c r="B1960" s="32">
        <v>2</v>
      </c>
      <c r="C1960" s="66" t="s">
        <v>48</v>
      </c>
      <c r="D1960" s="64">
        <v>42390</v>
      </c>
      <c r="E1960">
        <v>2.3028815379356082E-2</v>
      </c>
      <c r="F1960" s="65">
        <v>0.10634524931959384</v>
      </c>
      <c r="G1960" s="40">
        <f t="shared" si="79"/>
        <v>0</v>
      </c>
      <c r="H1960" s="33">
        <f t="shared" si="80"/>
        <v>-0.10634524931959384</v>
      </c>
      <c r="I1960" s="43"/>
    </row>
    <row r="1961" spans="2:9" ht="15">
      <c r="B1961" s="32">
        <v>2</v>
      </c>
      <c r="C1961" s="66" t="s">
        <v>48</v>
      </c>
      <c r="D1961" s="64">
        <v>42391</v>
      </c>
      <c r="E1961">
        <v>4.4736569468977194E-3</v>
      </c>
      <c r="F1961" s="65">
        <v>9.2464135969114417E-2</v>
      </c>
      <c r="G1961" s="40">
        <f t="shared" si="79"/>
        <v>0</v>
      </c>
      <c r="H1961" s="33">
        <f t="shared" si="80"/>
        <v>-9.2464135969114417E-2</v>
      </c>
      <c r="I1961" s="43"/>
    </row>
    <row r="1962" spans="2:9" ht="15">
      <c r="B1962" s="32">
        <v>2</v>
      </c>
      <c r="C1962" s="66" t="s">
        <v>48</v>
      </c>
      <c r="D1962" s="64">
        <v>42394</v>
      </c>
      <c r="E1962">
        <v>1.581043836514695E-3</v>
      </c>
      <c r="F1962" s="65">
        <v>0.11075231580614527</v>
      </c>
      <c r="G1962" s="40">
        <f t="shared" si="79"/>
        <v>0</v>
      </c>
      <c r="H1962" s="33">
        <f t="shared" si="80"/>
        <v>-0.11075231580614527</v>
      </c>
      <c r="I1962" s="43"/>
    </row>
    <row r="1963" spans="2:9" ht="15">
      <c r="B1963" s="32">
        <v>2</v>
      </c>
      <c r="C1963" s="66" t="s">
        <v>48</v>
      </c>
      <c r="D1963" s="64">
        <v>42395</v>
      </c>
      <c r="E1963">
        <v>-2.6719252318212483E-2</v>
      </c>
      <c r="F1963" s="65">
        <v>0.11223214191973485</v>
      </c>
      <c r="G1963" s="40">
        <f t="shared" si="79"/>
        <v>0</v>
      </c>
      <c r="H1963" s="33">
        <f t="shared" si="80"/>
        <v>-0.11223214191973485</v>
      </c>
      <c r="I1963" s="43"/>
    </row>
    <row r="1964" spans="2:9" ht="15">
      <c r="B1964" s="32">
        <v>2</v>
      </c>
      <c r="C1964" s="66" t="s">
        <v>48</v>
      </c>
      <c r="D1964" s="64">
        <v>42396</v>
      </c>
      <c r="E1964">
        <v>-1.6460170258674189E-2</v>
      </c>
      <c r="F1964" s="65">
        <v>0.10981088942240781</v>
      </c>
      <c r="G1964" s="40">
        <f t="shared" si="79"/>
        <v>0</v>
      </c>
      <c r="H1964" s="33">
        <f t="shared" si="80"/>
        <v>-0.10981088942240781</v>
      </c>
      <c r="I1964" s="43"/>
    </row>
    <row r="1965" spans="2:9" ht="15">
      <c r="B1965" s="32">
        <v>2</v>
      </c>
      <c r="C1965" s="66" t="s">
        <v>48</v>
      </c>
      <c r="D1965" s="64">
        <v>42397</v>
      </c>
      <c r="E1965">
        <v>-2.2162489236210448E-2</v>
      </c>
      <c r="F1965" s="65">
        <v>0.10242077397859956</v>
      </c>
      <c r="G1965" s="40">
        <f t="shared" si="79"/>
        <v>0</v>
      </c>
      <c r="H1965" s="33">
        <f t="shared" si="80"/>
        <v>-0.10242077397859956</v>
      </c>
      <c r="I1965" s="43"/>
    </row>
    <row r="1966" spans="2:9" ht="15">
      <c r="B1966" s="32">
        <v>2</v>
      </c>
      <c r="C1966" s="66" t="s">
        <v>48</v>
      </c>
      <c r="D1966" s="64">
        <v>42398</v>
      </c>
      <c r="E1966">
        <v>-5.8998587464964558E-2</v>
      </c>
      <c r="F1966" s="65">
        <v>8.9517742846665527E-2</v>
      </c>
      <c r="G1966" s="40">
        <f t="shared" si="79"/>
        <v>0</v>
      </c>
      <c r="H1966" s="33">
        <f t="shared" si="80"/>
        <v>-8.9517742846665527E-2</v>
      </c>
      <c r="I1966" s="43"/>
    </row>
    <row r="1967" spans="2:9" ht="15">
      <c r="B1967" s="32">
        <v>2</v>
      </c>
      <c r="C1967" s="66" t="s">
        <v>48</v>
      </c>
      <c r="D1967" s="64">
        <v>42401</v>
      </c>
      <c r="E1967">
        <v>-3.9225237722900985E-2</v>
      </c>
      <c r="F1967" s="65">
        <v>0.12179803661008176</v>
      </c>
      <c r="G1967" s="40">
        <f t="shared" si="79"/>
        <v>0</v>
      </c>
      <c r="H1967" s="33">
        <f t="shared" si="80"/>
        <v>-0.12179803661008176</v>
      </c>
      <c r="I1967" s="43"/>
    </row>
    <row r="1968" spans="2:9" ht="15">
      <c r="B1968" s="32">
        <v>2</v>
      </c>
      <c r="C1968" s="66" t="s">
        <v>48</v>
      </c>
      <c r="D1968" s="64">
        <v>42402</v>
      </c>
      <c r="E1968">
        <v>-3.9225309162072008E-3</v>
      </c>
      <c r="F1968" s="65">
        <v>0.10336346915409828</v>
      </c>
      <c r="G1968" s="40">
        <f t="shared" si="79"/>
        <v>0</v>
      </c>
      <c r="H1968" s="33">
        <f t="shared" si="80"/>
        <v>-0.10336346915409828</v>
      </c>
      <c r="I1968" s="43"/>
    </row>
    <row r="1969" spans="2:9" ht="15">
      <c r="B1969" s="32">
        <v>2</v>
      </c>
      <c r="C1969" s="66" t="s">
        <v>48</v>
      </c>
      <c r="D1969" s="64">
        <v>42403</v>
      </c>
      <c r="E1969">
        <v>7.443959565915037E-3</v>
      </c>
      <c r="F1969" s="65">
        <v>0.11453128084954288</v>
      </c>
      <c r="G1969" s="40">
        <f t="shared" si="79"/>
        <v>0</v>
      </c>
      <c r="H1969" s="33">
        <f t="shared" si="80"/>
        <v>-0.11453128084954288</v>
      </c>
      <c r="I1969" s="43"/>
    </row>
    <row r="1970" spans="2:9" ht="15">
      <c r="B1970" s="32">
        <v>2</v>
      </c>
      <c r="C1970" s="66" t="s">
        <v>48</v>
      </c>
      <c r="D1970" s="64">
        <v>42404</v>
      </c>
      <c r="E1970">
        <v>1.2417592054667637E-3</v>
      </c>
      <c r="F1970" s="65">
        <v>9.9097371079837918E-2</v>
      </c>
      <c r="G1970" s="40">
        <f t="shared" si="79"/>
        <v>0</v>
      </c>
      <c r="H1970" s="33">
        <f t="shared" si="80"/>
        <v>-9.9097371079837918E-2</v>
      </c>
      <c r="I1970" s="43"/>
    </row>
    <row r="1971" spans="2:9" ht="15">
      <c r="B1971" s="32">
        <v>2</v>
      </c>
      <c r="C1971" s="66" t="s">
        <v>48</v>
      </c>
      <c r="D1971" s="64">
        <v>42405</v>
      </c>
      <c r="E1971">
        <v>1.9869883892578599E-2</v>
      </c>
      <c r="F1971" s="65">
        <v>8.4296353563727583E-2</v>
      </c>
      <c r="G1971" s="40">
        <f t="shared" si="79"/>
        <v>0</v>
      </c>
      <c r="H1971" s="33">
        <f t="shared" si="80"/>
        <v>-8.4296353563727583E-2</v>
      </c>
      <c r="I1971" s="43"/>
    </row>
    <row r="1972" spans="2:9" ht="15">
      <c r="B1972" s="32">
        <v>2</v>
      </c>
      <c r="C1972" s="66" t="s">
        <v>48</v>
      </c>
      <c r="D1972" s="64">
        <v>42408</v>
      </c>
      <c r="E1972">
        <v>4.8475673380122153E-2</v>
      </c>
      <c r="F1972" s="65">
        <v>0.10192762568006723</v>
      </c>
      <c r="G1972" s="40">
        <f t="shared" si="79"/>
        <v>0</v>
      </c>
      <c r="H1972" s="33">
        <f t="shared" si="80"/>
        <v>-0.10192762568006723</v>
      </c>
      <c r="I1972" s="43"/>
    </row>
    <row r="1973" spans="2:9" ht="15">
      <c r="B1973" s="32">
        <v>2</v>
      </c>
      <c r="C1973" s="66" t="s">
        <v>48</v>
      </c>
      <c r="D1973" s="64">
        <v>42409</v>
      </c>
      <c r="E1973">
        <v>3.6606936447141969E-2</v>
      </c>
      <c r="F1973" s="65">
        <v>0.10275945791179869</v>
      </c>
      <c r="G1973" s="40">
        <f t="shared" si="79"/>
        <v>0</v>
      </c>
      <c r="H1973" s="33">
        <f t="shared" si="80"/>
        <v>-0.10275945791179869</v>
      </c>
      <c r="I1973" s="43"/>
    </row>
    <row r="1974" spans="2:9" ht="15">
      <c r="B1974" s="32">
        <v>2</v>
      </c>
      <c r="C1974" s="66" t="s">
        <v>48</v>
      </c>
      <c r="D1974" s="64">
        <v>42410</v>
      </c>
      <c r="E1974">
        <v>4.1225864681205593E-2</v>
      </c>
      <c r="F1974" s="65">
        <v>8.7232575778044136E-2</v>
      </c>
      <c r="G1974" s="40">
        <f t="shared" si="79"/>
        <v>0</v>
      </c>
      <c r="H1974" s="33">
        <f t="shared" si="80"/>
        <v>-8.7232575778044136E-2</v>
      </c>
      <c r="I1974" s="43"/>
    </row>
    <row r="1975" spans="2:9" ht="15">
      <c r="B1975" s="32">
        <v>2</v>
      </c>
      <c r="C1975" s="66" t="s">
        <v>48</v>
      </c>
      <c r="D1975" s="64">
        <v>42411</v>
      </c>
      <c r="E1975">
        <v>6.4887678403841242E-2</v>
      </c>
      <c r="F1975" s="65">
        <v>7.4022950152538514E-2</v>
      </c>
      <c r="G1975" s="40">
        <f t="shared" si="79"/>
        <v>0</v>
      </c>
      <c r="H1975" s="33">
        <f t="shared" si="80"/>
        <v>-7.4022950152538514E-2</v>
      </c>
      <c r="I1975" s="43"/>
    </row>
    <row r="1976" spans="2:9" ht="15">
      <c r="B1976" s="32">
        <v>2</v>
      </c>
      <c r="C1976" s="66" t="s">
        <v>48</v>
      </c>
      <c r="D1976" s="64">
        <v>42412</v>
      </c>
      <c r="E1976">
        <v>4.3685798172826473E-2</v>
      </c>
      <c r="F1976" s="65">
        <v>7.9162303799166708E-2</v>
      </c>
      <c r="G1976" s="40">
        <f t="shared" si="79"/>
        <v>0</v>
      </c>
      <c r="H1976" s="33">
        <f t="shared" si="80"/>
        <v>-7.9162303799166708E-2</v>
      </c>
      <c r="I1976" s="43"/>
    </row>
    <row r="1977" spans="2:9" ht="15">
      <c r="B1977" s="32">
        <v>2</v>
      </c>
      <c r="C1977" s="66" t="s">
        <v>48</v>
      </c>
      <c r="D1977" s="64">
        <v>42416</v>
      </c>
      <c r="E1977">
        <v>1.9149928878393396E-2</v>
      </c>
      <c r="F1977" s="65">
        <v>0.10086638192570249</v>
      </c>
      <c r="G1977" s="40">
        <f t="shared" si="79"/>
        <v>0</v>
      </c>
      <c r="H1977" s="33">
        <f t="shared" si="80"/>
        <v>-0.10086638192570249</v>
      </c>
      <c r="I1977" s="43"/>
    </row>
    <row r="1978" spans="2:9" ht="15">
      <c r="B1978" s="32">
        <v>2</v>
      </c>
      <c r="C1978" s="66" t="s">
        <v>48</v>
      </c>
      <c r="D1978" s="64">
        <v>42417</v>
      </c>
      <c r="E1978">
        <v>2.6392204227433602E-2</v>
      </c>
      <c r="F1978" s="65">
        <v>0.10673265879309891</v>
      </c>
      <c r="G1978" s="40">
        <f t="shared" si="79"/>
        <v>0</v>
      </c>
      <c r="H1978" s="33">
        <f t="shared" si="80"/>
        <v>-0.10673265879309891</v>
      </c>
      <c r="I1978" s="43"/>
    </row>
    <row r="1979" spans="2:9" ht="15">
      <c r="B1979" s="32">
        <v>2</v>
      </c>
      <c r="C1979" s="66" t="s">
        <v>48</v>
      </c>
      <c r="D1979" s="64">
        <v>42418</v>
      </c>
      <c r="E1979">
        <v>3.5154785795144861E-2</v>
      </c>
      <c r="F1979" s="65">
        <v>0.11068437864916837</v>
      </c>
      <c r="G1979" s="40">
        <f t="shared" si="79"/>
        <v>0</v>
      </c>
      <c r="H1979" s="33">
        <f t="shared" si="80"/>
        <v>-0.11068437864916837</v>
      </c>
      <c r="I1979" s="43"/>
    </row>
    <row r="1980" spans="2:9" ht="15">
      <c r="B1980" s="32">
        <v>2</v>
      </c>
      <c r="C1980" s="66" t="s">
        <v>48</v>
      </c>
      <c r="D1980" s="64">
        <v>42419</v>
      </c>
      <c r="E1980">
        <v>3.8673453402356728E-2</v>
      </c>
      <c r="F1980" s="65">
        <v>9.5666917030087506E-2</v>
      </c>
      <c r="G1980" s="40">
        <f t="shared" si="79"/>
        <v>0</v>
      </c>
      <c r="H1980" s="33">
        <f t="shared" si="80"/>
        <v>-9.5666917030087506E-2</v>
      </c>
      <c r="I1980" s="43"/>
    </row>
    <row r="1981" spans="2:9" ht="15">
      <c r="B1981" s="32">
        <v>2</v>
      </c>
      <c r="C1981" s="66" t="s">
        <v>48</v>
      </c>
      <c r="D1981" s="64">
        <v>42422</v>
      </c>
      <c r="E1981">
        <v>2.7623162104948307E-2</v>
      </c>
      <c r="F1981" s="65">
        <v>8.1176134178003997E-2</v>
      </c>
      <c r="G1981" s="40">
        <f t="shared" si="79"/>
        <v>0</v>
      </c>
      <c r="H1981" s="33">
        <f t="shared" si="80"/>
        <v>-8.1176134178003997E-2</v>
      </c>
      <c r="I1981" s="43"/>
    </row>
    <row r="1982" spans="2:9" ht="15">
      <c r="B1982" s="32">
        <v>2</v>
      </c>
      <c r="C1982" s="66" t="s">
        <v>48</v>
      </c>
      <c r="D1982" s="64">
        <v>42423</v>
      </c>
      <c r="E1982">
        <v>4.1040362466894464E-2</v>
      </c>
      <c r="F1982" s="65">
        <v>8.8686024740637928E-2</v>
      </c>
      <c r="G1982" s="40">
        <f t="shared" si="79"/>
        <v>0</v>
      </c>
      <c r="H1982" s="33">
        <f t="shared" si="80"/>
        <v>-8.8686024740637928E-2</v>
      </c>
      <c r="I1982" s="43"/>
    </row>
    <row r="1983" spans="2:9" ht="15">
      <c r="B1983" s="32">
        <v>2</v>
      </c>
      <c r="C1983" s="66" t="s">
        <v>48</v>
      </c>
      <c r="D1983" s="64">
        <v>42424</v>
      </c>
      <c r="E1983">
        <v>2.5306646532503585E-2</v>
      </c>
      <c r="F1983" s="65">
        <v>8.9682847624060841E-2</v>
      </c>
      <c r="G1983" s="40">
        <f t="shared" si="79"/>
        <v>0</v>
      </c>
      <c r="H1983" s="33">
        <f t="shared" si="80"/>
        <v>-8.9682847624060841E-2</v>
      </c>
      <c r="I1983" s="43"/>
    </row>
    <row r="1984" spans="2:9" ht="15">
      <c r="B1984" s="32">
        <v>2</v>
      </c>
      <c r="C1984" s="66" t="s">
        <v>48</v>
      </c>
      <c r="D1984" s="64">
        <v>42425</v>
      </c>
      <c r="E1984">
        <v>1.9061952761398437E-2</v>
      </c>
      <c r="F1984" s="65">
        <v>7.8027855096316559E-2</v>
      </c>
      <c r="G1984" s="40">
        <f t="shared" si="79"/>
        <v>0</v>
      </c>
      <c r="H1984" s="33">
        <f t="shared" si="80"/>
        <v>-7.8027855096316559E-2</v>
      </c>
      <c r="I1984" s="43"/>
    </row>
    <row r="1985" spans="2:9" ht="15">
      <c r="B1985" s="32">
        <v>2</v>
      </c>
      <c r="C1985" s="66" t="s">
        <v>48</v>
      </c>
      <c r="D1985" s="64">
        <v>42426</v>
      </c>
      <c r="E1985">
        <v>2.1089610448683516E-2</v>
      </c>
      <c r="F1985" s="65">
        <v>7.9455550360095578E-2</v>
      </c>
      <c r="G1985" s="40">
        <f t="shared" si="79"/>
        <v>0</v>
      </c>
      <c r="H1985" s="33">
        <f t="shared" si="80"/>
        <v>-7.9455550360095578E-2</v>
      </c>
      <c r="I1985" s="43"/>
    </row>
    <row r="1986" spans="2:9" ht="15">
      <c r="B1986" s="32">
        <v>2</v>
      </c>
      <c r="C1986" s="66" t="s">
        <v>48</v>
      </c>
      <c r="D1986" s="64">
        <v>42429</v>
      </c>
      <c r="E1986">
        <v>4.550628740432483E-2</v>
      </c>
      <c r="F1986" s="65">
        <v>6.7812890921818039E-2</v>
      </c>
      <c r="G1986" s="40">
        <f t="shared" si="79"/>
        <v>0</v>
      </c>
      <c r="H1986" s="33">
        <f t="shared" si="80"/>
        <v>-6.7812890921818039E-2</v>
      </c>
      <c r="I1986" s="43"/>
    </row>
    <row r="1987" spans="2:9" ht="15">
      <c r="B1987" s="32">
        <v>2</v>
      </c>
      <c r="C1987" s="66" t="s">
        <v>48</v>
      </c>
      <c r="D1987" s="64">
        <v>42430</v>
      </c>
      <c r="E1987">
        <v>2.0656133309169711E-2</v>
      </c>
      <c r="F1987" s="65">
        <v>6.5715481915394572E-2</v>
      </c>
      <c r="G1987" s="40">
        <f t="shared" si="79"/>
        <v>0</v>
      </c>
      <c r="H1987" s="33">
        <f t="shared" si="80"/>
        <v>-6.5715481915394572E-2</v>
      </c>
      <c r="I1987" s="43"/>
    </row>
    <row r="1988" spans="2:9" ht="15">
      <c r="B1988" s="32">
        <v>2</v>
      </c>
      <c r="C1988" s="66" t="s">
        <v>48</v>
      </c>
      <c r="D1988" s="64">
        <v>42431</v>
      </c>
      <c r="E1988">
        <v>1.4731552778887824E-2</v>
      </c>
      <c r="F1988" s="65">
        <v>0.10742819600469275</v>
      </c>
      <c r="G1988" s="40">
        <f t="shared" si="79"/>
        <v>0</v>
      </c>
      <c r="H1988" s="33">
        <f t="shared" si="80"/>
        <v>-0.10742819600469275</v>
      </c>
      <c r="I1988" s="43"/>
    </row>
    <row r="1989" spans="2:9" ht="15">
      <c r="B1989" s="32">
        <v>2</v>
      </c>
      <c r="C1989" s="66" t="s">
        <v>48</v>
      </c>
      <c r="D1989" s="64">
        <v>42432</v>
      </c>
      <c r="E1989">
        <v>1.6823646464598774E-2</v>
      </c>
      <c r="F1989" s="65">
        <v>9.2533089357596215E-2</v>
      </c>
      <c r="G1989" s="40">
        <f t="shared" si="79"/>
        <v>0</v>
      </c>
      <c r="H1989" s="33">
        <f t="shared" si="80"/>
        <v>-9.2533089357596215E-2</v>
      </c>
      <c r="I1989" s="43"/>
    </row>
    <row r="1990" spans="2:9" ht="15">
      <c r="B1990" s="32">
        <v>2</v>
      </c>
      <c r="C1990" s="66" t="s">
        <v>48</v>
      </c>
      <c r="D1990" s="64">
        <v>42433</v>
      </c>
      <c r="E1990">
        <v>2.0096789518337488E-2</v>
      </c>
      <c r="F1990" s="65">
        <v>7.9685354854777068E-2</v>
      </c>
      <c r="G1990" s="40">
        <f t="shared" si="79"/>
        <v>0</v>
      </c>
      <c r="H1990" s="33">
        <f t="shared" si="80"/>
        <v>-7.9685354854777068E-2</v>
      </c>
      <c r="I1990" s="43"/>
    </row>
    <row r="1991" spans="2:9" ht="15">
      <c r="B1991" s="32">
        <v>2</v>
      </c>
      <c r="C1991" s="66" t="s">
        <v>48</v>
      </c>
      <c r="D1991" s="64">
        <v>42436</v>
      </c>
      <c r="E1991">
        <v>2.3608133585182323E-2</v>
      </c>
      <c r="F1991" s="65">
        <v>6.8825051029157425E-2</v>
      </c>
      <c r="G1991" s="40">
        <f t="shared" si="79"/>
        <v>0</v>
      </c>
      <c r="H1991" s="33">
        <f t="shared" si="80"/>
        <v>-6.8825051029157425E-2</v>
      </c>
      <c r="I1991" s="43"/>
    </row>
    <row r="1992" spans="2:9" ht="15">
      <c r="B1992" s="32">
        <v>2</v>
      </c>
      <c r="C1992" s="66" t="s">
        <v>48</v>
      </c>
      <c r="D1992" s="64">
        <v>42437</v>
      </c>
      <c r="E1992">
        <v>3.5896981772689962E-2</v>
      </c>
      <c r="F1992" s="65">
        <v>5.8501431142246228E-2</v>
      </c>
      <c r="G1992" s="40">
        <f t="shared" si="79"/>
        <v>0</v>
      </c>
      <c r="H1992" s="33">
        <f t="shared" si="80"/>
        <v>-5.8501431142246228E-2</v>
      </c>
      <c r="I1992" s="43"/>
    </row>
    <row r="1993" spans="2:9" ht="15">
      <c r="B1993" s="32">
        <v>2</v>
      </c>
      <c r="C1993" s="66" t="s">
        <v>48</v>
      </c>
      <c r="D1993" s="64">
        <v>42438</v>
      </c>
      <c r="E1993">
        <v>2.9979536009996366E-2</v>
      </c>
      <c r="F1993" s="65">
        <v>6.6335153052238888E-2</v>
      </c>
      <c r="G1993" s="40">
        <f t="shared" si="79"/>
        <v>0</v>
      </c>
      <c r="H1993" s="33">
        <f t="shared" si="80"/>
        <v>-6.6335153052238888E-2</v>
      </c>
      <c r="I1993" s="43"/>
    </row>
    <row r="1994" spans="2:9" ht="15">
      <c r="B1994" s="32">
        <v>2</v>
      </c>
      <c r="C1994" s="66" t="s">
        <v>48</v>
      </c>
      <c r="D1994" s="64">
        <v>42439</v>
      </c>
      <c r="E1994">
        <v>2.3417233892153E-2</v>
      </c>
      <c r="F1994" s="65">
        <v>5.960807008953737E-2</v>
      </c>
      <c r="G1994" s="40">
        <f t="shared" si="79"/>
        <v>0</v>
      </c>
      <c r="H1994" s="33">
        <f t="shared" si="80"/>
        <v>-5.960807008953737E-2</v>
      </c>
      <c r="I1994" s="43"/>
    </row>
    <row r="1995" spans="2:9" ht="15">
      <c r="B1995" s="32">
        <v>2</v>
      </c>
      <c r="C1995" s="66" t="s">
        <v>48</v>
      </c>
      <c r="D1995" s="64">
        <v>42440</v>
      </c>
      <c r="E1995">
        <v>6.7765463493048017E-3</v>
      </c>
      <c r="F1995" s="65">
        <v>5.0582760352313572E-2</v>
      </c>
      <c r="G1995" s="40">
        <f t="shared" ref="G1995:G2058" si="81">--(E1995&lt;-F1995)</f>
        <v>0</v>
      </c>
      <c r="H1995" s="33">
        <f t="shared" ref="H1995:H2058" si="82">-F1995</f>
        <v>-5.0582760352313572E-2</v>
      </c>
      <c r="I1995" s="43"/>
    </row>
    <row r="1996" spans="2:9" ht="15">
      <c r="B1996" s="32">
        <v>2</v>
      </c>
      <c r="C1996" s="66" t="s">
        <v>48</v>
      </c>
      <c r="D1996" s="64">
        <v>42443</v>
      </c>
      <c r="E1996">
        <v>8.5834217629354725E-3</v>
      </c>
      <c r="F1996" s="1">
        <v>7.6484008449354934E-2</v>
      </c>
      <c r="G1996" s="40">
        <f t="shared" si="81"/>
        <v>0</v>
      </c>
      <c r="H1996" s="33">
        <f t="shared" si="82"/>
        <v>-7.6484008449354934E-2</v>
      </c>
      <c r="I1996" s="43"/>
    </row>
    <row r="1997" spans="2:9" ht="15">
      <c r="B1997" s="32">
        <v>2</v>
      </c>
      <c r="C1997" s="66" t="s">
        <v>48</v>
      </c>
      <c r="D1997" s="64">
        <v>42444</v>
      </c>
      <c r="E1997">
        <v>1.9200064811848883E-2</v>
      </c>
      <c r="F1997" s="1">
        <v>6.5084433707424436E-2</v>
      </c>
      <c r="G1997" s="40">
        <f t="shared" si="81"/>
        <v>0</v>
      </c>
      <c r="H1997" s="33">
        <f t="shared" si="82"/>
        <v>-6.5084433707424436E-2</v>
      </c>
      <c r="I1997" s="43"/>
    </row>
    <row r="1998" spans="2:9" ht="15">
      <c r="B1998" s="32">
        <v>2</v>
      </c>
      <c r="C1998" s="66" t="s">
        <v>48</v>
      </c>
      <c r="D1998" s="64">
        <v>42445</v>
      </c>
      <c r="E1998">
        <v>1.7956216723255203E-2</v>
      </c>
      <c r="F1998" s="1">
        <v>5.5687833865629179E-2</v>
      </c>
      <c r="G1998" s="40">
        <f t="shared" si="81"/>
        <v>0</v>
      </c>
      <c r="H1998" s="33">
        <f t="shared" si="82"/>
        <v>-5.5687833865629179E-2</v>
      </c>
      <c r="I1998" s="43"/>
    </row>
    <row r="1999" spans="2:9" ht="15">
      <c r="B1999" s="32">
        <v>2</v>
      </c>
      <c r="C1999" s="66" t="s">
        <v>48</v>
      </c>
      <c r="D1999" s="64">
        <v>42446</v>
      </c>
      <c r="E1999">
        <v>9.3407913229119899E-3</v>
      </c>
      <c r="F1999" s="1">
        <v>5.2013808821057786E-2</v>
      </c>
      <c r="G1999" s="40">
        <f t="shared" si="81"/>
        <v>0</v>
      </c>
      <c r="H1999" s="33">
        <f t="shared" si="82"/>
        <v>-5.2013808821057786E-2</v>
      </c>
      <c r="I1999" s="43"/>
    </row>
    <row r="2000" spans="2:9" ht="15">
      <c r="B2000" s="32">
        <v>2</v>
      </c>
      <c r="C2000" s="66" t="s">
        <v>48</v>
      </c>
      <c r="D2000" s="64">
        <v>42447</v>
      </c>
      <c r="E2000">
        <v>1.1255783258093288E-2</v>
      </c>
      <c r="F2000" s="1">
        <v>5.1016846577825042E-2</v>
      </c>
      <c r="G2000" s="40">
        <f t="shared" si="81"/>
        <v>0</v>
      </c>
      <c r="H2000" s="33">
        <f t="shared" si="82"/>
        <v>-5.1016846577825042E-2</v>
      </c>
      <c r="I2000" s="43"/>
    </row>
    <row r="2001" spans="2:9" ht="15">
      <c r="B2001" s="32">
        <v>2</v>
      </c>
      <c r="C2001" s="66" t="s">
        <v>48</v>
      </c>
      <c r="D2001" s="64">
        <v>42450</v>
      </c>
      <c r="E2001">
        <v>7.0572113133806624E-3</v>
      </c>
      <c r="F2001" s="1">
        <v>4.6548768550381731E-2</v>
      </c>
      <c r="G2001" s="40">
        <f t="shared" si="81"/>
        <v>0</v>
      </c>
      <c r="H2001" s="33">
        <f t="shared" si="82"/>
        <v>-4.6548768550381731E-2</v>
      </c>
      <c r="I2001" s="43"/>
    </row>
    <row r="2002" spans="2:9" ht="15">
      <c r="B2002" s="32">
        <v>2</v>
      </c>
      <c r="C2002" s="66" t="s">
        <v>48</v>
      </c>
      <c r="D2002" s="64">
        <v>42451</v>
      </c>
      <c r="E2002">
        <v>-2.2613141819478599E-3</v>
      </c>
      <c r="F2002" s="1">
        <v>3.9683650535303948E-2</v>
      </c>
      <c r="G2002" s="40">
        <f t="shared" si="81"/>
        <v>0</v>
      </c>
      <c r="H2002" s="33">
        <f t="shared" si="82"/>
        <v>-3.9683650535303948E-2</v>
      </c>
      <c r="I2002" s="43"/>
    </row>
    <row r="2003" spans="2:9" ht="15">
      <c r="B2003" s="32">
        <v>2</v>
      </c>
      <c r="C2003" s="66" t="s">
        <v>48</v>
      </c>
      <c r="D2003" s="64">
        <v>42452</v>
      </c>
      <c r="E2003">
        <v>1.4597993254231056E-2</v>
      </c>
      <c r="F2003" s="1">
        <v>3.3845616055092793E-2</v>
      </c>
      <c r="G2003" s="40">
        <f t="shared" si="81"/>
        <v>0</v>
      </c>
      <c r="H2003" s="33">
        <f t="shared" si="82"/>
        <v>-3.3845616055092793E-2</v>
      </c>
      <c r="I2003" s="43"/>
    </row>
    <row r="2004" spans="2:9" ht="15">
      <c r="B2004" s="32">
        <v>2</v>
      </c>
      <c r="C2004" s="66" t="s">
        <v>48</v>
      </c>
      <c r="D2004" s="64">
        <v>42453</v>
      </c>
      <c r="E2004">
        <v>2.9280612587543331E-3</v>
      </c>
      <c r="F2004" s="1">
        <v>3.8035787454455953E-2</v>
      </c>
      <c r="G2004" s="40">
        <f t="shared" si="81"/>
        <v>0</v>
      </c>
      <c r="H2004" s="33">
        <f t="shared" si="82"/>
        <v>-3.8035787454455953E-2</v>
      </c>
      <c r="I2004" s="43"/>
    </row>
    <row r="2005" spans="2:9" ht="15">
      <c r="B2005" s="32">
        <v>2</v>
      </c>
      <c r="C2005" s="66" t="s">
        <v>48</v>
      </c>
      <c r="D2005" s="64">
        <v>42457</v>
      </c>
      <c r="E2005">
        <v>5.1656569816023179E-3</v>
      </c>
      <c r="F2005" s="1">
        <v>3.2307986683512535E-2</v>
      </c>
      <c r="G2005" s="40">
        <f t="shared" si="81"/>
        <v>0</v>
      </c>
      <c r="H2005" s="33">
        <f t="shared" si="82"/>
        <v>-3.2307986683512535E-2</v>
      </c>
      <c r="I2005" s="43"/>
    </row>
    <row r="2006" spans="2:9" ht="15">
      <c r="B2006" s="32">
        <v>2</v>
      </c>
      <c r="C2006" s="66" t="s">
        <v>48</v>
      </c>
      <c r="D2006" s="64">
        <v>42458</v>
      </c>
      <c r="E2006">
        <v>-6.3559013089111716E-3</v>
      </c>
      <c r="F2006" s="1">
        <v>2.7496236163089553E-2</v>
      </c>
      <c r="G2006" s="40">
        <f t="shared" si="81"/>
        <v>0</v>
      </c>
      <c r="H2006" s="33">
        <f t="shared" si="82"/>
        <v>-2.7496236163089553E-2</v>
      </c>
      <c r="I2006" s="43"/>
    </row>
    <row r="2007" spans="2:9" ht="15">
      <c r="B2007" s="32">
        <v>2</v>
      </c>
      <c r="C2007" s="66" t="s">
        <v>48</v>
      </c>
      <c r="D2007" s="64">
        <v>42459</v>
      </c>
      <c r="E2007">
        <v>-1.0810269649912385E-3</v>
      </c>
      <c r="F2007" s="1">
        <v>4.13759114095167E-2</v>
      </c>
      <c r="G2007" s="40">
        <f t="shared" si="81"/>
        <v>0</v>
      </c>
      <c r="H2007" s="33">
        <f t="shared" si="82"/>
        <v>-4.13759114095167E-2</v>
      </c>
      <c r="I2007" s="43"/>
    </row>
    <row r="2008" spans="2:9" ht="15">
      <c r="B2008" s="32">
        <v>2</v>
      </c>
      <c r="C2008" s="66" t="s">
        <v>48</v>
      </c>
      <c r="D2008" s="64">
        <v>42460</v>
      </c>
      <c r="E2008">
        <v>1.0950885109734187E-2</v>
      </c>
      <c r="F2008" s="1">
        <v>3.8963481168830479E-2</v>
      </c>
      <c r="G2008" s="40">
        <f t="shared" si="81"/>
        <v>0</v>
      </c>
      <c r="H2008" s="33">
        <f t="shared" si="82"/>
        <v>-3.8963481168830479E-2</v>
      </c>
      <c r="I2008" s="43"/>
    </row>
    <row r="2009" spans="2:9" ht="15">
      <c r="B2009" s="32">
        <v>2</v>
      </c>
      <c r="C2009" s="66" t="s">
        <v>48</v>
      </c>
      <c r="D2009" s="64">
        <v>42461</v>
      </c>
      <c r="E2009">
        <v>4.8128383001397879E-3</v>
      </c>
      <c r="F2009" s="1">
        <v>3.4003617636451371E-2</v>
      </c>
      <c r="G2009" s="40">
        <f t="shared" si="81"/>
        <v>0</v>
      </c>
      <c r="H2009" s="33">
        <f t="shared" si="82"/>
        <v>-3.4003617636451371E-2</v>
      </c>
      <c r="I2009" s="43"/>
    </row>
    <row r="2010" spans="2:9" ht="15">
      <c r="B2010" s="32">
        <v>2</v>
      </c>
      <c r="C2010" s="66" t="s">
        <v>48</v>
      </c>
      <c r="D2010" s="64">
        <v>42464</v>
      </c>
      <c r="E2010">
        <v>7.0415484531300976E-3</v>
      </c>
      <c r="F2010" s="1">
        <v>3.7894934062801512E-2</v>
      </c>
      <c r="G2010" s="40">
        <f t="shared" si="81"/>
        <v>0</v>
      </c>
      <c r="H2010" s="33">
        <f t="shared" si="82"/>
        <v>-3.7894934062801512E-2</v>
      </c>
      <c r="I2010" s="43"/>
    </row>
    <row r="2011" spans="2:9" ht="15">
      <c r="B2011" s="32">
        <v>2</v>
      </c>
      <c r="C2011" s="66" t="s">
        <v>48</v>
      </c>
      <c r="D2011" s="64">
        <v>42465</v>
      </c>
      <c r="E2011">
        <v>2.3757572820237272E-2</v>
      </c>
      <c r="F2011" s="1">
        <v>3.4502443653839206E-2</v>
      </c>
      <c r="G2011" s="40">
        <f t="shared" si="81"/>
        <v>0</v>
      </c>
      <c r="H2011" s="33">
        <f t="shared" si="82"/>
        <v>-3.4502443653839206E-2</v>
      </c>
      <c r="I2011" s="43"/>
    </row>
    <row r="2012" spans="2:9" ht="15">
      <c r="B2012" s="32">
        <v>2</v>
      </c>
      <c r="C2012" s="66" t="s">
        <v>48</v>
      </c>
      <c r="D2012" s="64">
        <v>42466</v>
      </c>
      <c r="E2012">
        <v>1.6384512900343928E-2</v>
      </c>
      <c r="F2012" s="1">
        <v>4.9320453774815143E-2</v>
      </c>
      <c r="G2012" s="40">
        <f t="shared" si="81"/>
        <v>0</v>
      </c>
      <c r="H2012" s="33">
        <f t="shared" si="82"/>
        <v>-4.9320453774815143E-2</v>
      </c>
      <c r="I2012" s="43"/>
    </row>
    <row r="2013" spans="2:9" ht="15">
      <c r="B2013" s="32">
        <v>2</v>
      </c>
      <c r="C2013" s="66" t="s">
        <v>48</v>
      </c>
      <c r="D2013" s="64">
        <v>42467</v>
      </c>
      <c r="E2013">
        <v>2.9193841709341584E-2</v>
      </c>
      <c r="F2013" s="1">
        <v>5.8370112985352392E-2</v>
      </c>
      <c r="G2013" s="40">
        <f t="shared" si="81"/>
        <v>0</v>
      </c>
      <c r="H2013" s="33">
        <f t="shared" si="82"/>
        <v>-5.8370112985352392E-2</v>
      </c>
      <c r="I2013" s="43"/>
    </row>
    <row r="2014" spans="2:9" ht="15">
      <c r="B2014" s="32">
        <v>2</v>
      </c>
      <c r="C2014" s="66" t="s">
        <v>48</v>
      </c>
      <c r="D2014" s="64">
        <v>42468</v>
      </c>
      <c r="E2014">
        <v>2.1203575896595162E-2</v>
      </c>
      <c r="F2014" s="1">
        <v>6.8210591854135014E-2</v>
      </c>
      <c r="G2014" s="40">
        <f t="shared" si="81"/>
        <v>0</v>
      </c>
      <c r="H2014" s="33">
        <f t="shared" si="82"/>
        <v>-6.8210591854135014E-2</v>
      </c>
      <c r="I2014" s="43"/>
    </row>
    <row r="2015" spans="2:9" ht="15">
      <c r="B2015" s="32">
        <v>2</v>
      </c>
      <c r="C2015" s="66" t="s">
        <v>48</v>
      </c>
      <c r="D2015" s="64">
        <v>42471</v>
      </c>
      <c r="E2015">
        <v>2.3994980847096059E-2</v>
      </c>
      <c r="F2015" s="1">
        <v>5.888354370595851E-2</v>
      </c>
      <c r="G2015" s="40">
        <f t="shared" si="81"/>
        <v>0</v>
      </c>
      <c r="H2015" s="33">
        <f t="shared" si="82"/>
        <v>-5.888354370595851E-2</v>
      </c>
      <c r="I2015" s="43"/>
    </row>
    <row r="2016" spans="2:9" ht="15">
      <c r="B2016" s="32">
        <v>2</v>
      </c>
      <c r="C2016" s="66" t="s">
        <v>48</v>
      </c>
      <c r="D2016" s="64">
        <v>42472</v>
      </c>
      <c r="E2016">
        <v>1.2565537116000058E-2</v>
      </c>
      <c r="F2016" s="1">
        <v>5.1093005921107999E-2</v>
      </c>
      <c r="G2016" s="40">
        <f t="shared" si="81"/>
        <v>0</v>
      </c>
      <c r="H2016" s="33">
        <f t="shared" si="82"/>
        <v>-5.1093005921107999E-2</v>
      </c>
      <c r="I2016" s="43"/>
    </row>
    <row r="2017" spans="2:9" ht="15">
      <c r="B2017" s="32">
        <v>2</v>
      </c>
      <c r="C2017" s="66" t="s">
        <v>48</v>
      </c>
      <c r="D2017" s="64">
        <v>42473</v>
      </c>
      <c r="E2017">
        <v>4.4464675534117148E-3</v>
      </c>
      <c r="F2017" s="1">
        <v>5.7277154623918955E-2</v>
      </c>
      <c r="G2017" s="40">
        <f t="shared" si="81"/>
        <v>0</v>
      </c>
      <c r="H2017" s="33">
        <f t="shared" si="82"/>
        <v>-5.7277154623918955E-2</v>
      </c>
      <c r="I2017" s="43"/>
    </row>
    <row r="2018" spans="2:9" ht="15">
      <c r="B2018" s="32">
        <v>2</v>
      </c>
      <c r="C2018" s="66" t="s">
        <v>48</v>
      </c>
      <c r="D2018" s="64">
        <v>42474</v>
      </c>
      <c r="E2018">
        <v>5.9215493556914467E-3</v>
      </c>
      <c r="F2018" s="1">
        <v>6.2244731112279635E-2</v>
      </c>
      <c r="G2018" s="40">
        <f t="shared" si="81"/>
        <v>0</v>
      </c>
      <c r="H2018" s="33">
        <f t="shared" si="82"/>
        <v>-6.2244731112279635E-2</v>
      </c>
      <c r="I2018" s="43"/>
    </row>
    <row r="2019" spans="2:9" ht="15">
      <c r="B2019" s="32">
        <v>2</v>
      </c>
      <c r="C2019" s="66" t="s">
        <v>48</v>
      </c>
      <c r="D2019" s="64">
        <v>42475</v>
      </c>
      <c r="E2019">
        <v>-2.3673166872049123E-3</v>
      </c>
      <c r="F2019" s="1">
        <v>5.2820694619272746E-2</v>
      </c>
      <c r="G2019" s="40">
        <f t="shared" si="81"/>
        <v>0</v>
      </c>
      <c r="H2019" s="33">
        <f t="shared" si="82"/>
        <v>-5.2820694619272746E-2</v>
      </c>
      <c r="I2019" s="43"/>
    </row>
    <row r="2020" spans="2:9" ht="15">
      <c r="B2020" s="32">
        <v>2</v>
      </c>
      <c r="C2020" s="66" t="s">
        <v>48</v>
      </c>
      <c r="D2020" s="64">
        <v>42478</v>
      </c>
      <c r="E2020">
        <v>-1.3962991921552259E-2</v>
      </c>
      <c r="F2020" s="1">
        <v>4.4983483647580452E-2</v>
      </c>
      <c r="G2020" s="40">
        <f t="shared" si="81"/>
        <v>0</v>
      </c>
      <c r="H2020" s="33">
        <f t="shared" si="82"/>
        <v>-4.4983483647580452E-2</v>
      </c>
      <c r="I2020" s="43"/>
    </row>
    <row r="2021" spans="2:9" ht="15">
      <c r="B2021" s="32">
        <v>2</v>
      </c>
      <c r="C2021" s="66" t="s">
        <v>48</v>
      </c>
      <c r="D2021" s="64">
        <v>42479</v>
      </c>
      <c r="E2021">
        <v>-9.263123067326795E-3</v>
      </c>
      <c r="F2021" s="1">
        <v>4.5837198932122125E-2</v>
      </c>
      <c r="G2021" s="40">
        <f t="shared" si="81"/>
        <v>0</v>
      </c>
      <c r="H2021" s="33">
        <f t="shared" si="82"/>
        <v>-4.5837198932122125E-2</v>
      </c>
      <c r="I2021" s="43"/>
    </row>
    <row r="2022" spans="2:9" ht="15">
      <c r="B2022" s="32">
        <v>2</v>
      </c>
      <c r="C2022" s="66" t="s">
        <v>48</v>
      </c>
      <c r="D2022" s="64">
        <v>42480</v>
      </c>
      <c r="E2022">
        <v>-1.8738877523168718E-2</v>
      </c>
      <c r="F2022" s="1">
        <v>4.0699889259307002E-2</v>
      </c>
      <c r="G2022" s="40">
        <f t="shared" si="81"/>
        <v>0</v>
      </c>
      <c r="H2022" s="33">
        <f t="shared" si="82"/>
        <v>-4.0699889259307002E-2</v>
      </c>
      <c r="I2022" s="43"/>
    </row>
    <row r="2023" spans="2:9" ht="15">
      <c r="B2023" s="32">
        <v>2</v>
      </c>
      <c r="C2023" s="66" t="s">
        <v>48</v>
      </c>
      <c r="D2023" s="64">
        <v>42481</v>
      </c>
      <c r="E2023">
        <v>-1.9485897311271927E-2</v>
      </c>
      <c r="F2023" s="1">
        <v>3.4661906816132258E-2</v>
      </c>
      <c r="G2023" s="40">
        <f t="shared" si="81"/>
        <v>0</v>
      </c>
      <c r="H2023" s="33">
        <f t="shared" si="82"/>
        <v>-3.4661906816132258E-2</v>
      </c>
      <c r="I2023" s="43"/>
    </row>
    <row r="2024" spans="2:9" ht="15">
      <c r="B2024" s="32">
        <v>2</v>
      </c>
      <c r="C2024" s="66" t="s">
        <v>48</v>
      </c>
      <c r="D2024" s="64">
        <v>42482</v>
      </c>
      <c r="E2024">
        <v>-1.9772792565117214E-2</v>
      </c>
      <c r="F2024" s="1">
        <v>3.5720869190495372E-2</v>
      </c>
      <c r="G2024" s="40">
        <f t="shared" si="81"/>
        <v>0</v>
      </c>
      <c r="H2024" s="33">
        <f t="shared" si="82"/>
        <v>-3.5720869190495372E-2</v>
      </c>
      <c r="I2024" s="43"/>
    </row>
    <row r="2025" spans="2:9" ht="15">
      <c r="B2025" s="32">
        <v>2</v>
      </c>
      <c r="C2025" s="66" t="s">
        <v>48</v>
      </c>
      <c r="D2025" s="64">
        <v>42485</v>
      </c>
      <c r="E2025">
        <v>-1.4789492306986673E-2</v>
      </c>
      <c r="F2025" s="1">
        <v>3.0310735143669113E-2</v>
      </c>
      <c r="G2025" s="40">
        <f t="shared" si="81"/>
        <v>0</v>
      </c>
      <c r="H2025" s="33">
        <f t="shared" si="82"/>
        <v>-3.0310735143669113E-2</v>
      </c>
      <c r="I2025" s="43"/>
    </row>
    <row r="2026" spans="2:9" ht="15">
      <c r="B2026" s="32">
        <v>2</v>
      </c>
      <c r="C2026" s="66" t="s">
        <v>48</v>
      </c>
      <c r="D2026" s="64">
        <v>42486</v>
      </c>
      <c r="E2026">
        <v>-1.5907279523792006E-2</v>
      </c>
      <c r="F2026" s="1">
        <v>2.6670950826412028E-2</v>
      </c>
      <c r="G2026" s="40">
        <f t="shared" si="81"/>
        <v>0</v>
      </c>
      <c r="H2026" s="33">
        <f t="shared" si="82"/>
        <v>-2.6670950826412028E-2</v>
      </c>
      <c r="I2026" s="43"/>
    </row>
    <row r="2027" spans="2:9" ht="15">
      <c r="B2027" s="32">
        <v>2</v>
      </c>
      <c r="C2027" s="66" t="s">
        <v>48</v>
      </c>
      <c r="D2027" s="64">
        <v>42487</v>
      </c>
      <c r="E2027">
        <v>-5.1489079178717034E-3</v>
      </c>
      <c r="F2027" s="1">
        <v>2.3774162667895553E-2</v>
      </c>
      <c r="G2027" s="40">
        <f t="shared" si="81"/>
        <v>0</v>
      </c>
      <c r="H2027" s="33">
        <f t="shared" si="82"/>
        <v>-2.3774162667895553E-2</v>
      </c>
      <c r="I2027" s="43"/>
    </row>
    <row r="2028" spans="2:9" ht="15">
      <c r="B2028" s="32">
        <v>2</v>
      </c>
      <c r="C2028" s="66" t="s">
        <v>48</v>
      </c>
      <c r="D2028" s="64">
        <v>42488</v>
      </c>
      <c r="E2028">
        <v>-5.4827952660776447E-3</v>
      </c>
      <c r="F2028" s="1">
        <v>2.1168523932350539E-2</v>
      </c>
      <c r="G2028" s="40">
        <f t="shared" si="81"/>
        <v>0</v>
      </c>
      <c r="H2028" s="33">
        <f t="shared" si="82"/>
        <v>-2.1168523932350539E-2</v>
      </c>
      <c r="I2028" s="43"/>
    </row>
    <row r="2029" spans="2:9" ht="15">
      <c r="B2029" s="32">
        <v>2</v>
      </c>
      <c r="C2029" s="66" t="s">
        <v>48</v>
      </c>
      <c r="D2029" s="64">
        <v>42489</v>
      </c>
      <c r="E2029">
        <v>-5.7632542565766443E-4</v>
      </c>
      <c r="F2029" s="1">
        <v>4.0321528081224793E-2</v>
      </c>
      <c r="G2029" s="40">
        <f t="shared" si="81"/>
        <v>0</v>
      </c>
      <c r="H2029" s="33">
        <f t="shared" si="82"/>
        <v>-4.0321528081224793E-2</v>
      </c>
      <c r="I2029" s="43"/>
    </row>
    <row r="2030" spans="2:9" ht="15">
      <c r="B2030" s="32">
        <v>2</v>
      </c>
      <c r="C2030" s="66" t="s">
        <v>48</v>
      </c>
      <c r="D2030" s="64">
        <v>42492</v>
      </c>
      <c r="E2030">
        <v>-1.68703663414842E-2</v>
      </c>
      <c r="F2030" s="1">
        <v>3.9509787464206678E-2</v>
      </c>
      <c r="G2030" s="40">
        <f t="shared" si="81"/>
        <v>0</v>
      </c>
      <c r="H2030" s="33">
        <f t="shared" si="82"/>
        <v>-3.9509787464206678E-2</v>
      </c>
      <c r="I2030" s="43"/>
    </row>
    <row r="2031" spans="2:9" ht="15">
      <c r="B2031" s="32">
        <v>2</v>
      </c>
      <c r="C2031" s="66" t="s">
        <v>48</v>
      </c>
      <c r="D2031" s="64">
        <v>42493</v>
      </c>
      <c r="E2031">
        <v>1.5931098189074788E-3</v>
      </c>
      <c r="F2031" s="1">
        <v>4.5177974044646005E-2</v>
      </c>
      <c r="G2031" s="40">
        <f t="shared" si="81"/>
        <v>0</v>
      </c>
      <c r="H2031" s="33">
        <f t="shared" si="82"/>
        <v>-4.5177974044646005E-2</v>
      </c>
      <c r="I2031" s="43"/>
    </row>
    <row r="2032" spans="2:9" ht="15">
      <c r="B2032" s="32">
        <v>2</v>
      </c>
      <c r="C2032" s="66" t="s">
        <v>48</v>
      </c>
      <c r="D2032" s="64">
        <v>42494</v>
      </c>
      <c r="E2032">
        <v>-1.9081709437873684E-3</v>
      </c>
      <c r="F2032" s="1">
        <v>5.1189211824737825E-2</v>
      </c>
      <c r="G2032" s="40">
        <f t="shared" si="81"/>
        <v>0</v>
      </c>
      <c r="H2032" s="33">
        <f t="shared" si="82"/>
        <v>-5.1189211824737825E-2</v>
      </c>
      <c r="I2032" s="43"/>
    </row>
    <row r="2033" spans="2:9" ht="15">
      <c r="B2033" s="32">
        <v>2</v>
      </c>
      <c r="C2033" s="66" t="s">
        <v>48</v>
      </c>
      <c r="D2033" s="64">
        <v>42495</v>
      </c>
      <c r="E2033">
        <v>-1.4639767207391685E-3</v>
      </c>
      <c r="F2033" s="1">
        <v>4.9233454521016497E-2</v>
      </c>
      <c r="G2033" s="40">
        <f t="shared" si="81"/>
        <v>0</v>
      </c>
      <c r="H2033" s="33">
        <f t="shared" si="82"/>
        <v>-4.9233454521016497E-2</v>
      </c>
      <c r="I2033" s="43"/>
    </row>
    <row r="2034" spans="2:9" ht="15">
      <c r="B2034" s="32">
        <v>2</v>
      </c>
      <c r="C2034" s="66" t="s">
        <v>48</v>
      </c>
      <c r="D2034" s="64">
        <v>42496</v>
      </c>
      <c r="E2034">
        <v>-8.3471819985234674E-3</v>
      </c>
      <c r="F2034" s="1">
        <v>4.1786333030137068E-2</v>
      </c>
      <c r="G2034" s="40">
        <f t="shared" si="81"/>
        <v>0</v>
      </c>
      <c r="H2034" s="33">
        <f t="shared" si="82"/>
        <v>-4.1786333030137068E-2</v>
      </c>
      <c r="I2034" s="43"/>
    </row>
    <row r="2035" spans="2:9" ht="15">
      <c r="B2035" s="32">
        <v>2</v>
      </c>
      <c r="C2035" s="66" t="s">
        <v>48</v>
      </c>
      <c r="D2035" s="64">
        <v>42499</v>
      </c>
      <c r="E2035">
        <v>-3.0989358253856736E-3</v>
      </c>
      <c r="F2035" s="1">
        <v>3.7542335186110228E-2</v>
      </c>
      <c r="G2035" s="40">
        <f t="shared" si="81"/>
        <v>0</v>
      </c>
      <c r="H2035" s="33">
        <f t="shared" si="82"/>
        <v>-3.7542335186110228E-2</v>
      </c>
      <c r="I2035" s="43"/>
    </row>
    <row r="2036" spans="2:9" ht="15">
      <c r="B2036" s="32">
        <v>2</v>
      </c>
      <c r="C2036" s="66" t="s">
        <v>48</v>
      </c>
      <c r="D2036" s="64">
        <v>42500</v>
      </c>
      <c r="E2036">
        <v>-1.7592937884665538E-2</v>
      </c>
      <c r="F2036" s="1">
        <v>3.199037839462756E-2</v>
      </c>
      <c r="G2036" s="40">
        <f t="shared" si="81"/>
        <v>0</v>
      </c>
      <c r="H2036" s="33">
        <f t="shared" si="82"/>
        <v>-3.199037839462756E-2</v>
      </c>
      <c r="I2036" s="43"/>
    </row>
    <row r="2037" spans="2:9" ht="15">
      <c r="B2037" s="32">
        <v>2</v>
      </c>
      <c r="C2037" s="66" t="s">
        <v>48</v>
      </c>
      <c r="D2037" s="64">
        <v>42501</v>
      </c>
      <c r="E2037">
        <v>5.6032229255160715E-3</v>
      </c>
      <c r="F2037" s="1">
        <v>5.5400375640005189E-2</v>
      </c>
      <c r="G2037" s="40">
        <f t="shared" si="81"/>
        <v>0</v>
      </c>
      <c r="H2037" s="33">
        <f t="shared" si="82"/>
        <v>-5.5400375640005189E-2</v>
      </c>
      <c r="I2037" s="43"/>
    </row>
    <row r="2038" spans="2:9" ht="15">
      <c r="B2038" s="32">
        <v>2</v>
      </c>
      <c r="C2038" s="66" t="s">
        <v>48</v>
      </c>
      <c r="D2038" s="64">
        <v>42502</v>
      </c>
      <c r="E2038">
        <v>1.2723231854144146E-2</v>
      </c>
      <c r="F2038" s="1">
        <v>6.0071152319583633E-2</v>
      </c>
      <c r="G2038" s="40">
        <f t="shared" si="81"/>
        <v>0</v>
      </c>
      <c r="H2038" s="33">
        <f t="shared" si="82"/>
        <v>-6.0071152319583633E-2</v>
      </c>
      <c r="I2038" s="43"/>
    </row>
    <row r="2039" spans="2:9" ht="15">
      <c r="B2039" s="32">
        <v>2</v>
      </c>
      <c r="C2039" s="66" t="s">
        <v>48</v>
      </c>
      <c r="D2039" s="64">
        <v>42503</v>
      </c>
      <c r="E2039">
        <v>2.1027200127722523E-2</v>
      </c>
      <c r="F2039" s="1">
        <v>5.0976332336269338E-2</v>
      </c>
      <c r="G2039" s="40">
        <f t="shared" si="81"/>
        <v>0</v>
      </c>
      <c r="H2039" s="33">
        <f t="shared" si="82"/>
        <v>-5.0976332336269338E-2</v>
      </c>
      <c r="I2039" s="43"/>
    </row>
    <row r="2040" spans="2:9" ht="15">
      <c r="B2040" s="32">
        <v>2</v>
      </c>
      <c r="C2040" s="66" t="s">
        <v>48</v>
      </c>
      <c r="D2040" s="64">
        <v>42506</v>
      </c>
      <c r="E2040">
        <v>1.5555918587768502E-2</v>
      </c>
      <c r="F2040" s="1">
        <v>5.4493393832560459E-2</v>
      </c>
      <c r="G2040" s="40">
        <f t="shared" si="81"/>
        <v>0</v>
      </c>
      <c r="H2040" s="33">
        <f t="shared" si="82"/>
        <v>-5.4493393832560459E-2</v>
      </c>
      <c r="I2040" s="43"/>
    </row>
    <row r="2041" spans="2:9" ht="15">
      <c r="B2041" s="32">
        <v>2</v>
      </c>
      <c r="C2041" s="66" t="s">
        <v>48</v>
      </c>
      <c r="D2041" s="64">
        <v>42507</v>
      </c>
      <c r="E2041">
        <v>2.4006013160384754E-2</v>
      </c>
      <c r="F2041" s="1">
        <v>5.9818643954246756E-2</v>
      </c>
      <c r="G2041" s="40">
        <f t="shared" si="81"/>
        <v>0</v>
      </c>
      <c r="H2041" s="33">
        <f t="shared" si="82"/>
        <v>-5.9818643954246756E-2</v>
      </c>
      <c r="I2041" s="43"/>
    </row>
    <row r="2042" spans="2:9" ht="15">
      <c r="B2042" s="32">
        <v>2</v>
      </c>
      <c r="C2042" s="66" t="s">
        <v>48</v>
      </c>
      <c r="D2042" s="64">
        <v>42508</v>
      </c>
      <c r="E2042">
        <v>2.4935254123628958E-2</v>
      </c>
      <c r="F2042" s="1">
        <v>6.2699779016679044E-2</v>
      </c>
      <c r="G2042" s="40">
        <f t="shared" si="81"/>
        <v>0</v>
      </c>
      <c r="H2042" s="33">
        <f t="shared" si="82"/>
        <v>-6.2699779016679044E-2</v>
      </c>
      <c r="I2042" s="43"/>
    </row>
    <row r="2043" spans="2:9" ht="15">
      <c r="B2043" s="32">
        <v>2</v>
      </c>
      <c r="C2043" s="66" t="s">
        <v>48</v>
      </c>
      <c r="D2043" s="64">
        <v>42509</v>
      </c>
      <c r="E2043">
        <v>3.1469545072075E-2</v>
      </c>
      <c r="F2043" s="1">
        <v>5.3208520424235684E-2</v>
      </c>
      <c r="G2043" s="40">
        <f t="shared" si="81"/>
        <v>0</v>
      </c>
      <c r="H2043" s="33">
        <f t="shared" si="82"/>
        <v>-5.3208520424235684E-2</v>
      </c>
      <c r="I2043" s="43"/>
    </row>
    <row r="2044" spans="2:9" ht="15">
      <c r="B2044" s="32">
        <v>2</v>
      </c>
      <c r="C2044" s="66" t="s">
        <v>48</v>
      </c>
      <c r="D2044" s="64">
        <v>42510</v>
      </c>
      <c r="E2044">
        <v>2.2552023735039839E-2</v>
      </c>
      <c r="F2044" s="1">
        <v>4.74067668905232E-2</v>
      </c>
      <c r="G2044" s="40">
        <f t="shared" si="81"/>
        <v>0</v>
      </c>
      <c r="H2044" s="33">
        <f t="shared" si="82"/>
        <v>-4.74067668905232E-2</v>
      </c>
      <c r="I2044" s="43"/>
    </row>
    <row r="2045" spans="2:9" ht="15">
      <c r="B2045" s="32">
        <v>2</v>
      </c>
      <c r="C2045" s="66" t="s">
        <v>48</v>
      </c>
      <c r="D2045" s="64">
        <v>42513</v>
      </c>
      <c r="E2045">
        <v>2.9524988536741681E-2</v>
      </c>
      <c r="F2045" s="1">
        <v>4.6517882830769068E-2</v>
      </c>
      <c r="G2045" s="40">
        <f t="shared" si="81"/>
        <v>0</v>
      </c>
      <c r="H2045" s="33">
        <f t="shared" si="82"/>
        <v>-4.6517882830769068E-2</v>
      </c>
      <c r="I2045" s="43"/>
    </row>
    <row r="2046" spans="2:9" ht="15">
      <c r="B2046" s="32">
        <v>2</v>
      </c>
      <c r="C2046" s="66" t="s">
        <v>48</v>
      </c>
      <c r="D2046" s="64">
        <v>42514</v>
      </c>
      <c r="E2046">
        <v>1.7224966546373288E-2</v>
      </c>
      <c r="F2046" s="1">
        <v>4.0299617707616163E-2</v>
      </c>
      <c r="G2046" s="40">
        <f t="shared" si="81"/>
        <v>0</v>
      </c>
      <c r="H2046" s="33">
        <f t="shared" si="82"/>
        <v>-4.0299617707616163E-2</v>
      </c>
      <c r="I2046" s="43"/>
    </row>
    <row r="2047" spans="2:9" ht="15">
      <c r="B2047" s="32">
        <v>2</v>
      </c>
      <c r="C2047" s="66" t="s">
        <v>48</v>
      </c>
      <c r="D2047" s="64">
        <v>42515</v>
      </c>
      <c r="E2047">
        <v>1.3578538915070659E-2</v>
      </c>
      <c r="F2047" s="1">
        <v>6.2987273169307717E-2</v>
      </c>
      <c r="G2047" s="40">
        <f t="shared" si="81"/>
        <v>0</v>
      </c>
      <c r="H2047" s="33">
        <f t="shared" si="82"/>
        <v>-6.2987273169307717E-2</v>
      </c>
      <c r="I2047" s="43"/>
    </row>
    <row r="2048" spans="2:9" ht="15">
      <c r="B2048" s="32">
        <v>2</v>
      </c>
      <c r="C2048" s="66" t="s">
        <v>48</v>
      </c>
      <c r="D2048" s="64">
        <v>42516</v>
      </c>
      <c r="E2048">
        <v>1.2069769039642964E-2</v>
      </c>
      <c r="F2048" s="1">
        <v>5.9904753921504746E-2</v>
      </c>
      <c r="G2048" s="40">
        <f t="shared" si="81"/>
        <v>0</v>
      </c>
      <c r="H2048" s="33">
        <f t="shared" si="82"/>
        <v>-5.9904753921504746E-2</v>
      </c>
      <c r="I2048" s="43"/>
    </row>
    <row r="2049" spans="2:9" ht="15">
      <c r="B2049" s="32">
        <v>2</v>
      </c>
      <c r="C2049" s="66" t="s">
        <v>48</v>
      </c>
      <c r="D2049" s="64">
        <v>42517</v>
      </c>
      <c r="E2049">
        <v>-1.4254582889074996E-3</v>
      </c>
      <c r="F2049" s="1">
        <v>5.0837471410600202E-2</v>
      </c>
      <c r="G2049" s="40">
        <f t="shared" si="81"/>
        <v>0</v>
      </c>
      <c r="H2049" s="33">
        <f t="shared" si="82"/>
        <v>-5.0837471410600202E-2</v>
      </c>
      <c r="I2049" s="43"/>
    </row>
    <row r="2050" spans="2:9" ht="15">
      <c r="B2050" s="32">
        <v>2</v>
      </c>
      <c r="C2050" s="66" t="s">
        <v>48</v>
      </c>
      <c r="D2050" s="64">
        <v>42521</v>
      </c>
      <c r="E2050">
        <v>-8.5679878156703637E-3</v>
      </c>
      <c r="F2050" s="1">
        <v>4.6239466915639786E-2</v>
      </c>
      <c r="G2050" s="40">
        <f t="shared" si="81"/>
        <v>0</v>
      </c>
      <c r="H2050" s="33">
        <f t="shared" si="82"/>
        <v>-4.6239466915639786E-2</v>
      </c>
      <c r="I2050" s="43"/>
    </row>
    <row r="2051" spans="2:9" ht="15">
      <c r="B2051" s="32">
        <v>2</v>
      </c>
      <c r="C2051" s="66" t="s">
        <v>48</v>
      </c>
      <c r="D2051" s="64">
        <v>42522</v>
      </c>
      <c r="E2051">
        <v>-1.1502891932556381E-2</v>
      </c>
      <c r="F2051" s="1">
        <v>3.9430346445995253E-2</v>
      </c>
      <c r="G2051" s="40">
        <f t="shared" si="81"/>
        <v>0</v>
      </c>
      <c r="H2051" s="33">
        <f t="shared" si="82"/>
        <v>-3.9430346445995253E-2</v>
      </c>
      <c r="I2051" s="43"/>
    </row>
    <row r="2052" spans="2:9" ht="15">
      <c r="B2052" s="32">
        <v>2</v>
      </c>
      <c r="C2052" s="66" t="s">
        <v>48</v>
      </c>
      <c r="D2052" s="64">
        <v>42523</v>
      </c>
      <c r="E2052">
        <v>-1.6165997161058598E-2</v>
      </c>
      <c r="F2052" s="1">
        <v>3.3747915279765041E-2</v>
      </c>
      <c r="G2052" s="40">
        <f t="shared" si="81"/>
        <v>0</v>
      </c>
      <c r="H2052" s="33">
        <f t="shared" si="82"/>
        <v>-3.3747915279765041E-2</v>
      </c>
      <c r="I2052" s="43"/>
    </row>
    <row r="2053" spans="2:9" ht="15">
      <c r="B2053" s="32">
        <v>2</v>
      </c>
      <c r="C2053" s="66" t="s">
        <v>48</v>
      </c>
      <c r="D2053" s="64">
        <v>42524</v>
      </c>
      <c r="E2053">
        <v>-1.0121841904101814E-2</v>
      </c>
      <c r="F2053" s="1">
        <v>3.0669012753939993E-2</v>
      </c>
      <c r="G2053" s="40">
        <f t="shared" si="81"/>
        <v>0</v>
      </c>
      <c r="H2053" s="33">
        <f t="shared" si="82"/>
        <v>-3.0669012753939993E-2</v>
      </c>
      <c r="I2053" s="43"/>
    </row>
    <row r="2054" spans="2:9" ht="15">
      <c r="B2054" s="32">
        <v>2</v>
      </c>
      <c r="C2054" s="66" t="s">
        <v>48</v>
      </c>
      <c r="D2054" s="64">
        <v>42527</v>
      </c>
      <c r="E2054">
        <v>-1.8270454170778549E-2</v>
      </c>
      <c r="F2054" s="1">
        <v>2.8391521714199831E-2</v>
      </c>
      <c r="G2054" s="40">
        <f t="shared" si="81"/>
        <v>0</v>
      </c>
      <c r="H2054" s="33">
        <f t="shared" si="82"/>
        <v>-2.8391521714199831E-2</v>
      </c>
      <c r="I2054" s="43"/>
    </row>
    <row r="2055" spans="2:9" ht="15">
      <c r="B2055" s="32">
        <v>2</v>
      </c>
      <c r="C2055" s="66" t="s">
        <v>48</v>
      </c>
      <c r="D2055" s="64">
        <v>42528</v>
      </c>
      <c r="E2055">
        <v>-1.3767687305509924E-2</v>
      </c>
      <c r="F2055" s="1">
        <v>3.0692537425772964E-2</v>
      </c>
      <c r="G2055" s="40">
        <f t="shared" si="81"/>
        <v>0</v>
      </c>
      <c r="H2055" s="33">
        <f t="shared" si="82"/>
        <v>-3.0692537425772964E-2</v>
      </c>
      <c r="I2055" s="43"/>
    </row>
    <row r="2056" spans="2:9" ht="15">
      <c r="B2056" s="32">
        <v>2</v>
      </c>
      <c r="C2056" s="66" t="s">
        <v>48</v>
      </c>
      <c r="D2056" s="64">
        <v>42529</v>
      </c>
      <c r="E2056">
        <v>-1.4363398660561799E-2</v>
      </c>
      <c r="F2056" s="1">
        <v>2.6522169223275716E-2</v>
      </c>
      <c r="G2056" s="40">
        <f t="shared" si="81"/>
        <v>0</v>
      </c>
      <c r="H2056" s="33">
        <f t="shared" si="82"/>
        <v>-2.6522169223275716E-2</v>
      </c>
      <c r="I2056" s="43"/>
    </row>
    <row r="2057" spans="2:9" ht="15">
      <c r="B2057" s="32">
        <v>2</v>
      </c>
      <c r="C2057" s="66" t="s">
        <v>48</v>
      </c>
      <c r="D2057" s="64">
        <v>42530</v>
      </c>
      <c r="E2057">
        <v>-1.4297091843999965E-2</v>
      </c>
      <c r="F2057" s="1">
        <v>2.5920962545249379E-2</v>
      </c>
      <c r="G2057" s="40">
        <f t="shared" si="81"/>
        <v>0</v>
      </c>
      <c r="H2057" s="33">
        <f t="shared" si="82"/>
        <v>-2.5920962545249379E-2</v>
      </c>
      <c r="I2057" s="43"/>
    </row>
    <row r="2058" spans="2:9" ht="15">
      <c r="B2058" s="32">
        <v>2</v>
      </c>
      <c r="C2058" s="66" t="s">
        <v>48</v>
      </c>
      <c r="D2058" s="64">
        <v>42531</v>
      </c>
      <c r="E2058">
        <v>8.1960075003566502E-3</v>
      </c>
      <c r="F2058" s="1">
        <v>2.2990324937973598E-2</v>
      </c>
      <c r="G2058" s="40">
        <f t="shared" si="81"/>
        <v>0</v>
      </c>
      <c r="H2058" s="33">
        <f t="shared" si="82"/>
        <v>-2.2990324937973598E-2</v>
      </c>
      <c r="I2058" s="43"/>
    </row>
    <row r="2059" spans="2:9" ht="15">
      <c r="B2059" s="32">
        <v>2</v>
      </c>
      <c r="C2059" s="66" t="s">
        <v>48</v>
      </c>
      <c r="D2059" s="64">
        <v>42534</v>
      </c>
      <c r="E2059">
        <v>-2.0236486800510711E-2</v>
      </c>
      <c r="F2059" s="1">
        <v>4.0841502897121941E-2</v>
      </c>
      <c r="G2059" s="40">
        <f t="shared" ref="G2059:G2122" si="83">--(E2059&lt;-F2059)</f>
        <v>0</v>
      </c>
      <c r="H2059" s="33">
        <f t="shared" ref="H2059:H2122" si="84">-F2059</f>
        <v>-4.0841502897121941E-2</v>
      </c>
      <c r="I2059" s="43"/>
    </row>
    <row r="2060" spans="2:9" ht="15">
      <c r="B2060" s="32">
        <v>2</v>
      </c>
      <c r="C2060" s="66" t="s">
        <v>48</v>
      </c>
      <c r="D2060" s="64">
        <v>42535</v>
      </c>
      <c r="E2060">
        <v>-3.6698227814722983E-2</v>
      </c>
      <c r="F2060" s="1">
        <v>4.6979575739167716E-2</v>
      </c>
      <c r="G2060" s="40">
        <f t="shared" si="83"/>
        <v>0</v>
      </c>
      <c r="H2060" s="33">
        <f t="shared" si="84"/>
        <v>-4.6979575739167716E-2</v>
      </c>
      <c r="I2060" s="43"/>
    </row>
    <row r="2061" spans="2:9" ht="15">
      <c r="B2061" s="32">
        <v>2</v>
      </c>
      <c r="C2061" s="66" t="s">
        <v>48</v>
      </c>
      <c r="D2061" s="64">
        <v>42536</v>
      </c>
      <c r="E2061">
        <v>-1.7241697200497619E-2</v>
      </c>
      <c r="F2061" s="1">
        <v>4.0474958545556883E-2</v>
      </c>
      <c r="G2061" s="40">
        <f t="shared" si="83"/>
        <v>0</v>
      </c>
      <c r="H2061" s="33">
        <f t="shared" si="84"/>
        <v>-4.0474958545556883E-2</v>
      </c>
      <c r="I2061" s="43"/>
    </row>
    <row r="2062" spans="2:9" ht="15">
      <c r="B2062" s="32">
        <v>2</v>
      </c>
      <c r="C2062" s="66" t="s">
        <v>48</v>
      </c>
      <c r="D2062" s="64">
        <v>42537</v>
      </c>
      <c r="E2062">
        <v>-3.4805470893859436E-3</v>
      </c>
      <c r="F2062" s="1">
        <v>3.5085003619287472E-2</v>
      </c>
      <c r="G2062" s="40">
        <f t="shared" si="83"/>
        <v>0</v>
      </c>
      <c r="H2062" s="33">
        <f t="shared" si="84"/>
        <v>-3.5085003619287472E-2</v>
      </c>
      <c r="I2062" s="43"/>
    </row>
    <row r="2063" spans="2:9" ht="15">
      <c r="B2063" s="32">
        <v>2</v>
      </c>
      <c r="C2063" s="66" t="s">
        <v>48</v>
      </c>
      <c r="D2063" s="64">
        <v>42538</v>
      </c>
      <c r="E2063">
        <v>1.3256599521199952E-2</v>
      </c>
      <c r="F2063" s="1">
        <v>3.2164638196645556E-2</v>
      </c>
      <c r="G2063" s="40">
        <f t="shared" si="83"/>
        <v>0</v>
      </c>
      <c r="H2063" s="33">
        <f t="shared" si="84"/>
        <v>-3.2164638196645556E-2</v>
      </c>
      <c r="I2063" s="43"/>
    </row>
    <row r="2064" spans="2:9" ht="15">
      <c r="B2064" s="32">
        <v>2</v>
      </c>
      <c r="C2064" s="66" t="s">
        <v>48</v>
      </c>
      <c r="D2064" s="64">
        <v>42541</v>
      </c>
      <c r="E2064">
        <v>9.4119232984128942E-3</v>
      </c>
      <c r="F2064" s="1">
        <v>3.0104051425780275E-2</v>
      </c>
      <c r="G2064" s="40">
        <f t="shared" si="83"/>
        <v>0</v>
      </c>
      <c r="H2064" s="33">
        <f t="shared" si="84"/>
        <v>-3.0104051425780275E-2</v>
      </c>
      <c r="I2064" s="43"/>
    </row>
    <row r="2065" spans="2:9" ht="15">
      <c r="B2065" s="32">
        <v>2</v>
      </c>
      <c r="C2065" s="66" t="s">
        <v>48</v>
      </c>
      <c r="D2065" s="64">
        <v>42542</v>
      </c>
      <c r="E2065">
        <v>-1.6749596281062651E-4</v>
      </c>
      <c r="F2065" s="1">
        <v>3.4069727857929777E-2</v>
      </c>
      <c r="G2065" s="40">
        <f t="shared" si="83"/>
        <v>0</v>
      </c>
      <c r="H2065" s="33">
        <f t="shared" si="84"/>
        <v>-3.4069727857929777E-2</v>
      </c>
      <c r="I2065" s="43"/>
    </row>
    <row r="2066" spans="2:9" ht="15">
      <c r="B2066" s="32">
        <v>2</v>
      </c>
      <c r="C2066" s="66" t="s">
        <v>48</v>
      </c>
      <c r="D2066" s="64">
        <v>42543</v>
      </c>
      <c r="E2066">
        <v>6.8241197043610313E-3</v>
      </c>
      <c r="F2066" s="1">
        <v>3.0771620107529016E-2</v>
      </c>
      <c r="G2066" s="40">
        <f t="shared" si="83"/>
        <v>0</v>
      </c>
      <c r="H2066" s="33">
        <f t="shared" si="84"/>
        <v>-3.0771620107529016E-2</v>
      </c>
      <c r="I2066" s="43"/>
    </row>
    <row r="2067" spans="2:9" ht="15">
      <c r="B2067" s="32">
        <v>2</v>
      </c>
      <c r="C2067" s="66" t="s">
        <v>48</v>
      </c>
      <c r="D2067" s="64">
        <v>42544</v>
      </c>
      <c r="E2067">
        <v>-7.3234051073027828E-3</v>
      </c>
      <c r="F2067" s="1">
        <v>2.6891711346936936E-2</v>
      </c>
      <c r="G2067" s="40">
        <f t="shared" si="83"/>
        <v>0</v>
      </c>
      <c r="H2067" s="33">
        <f t="shared" si="84"/>
        <v>-2.6891711346936936E-2</v>
      </c>
      <c r="I2067" s="43"/>
    </row>
    <row r="2068" spans="2:9" ht="15">
      <c r="B2068" s="32">
        <v>2</v>
      </c>
      <c r="C2068" s="66" t="s">
        <v>48</v>
      </c>
      <c r="D2068" s="64">
        <v>42545</v>
      </c>
      <c r="E2068">
        <v>4.4395574184875386E-2</v>
      </c>
      <c r="F2068" s="1">
        <v>5.6491652783971669E-2</v>
      </c>
      <c r="G2068" s="40">
        <f t="shared" si="83"/>
        <v>0</v>
      </c>
      <c r="H2068" s="33">
        <f t="shared" si="84"/>
        <v>-5.6491652783971669E-2</v>
      </c>
      <c r="I2068" s="43"/>
    </row>
    <row r="2069" spans="2:9" ht="15">
      <c r="B2069" s="32">
        <v>2</v>
      </c>
      <c r="C2069" s="66" t="s">
        <v>48</v>
      </c>
      <c r="D2069" s="64">
        <v>42548</v>
      </c>
      <c r="E2069">
        <v>6.6060640061839315E-2</v>
      </c>
      <c r="F2069" s="1">
        <v>0.15025046366399653</v>
      </c>
      <c r="G2069" s="40">
        <f t="shared" si="83"/>
        <v>0</v>
      </c>
      <c r="H2069" s="33">
        <f t="shared" si="84"/>
        <v>-0.15025046366399653</v>
      </c>
      <c r="I2069" s="43"/>
    </row>
    <row r="2070" spans="2:9" ht="15">
      <c r="B2070" s="32">
        <v>2</v>
      </c>
      <c r="C2070" s="66" t="s">
        <v>48</v>
      </c>
      <c r="D2070" s="64">
        <v>42549</v>
      </c>
      <c r="E2070">
        <v>5.5431360892807646E-2</v>
      </c>
      <c r="F2070" s="1">
        <v>0.14597232100824981</v>
      </c>
      <c r="G2070" s="40">
        <f t="shared" si="83"/>
        <v>0</v>
      </c>
      <c r="H2070" s="33">
        <f t="shared" si="84"/>
        <v>-0.14597232100824981</v>
      </c>
      <c r="I2070" s="43"/>
    </row>
    <row r="2071" spans="2:9" ht="15">
      <c r="B2071" s="32">
        <v>2</v>
      </c>
      <c r="C2071" s="66" t="s">
        <v>48</v>
      </c>
      <c r="D2071" s="64">
        <v>42550</v>
      </c>
      <c r="E2071">
        <v>3.8676876429358131E-2</v>
      </c>
      <c r="F2071" s="1">
        <v>0.14157374188288857</v>
      </c>
      <c r="G2071" s="40">
        <f t="shared" si="83"/>
        <v>0</v>
      </c>
      <c r="H2071" s="33">
        <f t="shared" si="84"/>
        <v>-0.14157374188288857</v>
      </c>
      <c r="I2071" s="43"/>
    </row>
    <row r="2072" spans="2:9" ht="15">
      <c r="B2072" s="32">
        <v>2</v>
      </c>
      <c r="C2072" s="66" t="s">
        <v>48</v>
      </c>
      <c r="D2072" s="64">
        <v>42551</v>
      </c>
      <c r="E2072">
        <v>3.0448436341992569E-2</v>
      </c>
      <c r="F2072" s="1">
        <v>0.13694333537627029</v>
      </c>
      <c r="G2072" s="40">
        <f t="shared" si="83"/>
        <v>0</v>
      </c>
      <c r="H2072" s="33">
        <f t="shared" si="84"/>
        <v>-0.13694333537627029</v>
      </c>
      <c r="I2072" s="43"/>
    </row>
    <row r="2073" spans="2:9" ht="15">
      <c r="B2073" s="32">
        <v>2</v>
      </c>
      <c r="C2073" s="66" t="s">
        <v>48</v>
      </c>
      <c r="D2073" s="64">
        <v>42552</v>
      </c>
      <c r="E2073">
        <v>2.7572350761398745E-2</v>
      </c>
      <c r="F2073" s="1">
        <v>0.12748925370263439</v>
      </c>
      <c r="G2073" s="40">
        <f t="shared" si="83"/>
        <v>0</v>
      </c>
      <c r="H2073" s="33">
        <f t="shared" si="84"/>
        <v>-0.12748925370263439</v>
      </c>
      <c r="I2073" s="43"/>
    </row>
    <row r="2074" spans="2:9" ht="15">
      <c r="B2074" s="32">
        <v>2</v>
      </c>
      <c r="C2074" s="66" t="s">
        <v>48</v>
      </c>
      <c r="D2074" s="64">
        <v>42556</v>
      </c>
      <c r="E2074">
        <v>3.6822841707953025E-2</v>
      </c>
      <c r="F2074" s="1">
        <v>0.10844331709821245</v>
      </c>
      <c r="G2074" s="40">
        <f t="shared" si="83"/>
        <v>0</v>
      </c>
      <c r="H2074" s="33">
        <f t="shared" si="84"/>
        <v>-0.10844331709821245</v>
      </c>
      <c r="I2074" s="43"/>
    </row>
    <row r="2075" spans="2:9" ht="15">
      <c r="B2075" s="32">
        <v>2</v>
      </c>
      <c r="C2075" s="66" t="s">
        <v>48</v>
      </c>
      <c r="D2075" s="64">
        <v>42557</v>
      </c>
      <c r="E2075">
        <v>3.004795012290451E-2</v>
      </c>
      <c r="F2075" s="1">
        <v>9.5825724066099821E-2</v>
      </c>
      <c r="G2075" s="40">
        <f t="shared" si="83"/>
        <v>0</v>
      </c>
      <c r="H2075" s="33">
        <f t="shared" si="84"/>
        <v>-9.5825724066099821E-2</v>
      </c>
      <c r="I2075" s="43"/>
    </row>
    <row r="2076" spans="2:9" ht="15">
      <c r="B2076" s="32">
        <v>2</v>
      </c>
      <c r="C2076" s="66" t="s">
        <v>48</v>
      </c>
      <c r="D2076" s="64">
        <v>42558</v>
      </c>
      <c r="E2076">
        <v>3.5181116618928421E-2</v>
      </c>
      <c r="F2076" s="1">
        <v>8.392462703945619E-2</v>
      </c>
      <c r="G2076" s="40">
        <f t="shared" si="83"/>
        <v>0</v>
      </c>
      <c r="H2076" s="33">
        <f t="shared" si="84"/>
        <v>-8.392462703945619E-2</v>
      </c>
      <c r="I2076" s="43"/>
    </row>
    <row r="2077" spans="2:9" ht="15">
      <c r="B2077" s="32">
        <v>2</v>
      </c>
      <c r="C2077" s="66" t="s">
        <v>48</v>
      </c>
      <c r="D2077" s="64">
        <v>42559</v>
      </c>
      <c r="E2077">
        <v>1.6423860035968296E-2</v>
      </c>
      <c r="F2077" s="1">
        <v>7.1293254889965352E-2</v>
      </c>
      <c r="G2077" s="40">
        <f t="shared" si="83"/>
        <v>0</v>
      </c>
      <c r="H2077" s="33">
        <f t="shared" si="84"/>
        <v>-7.1293254889965352E-2</v>
      </c>
      <c r="I2077" s="43"/>
    </row>
    <row r="2078" spans="2:9" ht="15">
      <c r="B2078" s="32">
        <v>2</v>
      </c>
      <c r="C2078" s="66" t="s">
        <v>48</v>
      </c>
      <c r="D2078" s="64">
        <v>42562</v>
      </c>
      <c r="E2078">
        <v>1.7564667209041041E-2</v>
      </c>
      <c r="F2078" s="1">
        <v>8.4452155951346392E-2</v>
      </c>
      <c r="G2078" s="40">
        <f t="shared" si="83"/>
        <v>0</v>
      </c>
      <c r="H2078" s="33">
        <f t="shared" si="84"/>
        <v>-8.4452155951346392E-2</v>
      </c>
      <c r="I2078" s="43"/>
    </row>
    <row r="2079" spans="2:9" ht="15">
      <c r="B2079" s="32">
        <v>2</v>
      </c>
      <c r="C2079" s="66" t="s">
        <v>48</v>
      </c>
      <c r="D2079" s="64">
        <v>42563</v>
      </c>
      <c r="E2079">
        <v>7.5638058348896919E-3</v>
      </c>
      <c r="F2079" s="1">
        <v>7.2874020226050593E-2</v>
      </c>
      <c r="G2079" s="40">
        <f t="shared" si="83"/>
        <v>0</v>
      </c>
      <c r="H2079" s="33">
        <f t="shared" si="84"/>
        <v>-7.2874020226050593E-2</v>
      </c>
      <c r="I2079" s="43"/>
    </row>
    <row r="2080" spans="2:9" ht="15">
      <c r="B2080" s="32">
        <v>2</v>
      </c>
      <c r="C2080" s="66" t="s">
        <v>48</v>
      </c>
      <c r="D2080" s="64">
        <v>42564</v>
      </c>
      <c r="E2080">
        <v>7.7517797315280745E-3</v>
      </c>
      <c r="F2080" s="1">
        <v>6.7549598334911906E-2</v>
      </c>
      <c r="G2080" s="40">
        <f t="shared" si="83"/>
        <v>0</v>
      </c>
      <c r="H2080" s="33">
        <f t="shared" si="84"/>
        <v>-6.7549598334911906E-2</v>
      </c>
      <c r="I2080" s="43"/>
    </row>
    <row r="2081" spans="2:9" ht="15">
      <c r="B2081" s="32">
        <v>2</v>
      </c>
      <c r="C2081" s="66" t="s">
        <v>48</v>
      </c>
      <c r="D2081" s="64">
        <v>42565</v>
      </c>
      <c r="E2081">
        <v>1.3070959266183735E-3</v>
      </c>
      <c r="F2081" s="1">
        <v>5.7320135308031442E-2</v>
      </c>
      <c r="G2081" s="40">
        <f t="shared" si="83"/>
        <v>0</v>
      </c>
      <c r="H2081" s="33">
        <f t="shared" si="84"/>
        <v>-5.7320135308031442E-2</v>
      </c>
      <c r="I2081" s="43"/>
    </row>
    <row r="2082" spans="2:9" ht="15">
      <c r="B2082" s="32">
        <v>2</v>
      </c>
      <c r="C2082" s="66" t="s">
        <v>48</v>
      </c>
      <c r="D2082" s="64">
        <v>42566</v>
      </c>
      <c r="E2082">
        <v>3.8413957879024352E-3</v>
      </c>
      <c r="F2082" s="1">
        <v>5.2750028089678748E-2</v>
      </c>
      <c r="G2082" s="40">
        <f t="shared" si="83"/>
        <v>0</v>
      </c>
      <c r="H2082" s="33">
        <f t="shared" si="84"/>
        <v>-5.2750028089678748E-2</v>
      </c>
      <c r="I2082" s="43"/>
    </row>
    <row r="2083" spans="2:9" ht="15">
      <c r="B2083" s="32">
        <v>2</v>
      </c>
      <c r="C2083" s="66" t="s">
        <v>48</v>
      </c>
      <c r="D2083" s="64">
        <v>42569</v>
      </c>
      <c r="E2083">
        <v>3.0919137515210693E-3</v>
      </c>
      <c r="F2083" s="1">
        <v>4.4905854120395244E-2</v>
      </c>
      <c r="G2083" s="40">
        <f t="shared" si="83"/>
        <v>0</v>
      </c>
      <c r="H2083" s="33">
        <f t="shared" si="84"/>
        <v>-4.4905854120395244E-2</v>
      </c>
      <c r="I2083" s="43"/>
    </row>
    <row r="2084" spans="2:9" ht="15">
      <c r="B2084" s="32">
        <v>2</v>
      </c>
      <c r="C2084" s="66" t="s">
        <v>48</v>
      </c>
      <c r="D2084" s="64">
        <v>42570</v>
      </c>
      <c r="E2084">
        <v>3.2575243285748456E-3</v>
      </c>
      <c r="F2084" s="1">
        <v>3.92135348288132E-2</v>
      </c>
      <c r="G2084" s="40">
        <f t="shared" si="83"/>
        <v>0</v>
      </c>
      <c r="H2084" s="33">
        <f t="shared" si="84"/>
        <v>-3.92135348288132E-2</v>
      </c>
      <c r="I2084" s="43"/>
    </row>
    <row r="2085" spans="2:9" ht="15">
      <c r="B2085" s="32">
        <v>2</v>
      </c>
      <c r="C2085" s="66" t="s">
        <v>48</v>
      </c>
      <c r="D2085" s="64">
        <v>42571</v>
      </c>
      <c r="E2085">
        <v>-7.3856253407864614E-3</v>
      </c>
      <c r="F2085" s="1">
        <v>3.3740204938863129E-2</v>
      </c>
      <c r="G2085" s="40">
        <f t="shared" si="83"/>
        <v>0</v>
      </c>
      <c r="H2085" s="33">
        <f t="shared" si="84"/>
        <v>-3.3740204938863129E-2</v>
      </c>
      <c r="I2085" s="43"/>
    </row>
    <row r="2086" spans="2:9" ht="15">
      <c r="B2086" s="32">
        <v>2</v>
      </c>
      <c r="C2086" s="66" t="s">
        <v>48</v>
      </c>
      <c r="D2086" s="64">
        <v>42572</v>
      </c>
      <c r="E2086">
        <v>-6.3751250146282246E-4</v>
      </c>
      <c r="F2086" s="1">
        <v>3.3087780295219693E-2</v>
      </c>
      <c r="G2086" s="40">
        <f t="shared" si="83"/>
        <v>0</v>
      </c>
      <c r="H2086" s="33">
        <f t="shared" si="84"/>
        <v>-3.3087780295219693E-2</v>
      </c>
      <c r="I2086" s="43"/>
    </row>
    <row r="2087" spans="2:9" ht="15">
      <c r="B2087" s="32">
        <v>2</v>
      </c>
      <c r="C2087" s="66" t="s">
        <v>48</v>
      </c>
      <c r="D2087" s="64">
        <v>42573</v>
      </c>
      <c r="E2087">
        <v>-4.9685897683753311E-3</v>
      </c>
      <c r="F2087" s="1">
        <v>3.1412255796757868E-2</v>
      </c>
      <c r="G2087" s="40">
        <f t="shared" si="83"/>
        <v>0</v>
      </c>
      <c r="H2087" s="33">
        <f t="shared" si="84"/>
        <v>-3.1412255796757868E-2</v>
      </c>
      <c r="I2087" s="43"/>
    </row>
    <row r="2088" spans="2:9" ht="15">
      <c r="B2088" s="32">
        <v>2</v>
      </c>
      <c r="C2088" s="66" t="s">
        <v>48</v>
      </c>
      <c r="D2088" s="64">
        <v>42576</v>
      </c>
      <c r="E2088">
        <v>6.6141262547114721E-3</v>
      </c>
      <c r="F2088" s="1">
        <v>3.1988724656980917E-2</v>
      </c>
      <c r="G2088" s="40">
        <f t="shared" si="83"/>
        <v>0</v>
      </c>
      <c r="H2088" s="33">
        <f t="shared" si="84"/>
        <v>-3.1988724656980917E-2</v>
      </c>
      <c r="I2088" s="43"/>
    </row>
    <row r="2089" spans="2:9" ht="15">
      <c r="B2089" s="32">
        <v>2</v>
      </c>
      <c r="C2089" s="66" t="s">
        <v>48</v>
      </c>
      <c r="D2089" s="64">
        <v>42577</v>
      </c>
      <c r="E2089">
        <v>5.3838166999504722E-3</v>
      </c>
      <c r="F2089" s="1">
        <v>2.9573646715739223E-2</v>
      </c>
      <c r="G2089" s="40">
        <f t="shared" si="83"/>
        <v>0</v>
      </c>
      <c r="H2089" s="33">
        <f t="shared" si="84"/>
        <v>-2.9573646715739223E-2</v>
      </c>
      <c r="I2089" s="43"/>
    </row>
    <row r="2090" spans="2:9" ht="15">
      <c r="B2090" s="32">
        <v>2</v>
      </c>
      <c r="C2090" s="66" t="s">
        <v>48</v>
      </c>
      <c r="D2090" s="64">
        <v>42578</v>
      </c>
      <c r="E2090">
        <v>6.9727955558152033E-3</v>
      </c>
      <c r="F2090" s="1">
        <v>2.5125499590610327E-2</v>
      </c>
      <c r="G2090" s="40">
        <f t="shared" si="83"/>
        <v>0</v>
      </c>
      <c r="H2090" s="33">
        <f t="shared" si="84"/>
        <v>-2.5125499590610327E-2</v>
      </c>
      <c r="I2090" s="43"/>
    </row>
    <row r="2091" spans="2:9" ht="15">
      <c r="B2091" s="32">
        <v>2</v>
      </c>
      <c r="C2091" s="66" t="s">
        <v>48</v>
      </c>
      <c r="D2091" s="64">
        <v>42579</v>
      </c>
      <c r="E2091">
        <v>2.4990777990243629E-3</v>
      </c>
      <c r="F2091" s="1">
        <v>2.1824830406534053E-2</v>
      </c>
      <c r="G2091" s="40">
        <f t="shared" si="83"/>
        <v>0</v>
      </c>
      <c r="H2091" s="33">
        <f t="shared" si="84"/>
        <v>-2.1824830406534053E-2</v>
      </c>
      <c r="I2091" s="43"/>
    </row>
    <row r="2092" spans="2:9" ht="15">
      <c r="B2092" s="32">
        <v>2</v>
      </c>
      <c r="C2092" s="66" t="s">
        <v>48</v>
      </c>
      <c r="D2092" s="64">
        <v>42580</v>
      </c>
      <c r="E2092">
        <v>5.5925128920097933E-3</v>
      </c>
      <c r="F2092" s="1">
        <v>1.9544414891665918E-2</v>
      </c>
      <c r="G2092" s="40">
        <f t="shared" si="83"/>
        <v>0</v>
      </c>
      <c r="H2092" s="33">
        <f t="shared" si="84"/>
        <v>-1.9544414891665918E-2</v>
      </c>
      <c r="I2092" s="43"/>
    </row>
    <row r="2093" spans="2:9" ht="15">
      <c r="B2093" s="32">
        <v>2</v>
      </c>
      <c r="C2093" s="66" t="s">
        <v>48</v>
      </c>
      <c r="D2093" s="64">
        <v>42583</v>
      </c>
      <c r="E2093">
        <v>6.0667438676409446E-3</v>
      </c>
      <c r="F2093" s="1">
        <v>1.7756362841404673E-2</v>
      </c>
      <c r="G2093" s="40">
        <f t="shared" si="83"/>
        <v>0</v>
      </c>
      <c r="H2093" s="33">
        <f t="shared" si="84"/>
        <v>-1.7756362841404673E-2</v>
      </c>
      <c r="I2093" s="43"/>
    </row>
    <row r="2094" spans="2:9" ht="15">
      <c r="B2094" s="32">
        <v>2</v>
      </c>
      <c r="C2094" s="66" t="s">
        <v>48</v>
      </c>
      <c r="D2094" s="64">
        <v>42584</v>
      </c>
      <c r="E2094">
        <v>1.5237700927196229E-2</v>
      </c>
      <c r="F2094" s="1">
        <v>1.585784682513464E-2</v>
      </c>
      <c r="G2094" s="40">
        <f t="shared" si="83"/>
        <v>0</v>
      </c>
      <c r="H2094" s="33">
        <f t="shared" si="84"/>
        <v>-1.585784682513464E-2</v>
      </c>
      <c r="I2094" s="43"/>
    </row>
    <row r="2095" spans="2:9" ht="15">
      <c r="B2095" s="32">
        <v>2</v>
      </c>
      <c r="C2095" s="66" t="s">
        <v>48</v>
      </c>
      <c r="D2095" s="64">
        <v>42585</v>
      </c>
      <c r="E2095">
        <v>6.6145158850359209E-3</v>
      </c>
      <c r="F2095" s="1">
        <v>2.8253156738814306E-2</v>
      </c>
      <c r="G2095" s="40">
        <f t="shared" si="83"/>
        <v>0</v>
      </c>
      <c r="H2095" s="33">
        <f t="shared" si="84"/>
        <v>-2.8253156738814306E-2</v>
      </c>
      <c r="I2095" s="43"/>
    </row>
    <row r="2096" spans="2:9" ht="15">
      <c r="B2096" s="32">
        <v>2</v>
      </c>
      <c r="C2096" s="66" t="s">
        <v>48</v>
      </c>
      <c r="D2096" s="64">
        <v>42586</v>
      </c>
      <c r="E2096">
        <v>8.2688128566781316E-3</v>
      </c>
      <c r="F2096" s="1">
        <v>2.6890482476159196E-2</v>
      </c>
      <c r="G2096" s="40">
        <f t="shared" si="83"/>
        <v>0</v>
      </c>
      <c r="H2096" s="33">
        <f t="shared" si="84"/>
        <v>-2.6890482476159196E-2</v>
      </c>
      <c r="I2096" s="43"/>
    </row>
    <row r="2097" spans="2:9" ht="15">
      <c r="B2097" s="32">
        <v>2</v>
      </c>
      <c r="C2097" s="66" t="s">
        <v>48</v>
      </c>
      <c r="D2097" s="64">
        <v>42587</v>
      </c>
      <c r="E2097">
        <v>1.8993174278660874E-3</v>
      </c>
      <c r="F2097" s="1">
        <v>2.2832327488405288E-2</v>
      </c>
      <c r="G2097" s="40">
        <f t="shared" si="83"/>
        <v>0</v>
      </c>
      <c r="H2097" s="33">
        <f t="shared" si="84"/>
        <v>-2.2832327488405288E-2</v>
      </c>
      <c r="I2097" s="43"/>
    </row>
    <row r="2098" spans="2:9" ht="15">
      <c r="B2098" s="32">
        <v>2</v>
      </c>
      <c r="C2098" s="66" t="s">
        <v>48</v>
      </c>
      <c r="D2098" s="64">
        <v>42590</v>
      </c>
      <c r="E2098">
        <v>1.3655845711122439E-3</v>
      </c>
      <c r="F2098" s="1">
        <v>3.8567112844344303E-2</v>
      </c>
      <c r="G2098" s="40">
        <f t="shared" si="83"/>
        <v>0</v>
      </c>
      <c r="H2098" s="33">
        <f t="shared" si="84"/>
        <v>-3.8567112844344303E-2</v>
      </c>
      <c r="I2098" s="43"/>
    </row>
    <row r="2099" spans="2:9" ht="15">
      <c r="B2099" s="32">
        <v>2</v>
      </c>
      <c r="C2099" s="66" t="s">
        <v>48</v>
      </c>
      <c r="D2099" s="64">
        <v>42591</v>
      </c>
      <c r="E2099">
        <v>4.1238528124409868E-4</v>
      </c>
      <c r="F2099" s="1">
        <v>3.291543248682776E-2</v>
      </c>
      <c r="G2099" s="40">
        <f t="shared" si="83"/>
        <v>0</v>
      </c>
      <c r="H2099" s="33">
        <f t="shared" si="84"/>
        <v>-3.291543248682776E-2</v>
      </c>
      <c r="I2099" s="43"/>
    </row>
    <row r="2100" spans="2:9" ht="15">
      <c r="B2100" s="32">
        <v>2</v>
      </c>
      <c r="C2100" s="66" t="s">
        <v>48</v>
      </c>
      <c r="D2100" s="64">
        <v>42592</v>
      </c>
      <c r="E2100">
        <v>5.2310491729308239E-3</v>
      </c>
      <c r="F2100" s="1">
        <v>2.7970841655990869E-2</v>
      </c>
      <c r="G2100" s="40">
        <f t="shared" si="83"/>
        <v>0</v>
      </c>
      <c r="H2100" s="33">
        <f t="shared" si="84"/>
        <v>-2.7970841655990869E-2</v>
      </c>
      <c r="I2100" s="43"/>
    </row>
    <row r="2101" spans="2:9" ht="15">
      <c r="B2101" s="32">
        <v>2</v>
      </c>
      <c r="C2101" s="66" t="s">
        <v>48</v>
      </c>
      <c r="D2101" s="64">
        <v>42593</v>
      </c>
      <c r="E2101">
        <v>-4.7464212978836073E-3</v>
      </c>
      <c r="F2101" s="1">
        <v>2.6230070365246726E-2</v>
      </c>
      <c r="G2101" s="40">
        <f t="shared" si="83"/>
        <v>0</v>
      </c>
      <c r="H2101" s="33">
        <f t="shared" si="84"/>
        <v>-2.6230070365246726E-2</v>
      </c>
      <c r="I2101" s="43"/>
    </row>
    <row r="2102" spans="2:9" ht="15">
      <c r="B2102" s="32">
        <v>2</v>
      </c>
      <c r="C2102" s="66" t="s">
        <v>48</v>
      </c>
      <c r="D2102" s="64">
        <v>42594</v>
      </c>
      <c r="E2102">
        <v>-5.3162180915080626E-3</v>
      </c>
      <c r="F2102" s="1">
        <v>2.8869569299948935E-2</v>
      </c>
      <c r="G2102" s="40">
        <f t="shared" si="83"/>
        <v>0</v>
      </c>
      <c r="H2102" s="33">
        <f t="shared" si="84"/>
        <v>-2.8869569299948935E-2</v>
      </c>
      <c r="I2102" s="43"/>
    </row>
    <row r="2103" spans="2:9" ht="15">
      <c r="B2103" s="32">
        <v>2</v>
      </c>
      <c r="C2103" s="66" t="s">
        <v>48</v>
      </c>
      <c r="D2103" s="64">
        <v>42597</v>
      </c>
      <c r="E2103">
        <v>-9.6852985545625714E-3</v>
      </c>
      <c r="F2103" s="1">
        <v>2.4692014997385024E-2</v>
      </c>
      <c r="G2103" s="40">
        <f t="shared" si="83"/>
        <v>0</v>
      </c>
      <c r="H2103" s="33">
        <f t="shared" si="84"/>
        <v>-2.4692014997385024E-2</v>
      </c>
      <c r="I2103" s="43"/>
    </row>
    <row r="2104" spans="2:9" ht="15">
      <c r="B2104" s="32">
        <v>2</v>
      </c>
      <c r="C2104" s="66" t="s">
        <v>48</v>
      </c>
      <c r="D2104" s="64">
        <v>42598</v>
      </c>
      <c r="E2104">
        <v>1.0232722062637478E-3</v>
      </c>
      <c r="F2104" s="1">
        <v>2.3597722120271333E-2</v>
      </c>
      <c r="G2104" s="40">
        <f t="shared" si="83"/>
        <v>0</v>
      </c>
      <c r="H2104" s="33">
        <f t="shared" si="84"/>
        <v>-2.3597722120271333E-2</v>
      </c>
      <c r="I2104" s="43"/>
    </row>
    <row r="2105" spans="2:9" ht="15">
      <c r="B2105" s="32">
        <v>2</v>
      </c>
      <c r="C2105" s="66" t="s">
        <v>48</v>
      </c>
      <c r="D2105" s="64">
        <v>42599</v>
      </c>
      <c r="E2105">
        <v>-2.7991656730312897E-3</v>
      </c>
      <c r="F2105" s="1">
        <v>2.9297531604980526E-2</v>
      </c>
      <c r="G2105" s="40">
        <f t="shared" si="83"/>
        <v>0</v>
      </c>
      <c r="H2105" s="33">
        <f t="shared" si="84"/>
        <v>-2.9297531604980526E-2</v>
      </c>
      <c r="I2105" s="43"/>
    </row>
    <row r="2106" spans="2:9" ht="15">
      <c r="B2106" s="32">
        <v>2</v>
      </c>
      <c r="C2106" s="66" t="s">
        <v>48</v>
      </c>
      <c r="D2106" s="64">
        <v>42600</v>
      </c>
      <c r="E2106">
        <v>-7.3750585462741824E-3</v>
      </c>
      <c r="F2106" s="1">
        <v>2.5900186640008586E-2</v>
      </c>
      <c r="G2106" s="40">
        <f t="shared" si="83"/>
        <v>0</v>
      </c>
      <c r="H2106" s="33">
        <f t="shared" si="84"/>
        <v>-2.5900186640008586E-2</v>
      </c>
      <c r="I2106" s="43"/>
    </row>
    <row r="2107" spans="2:9" ht="15">
      <c r="B2107" s="32">
        <v>2</v>
      </c>
      <c r="C2107" s="66" t="s">
        <v>48</v>
      </c>
      <c r="D2107" s="64">
        <v>42601</v>
      </c>
      <c r="E2107">
        <v>-5.9751341818934378E-3</v>
      </c>
      <c r="F2107" s="1">
        <v>2.3582741624904698E-2</v>
      </c>
      <c r="G2107" s="40">
        <f t="shared" si="83"/>
        <v>0</v>
      </c>
      <c r="H2107" s="33">
        <f t="shared" si="84"/>
        <v>-2.3582741624904698E-2</v>
      </c>
      <c r="I2107" s="43"/>
    </row>
    <row r="2108" spans="2:9" ht="15">
      <c r="B2108" s="32">
        <v>2</v>
      </c>
      <c r="C2108" s="66" t="s">
        <v>48</v>
      </c>
      <c r="D2108" s="64">
        <v>42604</v>
      </c>
      <c r="E2108">
        <v>-1.2194109993686197E-3</v>
      </c>
      <c r="F2108" s="1">
        <v>2.0782299885226296E-2</v>
      </c>
      <c r="G2108" s="40">
        <f t="shared" si="83"/>
        <v>0</v>
      </c>
      <c r="H2108" s="33">
        <f t="shared" si="84"/>
        <v>-2.0782299885226296E-2</v>
      </c>
      <c r="I2108" s="43"/>
    </row>
    <row r="2109" spans="2:9" ht="15">
      <c r="B2109" s="32">
        <v>2</v>
      </c>
      <c r="C2109" s="66" t="s">
        <v>48</v>
      </c>
      <c r="D2109" s="64">
        <v>42605</v>
      </c>
      <c r="E2109">
        <v>-1.9203545661294896E-4</v>
      </c>
      <c r="F2109" s="1">
        <v>1.7770262249689955E-2</v>
      </c>
      <c r="G2109" s="40">
        <f t="shared" si="83"/>
        <v>0</v>
      </c>
      <c r="H2109" s="33">
        <f t="shared" si="84"/>
        <v>-1.7770262249689955E-2</v>
      </c>
      <c r="I2109" s="43"/>
    </row>
    <row r="2110" spans="2:9" ht="15">
      <c r="B2110" s="32">
        <v>2</v>
      </c>
      <c r="C2110" s="66" t="s">
        <v>48</v>
      </c>
      <c r="D2110" s="64">
        <v>42606</v>
      </c>
      <c r="E2110">
        <v>4.9156240586780697E-3</v>
      </c>
      <c r="F2110" s="1">
        <v>1.6881225334382029E-2</v>
      </c>
      <c r="G2110" s="40">
        <f t="shared" si="83"/>
        <v>0</v>
      </c>
      <c r="H2110" s="33">
        <f t="shared" si="84"/>
        <v>-1.6881225334382029E-2</v>
      </c>
      <c r="I2110" s="43"/>
    </row>
    <row r="2111" spans="2:9" ht="15">
      <c r="B2111" s="32">
        <v>2</v>
      </c>
      <c r="C2111" s="66" t="s">
        <v>48</v>
      </c>
      <c r="D2111" s="64">
        <v>42607</v>
      </c>
      <c r="E2111">
        <v>4.0562960682821725E-3</v>
      </c>
      <c r="F2111" s="1">
        <v>2.496980158681553E-2</v>
      </c>
      <c r="G2111" s="40">
        <f t="shared" si="83"/>
        <v>0</v>
      </c>
      <c r="H2111" s="33">
        <f t="shared" si="84"/>
        <v>-2.496980158681553E-2</v>
      </c>
      <c r="I2111" s="43"/>
    </row>
    <row r="2112" spans="2:9" ht="15">
      <c r="B2112" s="32">
        <v>2</v>
      </c>
      <c r="C2112" s="66" t="s">
        <v>48</v>
      </c>
      <c r="D2112" s="64">
        <v>42608</v>
      </c>
      <c r="E2112">
        <v>-1.9191381826243692E-2</v>
      </c>
      <c r="F2112" s="1">
        <v>2.1844805795343005E-2</v>
      </c>
      <c r="G2112" s="40">
        <f t="shared" si="83"/>
        <v>0</v>
      </c>
      <c r="H2112" s="33">
        <f t="shared" si="84"/>
        <v>-2.1844805795343005E-2</v>
      </c>
      <c r="I2112" s="43"/>
    </row>
    <row r="2113" spans="2:9" ht="15">
      <c r="B2113" s="32">
        <v>2</v>
      </c>
      <c r="C2113" s="66" t="s">
        <v>48</v>
      </c>
      <c r="D2113" s="64">
        <v>42611</v>
      </c>
      <c r="E2113">
        <v>-9.8354233561650517E-3</v>
      </c>
      <c r="F2113" s="1">
        <v>1.952978704729642E-2</v>
      </c>
      <c r="G2113" s="40">
        <f t="shared" si="83"/>
        <v>0</v>
      </c>
      <c r="H2113" s="33">
        <f t="shared" si="84"/>
        <v>-1.952978704729642E-2</v>
      </c>
      <c r="I2113" s="43"/>
    </row>
    <row r="2114" spans="2:9" ht="15">
      <c r="B2114" s="32">
        <v>2</v>
      </c>
      <c r="C2114" s="66" t="s">
        <v>48</v>
      </c>
      <c r="D2114" s="64">
        <v>42612</v>
      </c>
      <c r="E2114">
        <v>-2.2821579805770043E-2</v>
      </c>
      <c r="F2114" s="1">
        <v>2.6203805488969421E-2</v>
      </c>
      <c r="G2114" s="40">
        <f t="shared" si="83"/>
        <v>0</v>
      </c>
      <c r="H2114" s="33">
        <f t="shared" si="84"/>
        <v>-2.6203805488969421E-2</v>
      </c>
      <c r="I2114" s="43"/>
    </row>
    <row r="2115" spans="2:9" ht="15">
      <c r="B2115" s="32">
        <v>2</v>
      </c>
      <c r="C2115" s="66" t="s">
        <v>48</v>
      </c>
      <c r="D2115" s="64">
        <v>42613</v>
      </c>
      <c r="E2115">
        <v>-2.1030738106882829E-2</v>
      </c>
      <c r="F2115" s="1">
        <v>2.3501739259534592E-2</v>
      </c>
      <c r="G2115" s="40">
        <f t="shared" si="83"/>
        <v>0</v>
      </c>
      <c r="H2115" s="33">
        <f t="shared" si="84"/>
        <v>-2.3501739259534592E-2</v>
      </c>
      <c r="I2115" s="43"/>
    </row>
    <row r="2116" spans="2:9" ht="15">
      <c r="B2116" s="32">
        <v>2</v>
      </c>
      <c r="C2116" s="66" t="s">
        <v>48</v>
      </c>
      <c r="D2116" s="64">
        <v>42614</v>
      </c>
      <c r="E2116">
        <v>-1.0930836264223309E-2</v>
      </c>
      <c r="F2116" s="1">
        <v>2.1986788111478108E-2</v>
      </c>
      <c r="G2116" s="40">
        <f t="shared" si="83"/>
        <v>0</v>
      </c>
      <c r="H2116" s="33">
        <f t="shared" si="84"/>
        <v>-2.1986788111478108E-2</v>
      </c>
      <c r="I2116" s="43"/>
    </row>
    <row r="2117" spans="2:9" ht="15">
      <c r="B2117" s="32">
        <v>2</v>
      </c>
      <c r="C2117" s="66" t="s">
        <v>48</v>
      </c>
      <c r="D2117" s="64">
        <v>42615</v>
      </c>
      <c r="E2117">
        <v>-1.8902505798421565E-2</v>
      </c>
      <c r="F2117" s="1">
        <v>1.8657103929173899E-2</v>
      </c>
      <c r="G2117" s="40">
        <f t="shared" si="83"/>
        <v>1</v>
      </c>
      <c r="H2117" s="33">
        <f t="shared" si="84"/>
        <v>-1.8657103929173899E-2</v>
      </c>
      <c r="I2117" s="43">
        <f t="shared" ref="I2054:I2117" si="85">IF(G2117=0,"",E2117)</f>
        <v>-1.8902505798421565E-2</v>
      </c>
    </row>
    <row r="2118" spans="2:9" ht="15">
      <c r="B2118" s="32">
        <v>2</v>
      </c>
      <c r="C2118" s="66" t="s">
        <v>48</v>
      </c>
      <c r="D2118" s="64">
        <v>42619</v>
      </c>
      <c r="E2118">
        <v>-2.1898351439413766E-2</v>
      </c>
      <c r="F2118" s="1">
        <v>2.273632928222977E-2</v>
      </c>
      <c r="G2118" s="40">
        <f t="shared" si="83"/>
        <v>0</v>
      </c>
      <c r="H2118" s="33">
        <f t="shared" si="84"/>
        <v>-2.273632928222977E-2</v>
      </c>
      <c r="I2118" s="43"/>
    </row>
    <row r="2119" spans="2:9" ht="15">
      <c r="B2119" s="32">
        <v>2</v>
      </c>
      <c r="C2119" s="66" t="s">
        <v>48</v>
      </c>
      <c r="D2119" s="64">
        <v>42620</v>
      </c>
      <c r="E2119">
        <v>-2.1452861984054827E-2</v>
      </c>
      <c r="F2119" s="1">
        <v>2.2505904777195909E-2</v>
      </c>
      <c r="G2119" s="40">
        <f t="shared" si="83"/>
        <v>0</v>
      </c>
      <c r="H2119" s="33">
        <f t="shared" si="84"/>
        <v>-2.2505904777195909E-2</v>
      </c>
      <c r="I2119" s="43"/>
    </row>
    <row r="2120" spans="2:9" ht="15">
      <c r="B2120" s="32">
        <v>2</v>
      </c>
      <c r="C2120" s="66" t="s">
        <v>48</v>
      </c>
      <c r="D2120" s="64">
        <v>42621</v>
      </c>
      <c r="E2120">
        <v>-8.3693737829877435E-3</v>
      </c>
      <c r="F2120" s="1">
        <v>1.9105394560225284E-2</v>
      </c>
      <c r="G2120" s="40">
        <f t="shared" si="83"/>
        <v>0</v>
      </c>
      <c r="H2120" s="33">
        <f t="shared" si="84"/>
        <v>-1.9105394560225284E-2</v>
      </c>
      <c r="I2120" s="43"/>
    </row>
    <row r="2121" spans="2:9" ht="15">
      <c r="B2121" s="32">
        <v>2</v>
      </c>
      <c r="C2121" s="66" t="s">
        <v>48</v>
      </c>
      <c r="D2121" s="64">
        <v>42622</v>
      </c>
      <c r="E2121">
        <v>2.2937120685106116E-2</v>
      </c>
      <c r="F2121" s="1">
        <v>1.8381045546545807E-2</v>
      </c>
      <c r="G2121" s="40">
        <f t="shared" si="83"/>
        <v>0</v>
      </c>
      <c r="H2121" s="33">
        <f t="shared" si="84"/>
        <v>-1.8381045546545807E-2</v>
      </c>
      <c r="I2121" s="43"/>
    </row>
    <row r="2122" spans="2:9" ht="15">
      <c r="B2122" s="32">
        <v>2</v>
      </c>
      <c r="C2122" s="66" t="s">
        <v>48</v>
      </c>
      <c r="D2122" s="64">
        <v>42625</v>
      </c>
      <c r="E2122">
        <v>2.6134403590898359E-3</v>
      </c>
      <c r="F2122" s="1">
        <v>9.7897969674084429E-2</v>
      </c>
      <c r="G2122" s="40">
        <f t="shared" si="83"/>
        <v>0</v>
      </c>
      <c r="H2122" s="33">
        <f t="shared" si="84"/>
        <v>-9.7897969674084429E-2</v>
      </c>
      <c r="I2122" s="43"/>
    </row>
    <row r="2123" spans="2:9" ht="15">
      <c r="B2123" s="32">
        <v>2</v>
      </c>
      <c r="C2123" s="66" t="s">
        <v>48</v>
      </c>
      <c r="D2123" s="64">
        <v>42626</v>
      </c>
      <c r="E2123">
        <v>8.9303386179029332E-3</v>
      </c>
      <c r="F2123" s="1">
        <v>0.1005856728428106</v>
      </c>
      <c r="G2123" s="40">
        <f t="shared" ref="G2123:G2186" si="86">--(E2123&lt;-F2123)</f>
        <v>0</v>
      </c>
      <c r="H2123" s="33">
        <f t="shared" ref="H2123:H2186" si="87">-F2123</f>
        <v>-0.1005856728428106</v>
      </c>
      <c r="I2123" s="43"/>
    </row>
    <row r="2124" spans="2:9" ht="15">
      <c r="B2124" s="32">
        <v>2</v>
      </c>
      <c r="C2124" s="66" t="s">
        <v>48</v>
      </c>
      <c r="D2124" s="64">
        <v>42627</v>
      </c>
      <c r="E2124">
        <v>1.5941683189093503E-2</v>
      </c>
      <c r="F2124" s="1">
        <v>0.10328430410342061</v>
      </c>
      <c r="G2124" s="40">
        <f t="shared" si="86"/>
        <v>0</v>
      </c>
      <c r="H2124" s="33">
        <f t="shared" si="87"/>
        <v>-0.10328430410342061</v>
      </c>
      <c r="I2124" s="43"/>
    </row>
    <row r="2125" spans="2:9" ht="15">
      <c r="B2125" s="32">
        <v>2</v>
      </c>
      <c r="C2125" s="66" t="s">
        <v>48</v>
      </c>
      <c r="D2125" s="64">
        <v>42628</v>
      </c>
      <c r="E2125">
        <v>1.1165743201919653E-2</v>
      </c>
      <c r="F2125" s="1">
        <v>8.7669508165917731E-2</v>
      </c>
      <c r="G2125" s="40">
        <f t="shared" si="86"/>
        <v>0</v>
      </c>
      <c r="H2125" s="33">
        <f t="shared" si="87"/>
        <v>-8.7669508165917731E-2</v>
      </c>
      <c r="I2125" s="43"/>
    </row>
    <row r="2126" spans="2:9" ht="15">
      <c r="B2126" s="32">
        <v>2</v>
      </c>
      <c r="C2126" s="66" t="s">
        <v>48</v>
      </c>
      <c r="D2126" s="64">
        <v>42629</v>
      </c>
      <c r="E2126">
        <v>5.5800436012054533E-3</v>
      </c>
      <c r="F2126" s="1">
        <v>8.4065423108524995E-2</v>
      </c>
      <c r="G2126" s="40">
        <f t="shared" si="86"/>
        <v>0</v>
      </c>
      <c r="H2126" s="33">
        <f t="shared" si="87"/>
        <v>-8.4065423108524995E-2</v>
      </c>
      <c r="I2126" s="43"/>
    </row>
    <row r="2127" spans="2:9" ht="15">
      <c r="B2127" s="32">
        <v>2</v>
      </c>
      <c r="C2127" s="66" t="s">
        <v>48</v>
      </c>
      <c r="D2127" s="64">
        <v>42632</v>
      </c>
      <c r="E2127">
        <v>1.3535039588603581E-2</v>
      </c>
      <c r="F2127" s="1">
        <v>7.2833286399772143E-2</v>
      </c>
      <c r="G2127" s="40">
        <f t="shared" si="86"/>
        <v>0</v>
      </c>
      <c r="H2127" s="33">
        <f t="shared" si="87"/>
        <v>-7.2833286399772143E-2</v>
      </c>
      <c r="I2127" s="43"/>
    </row>
    <row r="2128" spans="2:9" ht="15">
      <c r="B2128" s="32">
        <v>2</v>
      </c>
      <c r="C2128" s="66" t="s">
        <v>48</v>
      </c>
      <c r="D2128" s="64">
        <v>42633</v>
      </c>
      <c r="E2128">
        <v>9.9699224299421019E-3</v>
      </c>
      <c r="F2128" s="1">
        <v>6.1801135279948925E-2</v>
      </c>
      <c r="G2128" s="40">
        <f t="shared" si="86"/>
        <v>0</v>
      </c>
      <c r="H2128" s="33">
        <f t="shared" si="87"/>
        <v>-6.1801135279948925E-2</v>
      </c>
      <c r="I2128" s="43"/>
    </row>
    <row r="2129" spans="2:9" ht="15">
      <c r="B2129" s="32">
        <v>2</v>
      </c>
      <c r="C2129" s="66" t="s">
        <v>48</v>
      </c>
      <c r="D2129" s="64">
        <v>42634</v>
      </c>
      <c r="E2129">
        <v>-5.8559595233012018E-3</v>
      </c>
      <c r="F2129" s="1">
        <v>5.245292557495862E-2</v>
      </c>
      <c r="G2129" s="40">
        <f t="shared" si="86"/>
        <v>0</v>
      </c>
      <c r="H2129" s="33">
        <f t="shared" si="87"/>
        <v>-5.245292557495862E-2</v>
      </c>
      <c r="I2129" s="43"/>
    </row>
    <row r="2130" spans="2:9" ht="15">
      <c r="B2130" s="32">
        <v>2</v>
      </c>
      <c r="C2130" s="66" t="s">
        <v>48</v>
      </c>
      <c r="D2130" s="64">
        <v>42635</v>
      </c>
      <c r="E2130">
        <v>-8.0472255695447359E-3</v>
      </c>
      <c r="F2130" s="1">
        <v>6.1379632417548353E-2</v>
      </c>
      <c r="G2130" s="40">
        <f t="shared" si="86"/>
        <v>0</v>
      </c>
      <c r="H2130" s="33">
        <f t="shared" si="87"/>
        <v>-6.1379632417548353E-2</v>
      </c>
      <c r="I2130" s="43"/>
    </row>
    <row r="2131" spans="2:9" ht="15">
      <c r="B2131" s="32">
        <v>2</v>
      </c>
      <c r="C2131" s="66" t="s">
        <v>48</v>
      </c>
      <c r="D2131" s="64">
        <v>42636</v>
      </c>
      <c r="E2131">
        <v>-1.8124879705094799E-3</v>
      </c>
      <c r="F2131" s="1">
        <v>5.7867252898213588E-2</v>
      </c>
      <c r="G2131" s="40">
        <f t="shared" si="86"/>
        <v>0</v>
      </c>
      <c r="H2131" s="33">
        <f t="shared" si="87"/>
        <v>-5.7867252898213588E-2</v>
      </c>
      <c r="I2131" s="43"/>
    </row>
    <row r="2132" spans="2:9" ht="15">
      <c r="B2132" s="32">
        <v>2</v>
      </c>
      <c r="C2132" s="66" t="s">
        <v>48</v>
      </c>
      <c r="D2132" s="64">
        <v>42639</v>
      </c>
      <c r="E2132">
        <v>3.553574032189033E-3</v>
      </c>
      <c r="F2132" s="1">
        <v>5.3968378181730996E-2</v>
      </c>
      <c r="G2132" s="40">
        <f t="shared" si="86"/>
        <v>0</v>
      </c>
      <c r="H2132" s="33">
        <f t="shared" si="87"/>
        <v>-5.3968378181730996E-2</v>
      </c>
      <c r="I2132" s="43"/>
    </row>
    <row r="2133" spans="2:9" ht="15">
      <c r="B2133" s="32">
        <v>2</v>
      </c>
      <c r="C2133" s="66" t="s">
        <v>48</v>
      </c>
      <c r="D2133" s="64">
        <v>42640</v>
      </c>
      <c r="E2133">
        <v>1.7254092362772866E-3</v>
      </c>
      <c r="F2133" s="1">
        <v>5.6782799544236595E-2</v>
      </c>
      <c r="G2133" s="40">
        <f t="shared" si="86"/>
        <v>0</v>
      </c>
      <c r="H2133" s="33">
        <f t="shared" si="87"/>
        <v>-5.6782799544236595E-2</v>
      </c>
      <c r="I2133" s="43"/>
    </row>
    <row r="2134" spans="2:9" ht="15">
      <c r="B2134" s="32">
        <v>2</v>
      </c>
      <c r="C2134" s="66" t="s">
        <v>48</v>
      </c>
      <c r="D2134" s="64">
        <v>42641</v>
      </c>
      <c r="E2134">
        <v>-1.6081744981213397E-2</v>
      </c>
      <c r="F2134" s="1">
        <v>5.4283800937673314E-2</v>
      </c>
      <c r="G2134" s="40">
        <f t="shared" si="86"/>
        <v>0</v>
      </c>
      <c r="H2134" s="33">
        <f t="shared" si="87"/>
        <v>-5.4283800937673314E-2</v>
      </c>
      <c r="I2134" s="43"/>
    </row>
    <row r="2135" spans="2:9" ht="15">
      <c r="B2135" s="32">
        <v>2</v>
      </c>
      <c r="C2135" s="66" t="s">
        <v>48</v>
      </c>
      <c r="D2135" s="64">
        <v>42642</v>
      </c>
      <c r="E2135">
        <v>-5.570684830873418E-3</v>
      </c>
      <c r="F2135" s="1">
        <v>5.044312241364439E-2</v>
      </c>
      <c r="G2135" s="40">
        <f t="shared" si="86"/>
        <v>0</v>
      </c>
      <c r="H2135" s="33">
        <f t="shared" si="87"/>
        <v>-5.044312241364439E-2</v>
      </c>
      <c r="I2135" s="43"/>
    </row>
    <row r="2136" spans="2:9" ht="15">
      <c r="B2136" s="32">
        <v>2</v>
      </c>
      <c r="C2136" s="66" t="s">
        <v>48</v>
      </c>
      <c r="D2136" s="64">
        <v>42643</v>
      </c>
      <c r="E2136">
        <v>-1.6611154047558863E-2</v>
      </c>
      <c r="F2136" s="1">
        <v>5.622344760496812E-2</v>
      </c>
      <c r="G2136" s="40">
        <f t="shared" si="86"/>
        <v>0</v>
      </c>
      <c r="H2136" s="33">
        <f t="shared" si="87"/>
        <v>-5.622344760496812E-2</v>
      </c>
      <c r="I2136" s="43"/>
    </row>
    <row r="2137" spans="2:9" ht="15">
      <c r="B2137" s="32">
        <v>2</v>
      </c>
      <c r="C2137" s="66" t="s">
        <v>48</v>
      </c>
      <c r="D2137" s="64">
        <v>42646</v>
      </c>
      <c r="E2137">
        <v>-1.3143546711555487E-2</v>
      </c>
      <c r="F2137" s="1">
        <v>5.6836834763040439E-2</v>
      </c>
      <c r="G2137" s="40">
        <f t="shared" si="86"/>
        <v>0</v>
      </c>
      <c r="H2137" s="33">
        <f t="shared" si="87"/>
        <v>-5.6836834763040439E-2</v>
      </c>
      <c r="I2137" s="43"/>
    </row>
    <row r="2138" spans="2:9" ht="15">
      <c r="B2138" s="32">
        <v>2</v>
      </c>
      <c r="C2138" s="66" t="s">
        <v>48</v>
      </c>
      <c r="D2138" s="64">
        <v>42647</v>
      </c>
      <c r="E2138">
        <v>-1.121828278781134E-2</v>
      </c>
      <c r="F2138" s="1">
        <v>4.9875299401159839E-2</v>
      </c>
      <c r="G2138" s="40">
        <f t="shared" si="86"/>
        <v>0</v>
      </c>
      <c r="H2138" s="33">
        <f t="shared" si="87"/>
        <v>-4.9875299401159839E-2</v>
      </c>
      <c r="I2138" s="43"/>
    </row>
    <row r="2139" spans="2:9" ht="15">
      <c r="B2139" s="32">
        <v>2</v>
      </c>
      <c r="C2139" s="66" t="s">
        <v>48</v>
      </c>
      <c r="D2139" s="64">
        <v>42648</v>
      </c>
      <c r="E2139">
        <v>-9.3642631445955971E-3</v>
      </c>
      <c r="F2139" s="1">
        <v>4.6529711248005312E-2</v>
      </c>
      <c r="G2139" s="40">
        <f t="shared" si="86"/>
        <v>0</v>
      </c>
      <c r="H2139" s="33">
        <f t="shared" si="87"/>
        <v>-4.6529711248005312E-2</v>
      </c>
      <c r="I2139" s="43"/>
    </row>
    <row r="2140" spans="2:9" ht="15">
      <c r="B2140" s="32">
        <v>2</v>
      </c>
      <c r="C2140" s="66" t="s">
        <v>48</v>
      </c>
      <c r="D2140" s="64">
        <v>42649</v>
      </c>
      <c r="E2140">
        <v>-7.6561354656341507E-3</v>
      </c>
      <c r="F2140" s="1">
        <v>4.2864510770180227E-2</v>
      </c>
      <c r="G2140" s="40">
        <f t="shared" si="86"/>
        <v>0</v>
      </c>
      <c r="H2140" s="33">
        <f t="shared" si="87"/>
        <v>-4.2864510770180227E-2</v>
      </c>
      <c r="I2140" s="43"/>
    </row>
    <row r="2141" spans="2:9" ht="15">
      <c r="B2141" s="32">
        <v>2</v>
      </c>
      <c r="C2141" s="66" t="s">
        <v>48</v>
      </c>
      <c r="D2141" s="64">
        <v>42650</v>
      </c>
      <c r="E2141">
        <v>-5.774018749417742E-3</v>
      </c>
      <c r="F2141" s="1">
        <v>3.641999570838006E-2</v>
      </c>
      <c r="G2141" s="40">
        <f t="shared" si="86"/>
        <v>0</v>
      </c>
      <c r="H2141" s="33">
        <f t="shared" si="87"/>
        <v>-3.641999570838006E-2</v>
      </c>
      <c r="I2141" s="43"/>
    </row>
    <row r="2142" spans="2:9" ht="15">
      <c r="B2142" s="32">
        <v>2</v>
      </c>
      <c r="C2142" s="66" t="s">
        <v>48</v>
      </c>
      <c r="D2142" s="64">
        <v>42653</v>
      </c>
      <c r="E2142">
        <v>-1.0453494367327565E-2</v>
      </c>
      <c r="F2142" s="1">
        <v>3.3405734463987147E-2</v>
      </c>
      <c r="G2142" s="40">
        <f t="shared" si="86"/>
        <v>0</v>
      </c>
      <c r="H2142" s="33">
        <f t="shared" si="87"/>
        <v>-3.3405734463987147E-2</v>
      </c>
      <c r="I2142" s="43"/>
    </row>
    <row r="2143" spans="2:9" ht="15">
      <c r="B2143" s="32">
        <v>2</v>
      </c>
      <c r="C2143" s="66" t="s">
        <v>48</v>
      </c>
      <c r="D2143" s="64">
        <v>42654</v>
      </c>
      <c r="E2143">
        <v>6.8096781396604911E-3</v>
      </c>
      <c r="F2143" s="1">
        <v>3.3518238108866713E-2</v>
      </c>
      <c r="G2143" s="40">
        <f t="shared" si="86"/>
        <v>0</v>
      </c>
      <c r="H2143" s="33">
        <f t="shared" si="87"/>
        <v>-3.3518238108866713E-2</v>
      </c>
      <c r="I2143" s="43"/>
    </row>
    <row r="2144" spans="2:9" ht="15">
      <c r="B2144" s="32">
        <v>2</v>
      </c>
      <c r="C2144" s="66" t="s">
        <v>48</v>
      </c>
      <c r="D2144" s="64">
        <v>42655</v>
      </c>
      <c r="E2144">
        <v>1.8587880882501295E-3</v>
      </c>
      <c r="F2144" s="1">
        <v>5.6443989143930361E-2</v>
      </c>
      <c r="G2144" s="40">
        <f t="shared" si="86"/>
        <v>0</v>
      </c>
      <c r="H2144" s="33">
        <f t="shared" si="87"/>
        <v>-5.6443989143930361E-2</v>
      </c>
      <c r="I2144" s="43"/>
    </row>
    <row r="2145" spans="2:9" ht="15">
      <c r="B2145" s="32">
        <v>2</v>
      </c>
      <c r="C2145" s="66" t="s">
        <v>48</v>
      </c>
      <c r="D2145" s="64">
        <v>42656</v>
      </c>
      <c r="E2145">
        <v>3.2209368857092358E-3</v>
      </c>
      <c r="F2145" s="1">
        <v>4.8101600302216614E-2</v>
      </c>
      <c r="G2145" s="40">
        <f t="shared" si="86"/>
        <v>0</v>
      </c>
      <c r="H2145" s="33">
        <f t="shared" si="87"/>
        <v>-4.8101600302216614E-2</v>
      </c>
      <c r="I2145" s="43"/>
    </row>
    <row r="2146" spans="2:9" ht="15">
      <c r="B2146" s="32">
        <v>2</v>
      </c>
      <c r="C2146" s="66" t="s">
        <v>48</v>
      </c>
      <c r="D2146" s="64">
        <v>42657</v>
      </c>
      <c r="E2146">
        <v>2.815692366020528E-5</v>
      </c>
      <c r="F2146" s="1">
        <v>4.2566612990347398E-2</v>
      </c>
      <c r="G2146" s="40">
        <f t="shared" si="86"/>
        <v>0</v>
      </c>
      <c r="H2146" s="33">
        <f t="shared" si="87"/>
        <v>-4.2566612990347398E-2</v>
      </c>
      <c r="I2146" s="43"/>
    </row>
    <row r="2147" spans="2:9" ht="15">
      <c r="B2147" s="32">
        <v>2</v>
      </c>
      <c r="C2147" s="66" t="s">
        <v>48</v>
      </c>
      <c r="D2147" s="64">
        <v>42660</v>
      </c>
      <c r="E2147">
        <v>-4.2365346023309769E-5</v>
      </c>
      <c r="F2147" s="1">
        <v>3.6127492029283996E-2</v>
      </c>
      <c r="G2147" s="40">
        <f t="shared" si="86"/>
        <v>0</v>
      </c>
      <c r="H2147" s="33">
        <f t="shared" si="87"/>
        <v>-3.6127492029283996E-2</v>
      </c>
      <c r="I2147" s="43"/>
    </row>
    <row r="2148" spans="2:9" ht="15">
      <c r="B2148" s="32">
        <v>2</v>
      </c>
      <c r="C2148" s="66" t="s">
        <v>48</v>
      </c>
      <c r="D2148" s="64">
        <v>42661</v>
      </c>
      <c r="E2148">
        <v>-6.3061551068219757E-3</v>
      </c>
      <c r="F2148" s="1">
        <v>3.2863702827945901E-2</v>
      </c>
      <c r="G2148" s="40">
        <f t="shared" si="86"/>
        <v>0</v>
      </c>
      <c r="H2148" s="33">
        <f t="shared" si="87"/>
        <v>-3.2863702827945901E-2</v>
      </c>
      <c r="I2148" s="43"/>
    </row>
    <row r="2149" spans="2:9" ht="15">
      <c r="B2149" s="32">
        <v>2</v>
      </c>
      <c r="C2149" s="66" t="s">
        <v>48</v>
      </c>
      <c r="D2149" s="64">
        <v>42662</v>
      </c>
      <c r="E2149">
        <v>-1.5305745878838373E-2</v>
      </c>
      <c r="F2149" s="1">
        <v>3.6731053344952927E-2</v>
      </c>
      <c r="G2149" s="40">
        <f t="shared" si="86"/>
        <v>0</v>
      </c>
      <c r="H2149" s="33">
        <f t="shared" si="87"/>
        <v>-3.6731053344952927E-2</v>
      </c>
      <c r="I2149" s="43"/>
    </row>
    <row r="2150" spans="2:9" ht="15">
      <c r="B2150" s="32">
        <v>2</v>
      </c>
      <c r="C2150" s="66" t="s">
        <v>48</v>
      </c>
      <c r="D2150" s="64">
        <v>42663</v>
      </c>
      <c r="E2150">
        <v>-2.0475959615362527E-2</v>
      </c>
      <c r="F2150" s="1">
        <v>3.2311777392188948E-2</v>
      </c>
      <c r="G2150" s="40">
        <f t="shared" si="86"/>
        <v>0</v>
      </c>
      <c r="H2150" s="33">
        <f t="shared" si="87"/>
        <v>-3.2311777392188948E-2</v>
      </c>
      <c r="I2150" s="43"/>
    </row>
    <row r="2151" spans="2:9" ht="15">
      <c r="B2151" s="32">
        <v>2</v>
      </c>
      <c r="C2151" s="66" t="s">
        <v>48</v>
      </c>
      <c r="D2151" s="64">
        <v>42664</v>
      </c>
      <c r="E2151">
        <v>-2.4825027254380849E-2</v>
      </c>
      <c r="F2151" s="1">
        <v>2.7936277199136928E-2</v>
      </c>
      <c r="G2151" s="40">
        <f t="shared" si="86"/>
        <v>0</v>
      </c>
      <c r="H2151" s="33">
        <f t="shared" si="87"/>
        <v>-2.7936277199136928E-2</v>
      </c>
      <c r="I2151" s="43"/>
    </row>
    <row r="2152" spans="2:9" ht="15">
      <c r="B2152" s="32">
        <v>2</v>
      </c>
      <c r="C2152" s="66" t="s">
        <v>48</v>
      </c>
      <c r="D2152" s="64">
        <v>42667</v>
      </c>
      <c r="E2152">
        <v>-3.1231141941766793E-2</v>
      </c>
      <c r="F2152" s="1">
        <v>2.3706980239684275E-2</v>
      </c>
      <c r="G2152" s="40">
        <f t="shared" si="86"/>
        <v>1</v>
      </c>
      <c r="H2152" s="33">
        <f t="shared" si="87"/>
        <v>-2.3706980239684275E-2</v>
      </c>
      <c r="I2152" s="43">
        <f t="shared" ref="I2118:I2181" si="88">IF(G2152=0,"",E2152)</f>
        <v>-3.1231141941766793E-2</v>
      </c>
    </row>
    <row r="2153" spans="2:9" ht="15">
      <c r="B2153" s="32">
        <v>2</v>
      </c>
      <c r="C2153" s="66" t="s">
        <v>48</v>
      </c>
      <c r="D2153" s="64">
        <v>42668</v>
      </c>
      <c r="E2153">
        <v>-5.4459847070980061E-3</v>
      </c>
      <c r="F2153" s="1">
        <v>2.7293068426679227E-2</v>
      </c>
      <c r="G2153" s="40">
        <f t="shared" si="86"/>
        <v>0</v>
      </c>
      <c r="H2153" s="33">
        <f t="shared" si="87"/>
        <v>-2.7293068426679227E-2</v>
      </c>
      <c r="I2153" s="43"/>
    </row>
    <row r="2154" spans="2:9" ht="15">
      <c r="B2154" s="32">
        <v>2</v>
      </c>
      <c r="C2154" s="66" t="s">
        <v>48</v>
      </c>
      <c r="D2154" s="64">
        <v>42669</v>
      </c>
      <c r="E2154">
        <v>6.0821362196428197E-5</v>
      </c>
      <c r="F2154" s="1">
        <v>2.7490386588851966E-2</v>
      </c>
      <c r="G2154" s="40">
        <f t="shared" si="86"/>
        <v>0</v>
      </c>
      <c r="H2154" s="33">
        <f t="shared" si="87"/>
        <v>-2.7490386588851966E-2</v>
      </c>
      <c r="I2154" s="43"/>
    </row>
    <row r="2155" spans="2:9" ht="15">
      <c r="B2155" s="32">
        <v>2</v>
      </c>
      <c r="C2155" s="66" t="s">
        <v>48</v>
      </c>
      <c r="D2155" s="64">
        <v>42670</v>
      </c>
      <c r="E2155">
        <v>1.4068137263607561E-2</v>
      </c>
      <c r="F2155" s="1">
        <v>2.4291958148188967E-2</v>
      </c>
      <c r="G2155" s="40">
        <f t="shared" si="86"/>
        <v>0</v>
      </c>
      <c r="H2155" s="33">
        <f t="shared" si="87"/>
        <v>-2.4291958148188967E-2</v>
      </c>
      <c r="I2155" s="43"/>
    </row>
    <row r="2156" spans="2:9" ht="15">
      <c r="B2156" s="32">
        <v>2</v>
      </c>
      <c r="C2156" s="66" t="s">
        <v>48</v>
      </c>
      <c r="D2156" s="64">
        <v>42671</v>
      </c>
      <c r="E2156">
        <v>1.9130122816855E-2</v>
      </c>
      <c r="F2156" s="1">
        <v>2.3673865579951582E-2</v>
      </c>
      <c r="G2156" s="40">
        <f t="shared" si="86"/>
        <v>0</v>
      </c>
      <c r="H2156" s="33">
        <f t="shared" si="87"/>
        <v>-2.3673865579951582E-2</v>
      </c>
      <c r="I2156" s="43"/>
    </row>
    <row r="2157" spans="2:9" ht="15">
      <c r="B2157" s="32">
        <v>2</v>
      </c>
      <c r="C2157" s="66" t="s">
        <v>48</v>
      </c>
      <c r="D2157" s="64">
        <v>42674</v>
      </c>
      <c r="E2157">
        <v>1.7853478600354578E-2</v>
      </c>
      <c r="F2157" s="1">
        <v>2.3460302058112507E-2</v>
      </c>
      <c r="G2157" s="40">
        <f t="shared" si="86"/>
        <v>0</v>
      </c>
      <c r="H2157" s="33">
        <f t="shared" si="87"/>
        <v>-2.3460302058112507E-2</v>
      </c>
      <c r="I2157" s="43"/>
    </row>
    <row r="2158" spans="2:9" ht="15">
      <c r="B2158" s="32">
        <v>2</v>
      </c>
      <c r="C2158" s="66" t="s">
        <v>48</v>
      </c>
      <c r="D2158" s="64">
        <v>42675</v>
      </c>
      <c r="E2158">
        <v>2.4547987949635086E-2</v>
      </c>
      <c r="F2158" s="1">
        <v>1.9912416964332727E-2</v>
      </c>
      <c r="G2158" s="40">
        <f t="shared" si="86"/>
        <v>0</v>
      </c>
      <c r="H2158" s="33">
        <f t="shared" si="87"/>
        <v>-1.9912416964332727E-2</v>
      </c>
      <c r="I2158" s="43"/>
    </row>
    <row r="2159" spans="2:9" ht="15">
      <c r="B2159" s="32">
        <v>2</v>
      </c>
      <c r="C2159" s="66" t="s">
        <v>48</v>
      </c>
      <c r="D2159" s="64">
        <v>42676</v>
      </c>
      <c r="E2159">
        <v>3.8547828032308828E-2</v>
      </c>
      <c r="F2159" s="1">
        <v>3.1436255716662802E-2</v>
      </c>
      <c r="G2159" s="40">
        <f t="shared" si="86"/>
        <v>0</v>
      </c>
      <c r="H2159" s="33">
        <f t="shared" si="87"/>
        <v>-3.1436255716662802E-2</v>
      </c>
      <c r="I2159" s="43"/>
    </row>
    <row r="2160" spans="2:9" ht="15">
      <c r="B2160" s="32">
        <v>2</v>
      </c>
      <c r="C2160" s="66" t="s">
        <v>48</v>
      </c>
      <c r="D2160" s="64">
        <v>42677</v>
      </c>
      <c r="E2160">
        <v>4.1397524011164144E-2</v>
      </c>
      <c r="F2160" s="1">
        <v>3.6892111335892E-2</v>
      </c>
      <c r="G2160" s="40">
        <f t="shared" si="86"/>
        <v>0</v>
      </c>
      <c r="H2160" s="33">
        <f t="shared" si="87"/>
        <v>-3.6892111335892E-2</v>
      </c>
      <c r="I2160" s="43"/>
    </row>
    <row r="2161" spans="2:9" ht="15">
      <c r="B2161" s="32">
        <v>2</v>
      </c>
      <c r="C2161" s="66" t="s">
        <v>48</v>
      </c>
      <c r="D2161" s="64">
        <v>42678</v>
      </c>
      <c r="E2161">
        <v>4.7730513520227724E-2</v>
      </c>
      <c r="F2161" s="1">
        <v>3.5745680420716082E-2</v>
      </c>
      <c r="G2161" s="40">
        <f t="shared" si="86"/>
        <v>0</v>
      </c>
      <c r="H2161" s="33">
        <f t="shared" si="87"/>
        <v>-3.5745680420716082E-2</v>
      </c>
      <c r="I2161" s="43"/>
    </row>
    <row r="2162" spans="2:9" ht="15">
      <c r="B2162" s="32">
        <v>2</v>
      </c>
      <c r="C2162" s="66" t="s">
        <v>48</v>
      </c>
      <c r="D2162" s="64">
        <v>42681</v>
      </c>
      <c r="E2162">
        <v>2.3360662305830893E-2</v>
      </c>
      <c r="F2162" s="1">
        <v>3.1018031366857674E-2</v>
      </c>
      <c r="G2162" s="40">
        <f t="shared" si="86"/>
        <v>0</v>
      </c>
      <c r="H2162" s="33">
        <f t="shared" si="87"/>
        <v>-3.1018031366857674E-2</v>
      </c>
      <c r="I2162" s="43"/>
    </row>
    <row r="2163" spans="2:9" ht="15">
      <c r="B2163" s="32">
        <v>2</v>
      </c>
      <c r="C2163" s="66" t="s">
        <v>48</v>
      </c>
      <c r="D2163" s="64">
        <v>42682</v>
      </c>
      <c r="E2163">
        <v>2.7029486330619967E-2</v>
      </c>
      <c r="F2163" s="1">
        <v>8.9519432084032957E-2</v>
      </c>
      <c r="G2163" s="40">
        <f t="shared" si="86"/>
        <v>0</v>
      </c>
      <c r="H2163" s="33">
        <f t="shared" si="87"/>
        <v>-8.9519432084032957E-2</v>
      </c>
      <c r="I2163" s="43"/>
    </row>
    <row r="2164" spans="2:9" ht="15">
      <c r="B2164" s="32">
        <v>2</v>
      </c>
      <c r="C2164" s="66" t="s">
        <v>48</v>
      </c>
      <c r="D2164" s="64">
        <v>42683</v>
      </c>
      <c r="E2164">
        <v>1.8176457288189063E-2</v>
      </c>
      <c r="F2164" s="1">
        <v>7.7360663774995397E-2</v>
      </c>
      <c r="G2164" s="40">
        <f t="shared" si="86"/>
        <v>0</v>
      </c>
      <c r="H2164" s="33">
        <f t="shared" si="87"/>
        <v>-7.7360663774995397E-2</v>
      </c>
      <c r="I2164" s="43"/>
    </row>
    <row r="2165" spans="2:9" ht="15">
      <c r="B2165" s="32">
        <v>2</v>
      </c>
      <c r="C2165" s="66" t="s">
        <v>48</v>
      </c>
      <c r="D2165" s="64">
        <v>42684</v>
      </c>
      <c r="E2165">
        <v>1.7035310372677692E-2</v>
      </c>
      <c r="F2165" s="1">
        <v>7.8408492697921592E-2</v>
      </c>
      <c r="G2165" s="40">
        <f t="shared" si="86"/>
        <v>0</v>
      </c>
      <c r="H2165" s="33">
        <f t="shared" si="87"/>
        <v>-7.8408492697921592E-2</v>
      </c>
      <c r="I2165" s="43"/>
    </row>
    <row r="2166" spans="2:9" ht="15">
      <c r="B2166" s="32">
        <v>2</v>
      </c>
      <c r="C2166" s="66" t="s">
        <v>48</v>
      </c>
      <c r="D2166" s="64">
        <v>42685</v>
      </c>
      <c r="E2166">
        <v>2.2340984217694704E-2</v>
      </c>
      <c r="F2166" s="1">
        <v>6.6962932050801047E-2</v>
      </c>
      <c r="G2166" s="40">
        <f t="shared" si="86"/>
        <v>0</v>
      </c>
      <c r="H2166" s="33">
        <f t="shared" si="87"/>
        <v>-6.6962932050801047E-2</v>
      </c>
      <c r="I2166" s="43"/>
    </row>
    <row r="2167" spans="2:9" ht="15">
      <c r="B2167" s="32">
        <v>2</v>
      </c>
      <c r="C2167" s="66" t="s">
        <v>48</v>
      </c>
      <c r="D2167" s="64">
        <v>42688</v>
      </c>
      <c r="E2167">
        <v>1.7188104399682658E-2</v>
      </c>
      <c r="F2167" s="1">
        <v>5.7080291628557531E-2</v>
      </c>
      <c r="G2167" s="40">
        <f t="shared" si="86"/>
        <v>0</v>
      </c>
      <c r="H2167" s="33">
        <f t="shared" si="87"/>
        <v>-5.7080291628557531E-2</v>
      </c>
      <c r="I2167" s="43"/>
    </row>
    <row r="2168" spans="2:9" ht="15">
      <c r="B2168" s="32">
        <v>2</v>
      </c>
      <c r="C2168" s="66" t="s">
        <v>48</v>
      </c>
      <c r="D2168" s="64">
        <v>42689</v>
      </c>
      <c r="E2168">
        <v>1.1069551273502398E-2</v>
      </c>
      <c r="F2168" s="1">
        <v>4.8436320674710626E-2</v>
      </c>
      <c r="G2168" s="40">
        <f t="shared" si="86"/>
        <v>0</v>
      </c>
      <c r="H2168" s="33">
        <f t="shared" si="87"/>
        <v>-4.8436320674710626E-2</v>
      </c>
      <c r="I2168" s="43"/>
    </row>
    <row r="2169" spans="2:9" ht="15">
      <c r="B2169" s="32">
        <v>2</v>
      </c>
      <c r="C2169" s="66" t="s">
        <v>48</v>
      </c>
      <c r="D2169" s="64">
        <v>42690</v>
      </c>
      <c r="E2169">
        <v>9.9961378551931546E-3</v>
      </c>
      <c r="F2169" s="1">
        <v>5.0307943952977711E-2</v>
      </c>
      <c r="G2169" s="40">
        <f t="shared" si="86"/>
        <v>0</v>
      </c>
      <c r="H2169" s="33">
        <f t="shared" si="87"/>
        <v>-5.0307943952977711E-2</v>
      </c>
      <c r="I2169" s="43"/>
    </row>
    <row r="2170" spans="2:9" ht="15">
      <c r="B2170" s="32">
        <v>2</v>
      </c>
      <c r="C2170" s="66" t="s">
        <v>48</v>
      </c>
      <c r="D2170" s="64">
        <v>42691</v>
      </c>
      <c r="E2170">
        <v>1.8089451845373361E-3</v>
      </c>
      <c r="F2170" s="1">
        <v>4.3130471169439369E-2</v>
      </c>
      <c r="G2170" s="40">
        <f t="shared" si="86"/>
        <v>0</v>
      </c>
      <c r="H2170" s="33">
        <f t="shared" si="87"/>
        <v>-4.3130471169439369E-2</v>
      </c>
      <c r="I2170" s="43"/>
    </row>
    <row r="2171" spans="2:9" ht="15">
      <c r="B2171" s="32">
        <v>2</v>
      </c>
      <c r="C2171" s="66" t="s">
        <v>48</v>
      </c>
      <c r="D2171" s="64">
        <v>42692</v>
      </c>
      <c r="E2171">
        <v>4.5955243206252661E-3</v>
      </c>
      <c r="F2171" s="1">
        <v>4.0855930135245841E-2</v>
      </c>
      <c r="G2171" s="40">
        <f t="shared" si="86"/>
        <v>0</v>
      </c>
      <c r="H2171" s="33">
        <f t="shared" si="87"/>
        <v>-4.0855930135245841E-2</v>
      </c>
      <c r="I2171" s="43"/>
    </row>
    <row r="2172" spans="2:9" ht="15">
      <c r="B2172" s="32">
        <v>2</v>
      </c>
      <c r="C2172" s="66" t="s">
        <v>48</v>
      </c>
      <c r="D2172" s="64">
        <v>42695</v>
      </c>
      <c r="E2172">
        <v>2.9662489622213073E-3</v>
      </c>
      <c r="F2172" s="1">
        <v>3.5893746031498551E-2</v>
      </c>
      <c r="G2172" s="40">
        <f t="shared" si="86"/>
        <v>0</v>
      </c>
      <c r="H2172" s="33">
        <f t="shared" si="87"/>
        <v>-3.5893746031498551E-2</v>
      </c>
      <c r="I2172" s="43"/>
    </row>
    <row r="2173" spans="2:9" ht="15">
      <c r="B2173" s="32">
        <v>2</v>
      </c>
      <c r="C2173" s="66" t="s">
        <v>48</v>
      </c>
      <c r="D2173" s="64">
        <v>42696</v>
      </c>
      <c r="E2173">
        <v>4.2082424351637115E-3</v>
      </c>
      <c r="F2173" s="1">
        <v>4.2011789806739704E-2</v>
      </c>
      <c r="G2173" s="40">
        <f t="shared" si="86"/>
        <v>0</v>
      </c>
      <c r="H2173" s="33">
        <f t="shared" si="87"/>
        <v>-4.2011789806739704E-2</v>
      </c>
      <c r="I2173" s="43"/>
    </row>
    <row r="2174" spans="2:9" ht="15">
      <c r="B2174" s="32">
        <v>2</v>
      </c>
      <c r="C2174" s="66" t="s">
        <v>48</v>
      </c>
      <c r="D2174" s="64">
        <v>42697</v>
      </c>
      <c r="E2174">
        <v>1.6477903069168853E-2</v>
      </c>
      <c r="F2174" s="1">
        <v>3.6629153379346135E-2</v>
      </c>
      <c r="G2174" s="40">
        <f t="shared" si="86"/>
        <v>0</v>
      </c>
      <c r="H2174" s="33">
        <f t="shared" si="87"/>
        <v>-3.6629153379346135E-2</v>
      </c>
      <c r="I2174" s="43"/>
    </row>
    <row r="2175" spans="2:9" ht="15">
      <c r="B2175" s="32">
        <v>2</v>
      </c>
      <c r="C2175" s="66" t="s">
        <v>48</v>
      </c>
      <c r="D2175" s="64">
        <v>42699</v>
      </c>
      <c r="E2175">
        <v>1.472817211773414E-2</v>
      </c>
      <c r="F2175" s="1">
        <v>3.1239493854914827E-2</v>
      </c>
      <c r="G2175" s="40">
        <f t="shared" si="86"/>
        <v>0</v>
      </c>
      <c r="H2175" s="33">
        <f t="shared" si="87"/>
        <v>-3.1239493854914827E-2</v>
      </c>
      <c r="I2175" s="43"/>
    </row>
    <row r="2176" spans="2:9" ht="15">
      <c r="B2176" s="32">
        <v>2</v>
      </c>
      <c r="C2176" s="66" t="s">
        <v>48</v>
      </c>
      <c r="D2176" s="64">
        <v>42702</v>
      </c>
      <c r="E2176">
        <v>2.5917979975383254E-2</v>
      </c>
      <c r="F2176" s="1">
        <v>3.0560301993710719E-2</v>
      </c>
      <c r="G2176" s="40">
        <f t="shared" si="86"/>
        <v>0</v>
      </c>
      <c r="H2176" s="33">
        <f t="shared" si="87"/>
        <v>-3.0560301993710719E-2</v>
      </c>
      <c r="I2176" s="43"/>
    </row>
    <row r="2177" spans="2:9" ht="15">
      <c r="B2177" s="32">
        <v>2</v>
      </c>
      <c r="C2177" s="66" t="s">
        <v>48</v>
      </c>
      <c r="D2177" s="64">
        <v>42703</v>
      </c>
      <c r="E2177">
        <v>2.3445495675050942E-2</v>
      </c>
      <c r="F2177" s="1">
        <v>3.3060929671664629E-2</v>
      </c>
      <c r="G2177" s="40">
        <f t="shared" si="86"/>
        <v>0</v>
      </c>
      <c r="H2177" s="33">
        <f t="shared" si="87"/>
        <v>-3.3060929671664629E-2</v>
      </c>
      <c r="I2177" s="43"/>
    </row>
    <row r="2178" spans="2:9" ht="15">
      <c r="B2178" s="32">
        <v>2</v>
      </c>
      <c r="C2178" s="66" t="s">
        <v>48</v>
      </c>
      <c r="D2178" s="64">
        <v>42704</v>
      </c>
      <c r="E2178">
        <v>3.2620909300065115E-2</v>
      </c>
      <c r="F2178" s="1">
        <v>2.8529992402048881E-2</v>
      </c>
      <c r="G2178" s="40">
        <f t="shared" si="86"/>
        <v>0</v>
      </c>
      <c r="H2178" s="33">
        <f t="shared" si="87"/>
        <v>-2.8529992402048881E-2</v>
      </c>
      <c r="I2178" s="43"/>
    </row>
    <row r="2179" spans="2:9" ht="15">
      <c r="B2179" s="32">
        <v>2</v>
      </c>
      <c r="C2179" s="66" t="s">
        <v>48</v>
      </c>
      <c r="D2179" s="64">
        <v>42705</v>
      </c>
      <c r="E2179">
        <v>2.7992336784343763E-2</v>
      </c>
      <c r="F2179" s="1">
        <v>2.6325328779214972E-2</v>
      </c>
      <c r="G2179" s="40">
        <f t="shared" si="86"/>
        <v>0</v>
      </c>
      <c r="H2179" s="33">
        <f t="shared" si="87"/>
        <v>-2.6325328779214972E-2</v>
      </c>
      <c r="I2179" s="43"/>
    </row>
    <row r="2180" spans="2:9" ht="15">
      <c r="B2180" s="32">
        <v>2</v>
      </c>
      <c r="C2180" s="66" t="s">
        <v>48</v>
      </c>
      <c r="D2180" s="64">
        <v>42706</v>
      </c>
      <c r="E2180">
        <v>3.147111677368386E-2</v>
      </c>
      <c r="F2180" s="1">
        <v>2.6209080334526846E-2</v>
      </c>
      <c r="G2180" s="40">
        <f t="shared" si="86"/>
        <v>0</v>
      </c>
      <c r="H2180" s="33">
        <f t="shared" si="87"/>
        <v>-2.6209080334526846E-2</v>
      </c>
      <c r="I2180" s="43"/>
    </row>
    <row r="2181" spans="2:9" ht="15">
      <c r="B2181" s="32">
        <v>2</v>
      </c>
      <c r="C2181" s="66" t="s">
        <v>48</v>
      </c>
      <c r="D2181" s="64">
        <v>42709</v>
      </c>
      <c r="E2181">
        <v>2.3914532961290647E-2</v>
      </c>
      <c r="F2181" s="1">
        <v>2.2292753745360994E-2</v>
      </c>
      <c r="G2181" s="40">
        <f t="shared" si="86"/>
        <v>0</v>
      </c>
      <c r="H2181" s="33">
        <f t="shared" si="87"/>
        <v>-2.2292753745360994E-2</v>
      </c>
      <c r="I2181" s="43"/>
    </row>
    <row r="2182" spans="2:9" ht="15">
      <c r="B2182" s="32">
        <v>2</v>
      </c>
      <c r="C2182" s="66" t="s">
        <v>48</v>
      </c>
      <c r="D2182" s="64">
        <v>42710</v>
      </c>
      <c r="E2182">
        <v>2.2482621475804265E-2</v>
      </c>
      <c r="F2182" s="1">
        <v>2.9467809213986472E-2</v>
      </c>
      <c r="G2182" s="40">
        <f t="shared" si="86"/>
        <v>0</v>
      </c>
      <c r="H2182" s="33">
        <f t="shared" si="87"/>
        <v>-2.9467809213986472E-2</v>
      </c>
      <c r="I2182" s="43"/>
    </row>
    <row r="2183" spans="2:9" ht="15">
      <c r="B2183" s="32">
        <v>2</v>
      </c>
      <c r="C2183" s="66" t="s">
        <v>48</v>
      </c>
      <c r="D2183" s="64">
        <v>42711</v>
      </c>
      <c r="E2183">
        <v>1.3036175001404082E-2</v>
      </c>
      <c r="F2183" s="1">
        <v>2.8300349178625978E-2</v>
      </c>
      <c r="G2183" s="40">
        <f t="shared" si="86"/>
        <v>0</v>
      </c>
      <c r="H2183" s="33">
        <f t="shared" si="87"/>
        <v>-2.8300349178625978E-2</v>
      </c>
      <c r="I2183" s="43"/>
    </row>
    <row r="2184" spans="2:9" ht="15">
      <c r="B2184" s="32">
        <v>2</v>
      </c>
      <c r="C2184" s="66" t="s">
        <v>48</v>
      </c>
      <c r="D2184" s="64">
        <v>42712</v>
      </c>
      <c r="E2184">
        <v>8.4187746495221205E-3</v>
      </c>
      <c r="F2184" s="1">
        <v>5.6286166668243376E-2</v>
      </c>
      <c r="G2184" s="40">
        <f t="shared" si="86"/>
        <v>0</v>
      </c>
      <c r="H2184" s="33">
        <f t="shared" si="87"/>
        <v>-5.6286166668243376E-2</v>
      </c>
      <c r="I2184" s="43"/>
    </row>
    <row r="2185" spans="2:9" ht="15">
      <c r="B2185" s="32">
        <v>2</v>
      </c>
      <c r="C2185" s="66" t="s">
        <v>48</v>
      </c>
      <c r="D2185" s="64">
        <v>42713</v>
      </c>
      <c r="E2185">
        <v>6.3264471367308062E-4</v>
      </c>
      <c r="F2185" s="1">
        <v>4.8492879975631273E-2</v>
      </c>
      <c r="G2185" s="40">
        <f t="shared" si="86"/>
        <v>0</v>
      </c>
      <c r="H2185" s="33">
        <f t="shared" si="87"/>
        <v>-4.8492879975631273E-2</v>
      </c>
      <c r="I2185" s="43"/>
    </row>
    <row r="2186" spans="2:9" ht="15">
      <c r="B2186" s="32">
        <v>2</v>
      </c>
      <c r="C2186" s="66" t="s">
        <v>48</v>
      </c>
      <c r="D2186" s="64">
        <v>42716</v>
      </c>
      <c r="E2186">
        <v>3.0216593250198542E-3</v>
      </c>
      <c r="F2186" s="1">
        <v>4.7164033830935495E-2</v>
      </c>
      <c r="G2186" s="40">
        <f t="shared" si="86"/>
        <v>0</v>
      </c>
      <c r="H2186" s="33">
        <f t="shared" si="87"/>
        <v>-4.7164033830935495E-2</v>
      </c>
      <c r="I2186" s="43"/>
    </row>
    <row r="2187" spans="2:9" ht="15">
      <c r="B2187" s="32">
        <v>2</v>
      </c>
      <c r="C2187" s="66" t="s">
        <v>48</v>
      </c>
      <c r="D2187" s="64">
        <v>42717</v>
      </c>
      <c r="E2187">
        <v>-1.2509749644102897E-3</v>
      </c>
      <c r="F2187" s="1">
        <v>4.0264478283843927E-2</v>
      </c>
      <c r="G2187" s="40">
        <f t="shared" ref="G2187:G2250" si="89">--(E2187&lt;-F2187)</f>
        <v>0</v>
      </c>
      <c r="H2187" s="33">
        <f t="shared" ref="H2187:H2250" si="90">-F2187</f>
        <v>-4.0264478283843927E-2</v>
      </c>
      <c r="I2187" s="43"/>
    </row>
    <row r="2188" spans="2:9" ht="15">
      <c r="B2188" s="32">
        <v>2</v>
      </c>
      <c r="C2188" s="66" t="s">
        <v>48</v>
      </c>
      <c r="D2188" s="64">
        <v>42718</v>
      </c>
      <c r="E2188">
        <v>-1.4923199769709683E-3</v>
      </c>
      <c r="F2188" s="1">
        <v>4.2557698258650127E-2</v>
      </c>
      <c r="G2188" s="40">
        <f t="shared" si="89"/>
        <v>0</v>
      </c>
      <c r="H2188" s="33">
        <f t="shared" si="90"/>
        <v>-4.2557698258650127E-2</v>
      </c>
      <c r="I2188" s="43"/>
    </row>
    <row r="2189" spans="2:9" ht="15">
      <c r="B2189" s="32">
        <v>2</v>
      </c>
      <c r="C2189" s="66" t="s">
        <v>48</v>
      </c>
      <c r="D2189" s="64">
        <v>42719</v>
      </c>
      <c r="E2189">
        <v>-5.6613753482590568E-3</v>
      </c>
      <c r="F2189" s="1">
        <v>4.8068981029697519E-2</v>
      </c>
      <c r="G2189" s="40">
        <f t="shared" si="89"/>
        <v>0</v>
      </c>
      <c r="H2189" s="33">
        <f t="shared" si="90"/>
        <v>-4.8068981029697519E-2</v>
      </c>
      <c r="I2189" s="43"/>
    </row>
    <row r="2190" spans="2:9" ht="15">
      <c r="B2190" s="32">
        <v>2</v>
      </c>
      <c r="C2190" s="66" t="s">
        <v>48</v>
      </c>
      <c r="D2190" s="64">
        <v>42720</v>
      </c>
      <c r="E2190">
        <v>-8.557053426257788E-3</v>
      </c>
      <c r="F2190" s="1">
        <v>4.348874392794954E-2</v>
      </c>
      <c r="G2190" s="40">
        <f t="shared" si="89"/>
        <v>0</v>
      </c>
      <c r="H2190" s="33">
        <f t="shared" si="90"/>
        <v>-4.348874392794954E-2</v>
      </c>
      <c r="I2190" s="43"/>
    </row>
    <row r="2191" spans="2:9" ht="15">
      <c r="B2191" s="32">
        <v>2</v>
      </c>
      <c r="C2191" s="66" t="s">
        <v>48</v>
      </c>
      <c r="D2191" s="64">
        <v>42723</v>
      </c>
      <c r="E2191">
        <v>-2.0794594157793611E-3</v>
      </c>
      <c r="F2191" s="1">
        <v>3.7526476843019227E-2</v>
      </c>
      <c r="G2191" s="40">
        <f t="shared" si="89"/>
        <v>0</v>
      </c>
      <c r="H2191" s="33">
        <f t="shared" si="90"/>
        <v>-3.7526476843019227E-2</v>
      </c>
      <c r="I2191" s="43"/>
    </row>
    <row r="2192" spans="2:9" ht="15">
      <c r="B2192" s="32">
        <v>2</v>
      </c>
      <c r="C2192" s="66" t="s">
        <v>48</v>
      </c>
      <c r="D2192" s="64">
        <v>42724</v>
      </c>
      <c r="E2192">
        <v>-4.4082254477828542E-6</v>
      </c>
      <c r="F2192" s="1">
        <v>3.2755584125287687E-2</v>
      </c>
      <c r="G2192" s="40">
        <f t="shared" si="89"/>
        <v>0</v>
      </c>
      <c r="H2192" s="33">
        <f t="shared" si="90"/>
        <v>-3.2755584125287687E-2</v>
      </c>
      <c r="I2192" s="43"/>
    </row>
    <row r="2193" spans="2:9" ht="15">
      <c r="B2193" s="32">
        <v>2</v>
      </c>
      <c r="C2193" s="66" t="s">
        <v>48</v>
      </c>
      <c r="D2193" s="64">
        <v>42725</v>
      </c>
      <c r="E2193">
        <v>1.6850098413101477E-3</v>
      </c>
      <c r="F2193" s="1">
        <v>3.1181442574553107E-2</v>
      </c>
      <c r="G2193" s="40">
        <f t="shared" si="89"/>
        <v>0</v>
      </c>
      <c r="H2193" s="33">
        <f t="shared" si="90"/>
        <v>-3.1181442574553107E-2</v>
      </c>
      <c r="I2193" s="43"/>
    </row>
    <row r="2194" spans="2:9" ht="15">
      <c r="B2194" s="32">
        <v>2</v>
      </c>
      <c r="C2194" s="66" t="s">
        <v>48</v>
      </c>
      <c r="D2194" s="64">
        <v>42726</v>
      </c>
      <c r="E2194">
        <v>7.0605101694294348E-3</v>
      </c>
      <c r="F2194" s="1">
        <v>2.813847530390761E-2</v>
      </c>
      <c r="G2194" s="40">
        <f t="shared" si="89"/>
        <v>0</v>
      </c>
      <c r="H2194" s="33">
        <f t="shared" si="90"/>
        <v>-2.813847530390761E-2</v>
      </c>
      <c r="I2194" s="43"/>
    </row>
    <row r="2195" spans="2:9" ht="15">
      <c r="B2195" s="32">
        <v>2</v>
      </c>
      <c r="C2195" s="66" t="s">
        <v>48</v>
      </c>
      <c r="D2195" s="64">
        <v>42727</v>
      </c>
      <c r="E2195">
        <v>2.2546722724028356E-3</v>
      </c>
      <c r="F2195" s="1">
        <v>2.4955308437275281E-2</v>
      </c>
      <c r="G2195" s="40">
        <f t="shared" si="89"/>
        <v>0</v>
      </c>
      <c r="H2195" s="33">
        <f t="shared" si="90"/>
        <v>-2.4955308437275281E-2</v>
      </c>
      <c r="I2195" s="43"/>
    </row>
    <row r="2196" spans="2:9" ht="15">
      <c r="B2196" s="32">
        <v>2</v>
      </c>
      <c r="C2196" s="66" t="s">
        <v>48</v>
      </c>
      <c r="D2196" s="64">
        <v>42731</v>
      </c>
      <c r="E2196">
        <v>8.8232576054281253E-6</v>
      </c>
      <c r="F2196" s="1">
        <v>2.1727975481215588E-2</v>
      </c>
      <c r="G2196" s="40">
        <f t="shared" si="89"/>
        <v>0</v>
      </c>
      <c r="H2196" s="33">
        <f t="shared" si="90"/>
        <v>-2.1727975481215588E-2</v>
      </c>
      <c r="I2196" s="43"/>
    </row>
    <row r="2197" spans="2:9" ht="15">
      <c r="B2197" s="32">
        <v>2</v>
      </c>
      <c r="C2197" s="66" t="s">
        <v>48</v>
      </c>
      <c r="D2197" s="64">
        <v>42732</v>
      </c>
      <c r="E2197">
        <v>1.1226106377121958E-2</v>
      </c>
      <c r="F2197" s="1">
        <v>2.0404566911604135E-2</v>
      </c>
      <c r="G2197" s="40">
        <f t="shared" si="89"/>
        <v>0</v>
      </c>
      <c r="H2197" s="33">
        <f t="shared" si="90"/>
        <v>-2.0404566911604135E-2</v>
      </c>
      <c r="I2197" s="43"/>
    </row>
    <row r="2198" spans="2:9" ht="15">
      <c r="B2198" s="32">
        <v>2</v>
      </c>
      <c r="C2198" s="66" t="s">
        <v>48</v>
      </c>
      <c r="D2198" s="64">
        <v>42733</v>
      </c>
      <c r="E2198">
        <v>9.3723416456326092E-3</v>
      </c>
      <c r="F2198" s="1">
        <v>3.6971063370236548E-2</v>
      </c>
      <c r="G2198" s="40">
        <f t="shared" si="89"/>
        <v>0</v>
      </c>
      <c r="H2198" s="33">
        <f t="shared" si="90"/>
        <v>-3.6971063370236548E-2</v>
      </c>
      <c r="I2198" s="43"/>
    </row>
    <row r="2199" spans="2:9" ht="15">
      <c r="B2199" s="32">
        <v>2</v>
      </c>
      <c r="C2199" s="66" t="s">
        <v>48</v>
      </c>
      <c r="D2199" s="64">
        <v>42734</v>
      </c>
      <c r="E2199">
        <v>1.5868308262065867E-2</v>
      </c>
      <c r="F2199" s="1">
        <v>3.1391763959273254E-2</v>
      </c>
      <c r="G2199" s="40">
        <f t="shared" si="89"/>
        <v>0</v>
      </c>
      <c r="H2199" s="33">
        <f t="shared" si="90"/>
        <v>-3.1391763959273254E-2</v>
      </c>
      <c r="I2199" s="43"/>
    </row>
    <row r="2200" spans="2:9" ht="15">
      <c r="B2200" s="32">
        <v>2</v>
      </c>
      <c r="C2200" s="66" t="s">
        <v>48</v>
      </c>
      <c r="D2200" s="64">
        <v>42738</v>
      </c>
      <c r="E2200">
        <v>4.445627052771961E-3</v>
      </c>
      <c r="F2200" s="1">
        <v>3.22004055754226E-2</v>
      </c>
      <c r="G2200" s="40">
        <f t="shared" si="89"/>
        <v>0</v>
      </c>
      <c r="H2200" s="33">
        <f t="shared" si="90"/>
        <v>-3.22004055754226E-2</v>
      </c>
      <c r="I2200" s="43"/>
    </row>
    <row r="2201" spans="2:9" ht="15">
      <c r="B2201" s="32">
        <v>2</v>
      </c>
      <c r="C2201" s="66" t="s">
        <v>48</v>
      </c>
      <c r="D2201" s="64">
        <v>42739</v>
      </c>
      <c r="E2201">
        <v>5.0186369634186434E-4</v>
      </c>
      <c r="F2201" s="1">
        <v>4.276358019681948E-2</v>
      </c>
      <c r="G2201" s="40">
        <f t="shared" si="89"/>
        <v>0</v>
      </c>
      <c r="H2201" s="33">
        <f t="shared" si="90"/>
        <v>-4.276358019681948E-2</v>
      </c>
      <c r="I2201" s="43"/>
    </row>
    <row r="2202" spans="2:9" ht="15">
      <c r="B2202" s="32">
        <v>2</v>
      </c>
      <c r="C2202" s="66" t="s">
        <v>48</v>
      </c>
      <c r="D2202" s="64">
        <v>42740</v>
      </c>
      <c r="E2202">
        <v>-2.3430066906531266E-3</v>
      </c>
      <c r="F2202" s="1">
        <v>4.2544597375867826E-2</v>
      </c>
      <c r="G2202" s="40">
        <f t="shared" si="89"/>
        <v>0</v>
      </c>
      <c r="H2202" s="33">
        <f t="shared" si="90"/>
        <v>-4.2544597375867826E-2</v>
      </c>
      <c r="I2202" s="43"/>
    </row>
    <row r="2203" spans="2:9" ht="15">
      <c r="B2203" s="32">
        <v>2</v>
      </c>
      <c r="C2203" s="66" t="s">
        <v>48</v>
      </c>
      <c r="D2203" s="64">
        <v>42741</v>
      </c>
      <c r="E2203">
        <v>-2.4932112457420885E-3</v>
      </c>
      <c r="F2203" s="1">
        <v>3.6224822702912468E-2</v>
      </c>
      <c r="G2203" s="40">
        <f t="shared" si="89"/>
        <v>0</v>
      </c>
      <c r="H2203" s="33">
        <f t="shared" si="90"/>
        <v>-3.6224822702912468E-2</v>
      </c>
      <c r="I2203" s="43"/>
    </row>
    <row r="2204" spans="2:9" ht="15">
      <c r="B2204" s="32">
        <v>2</v>
      </c>
      <c r="C2204" s="66" t="s">
        <v>48</v>
      </c>
      <c r="D2204" s="64">
        <v>42744</v>
      </c>
      <c r="E2204">
        <v>-1.6320557293507676E-3</v>
      </c>
      <c r="F2204" s="1">
        <v>3.363904524037041E-2</v>
      </c>
      <c r="G2204" s="40">
        <f t="shared" si="89"/>
        <v>0</v>
      </c>
      <c r="H2204" s="33">
        <f t="shared" si="90"/>
        <v>-3.363904524037041E-2</v>
      </c>
      <c r="I2204" s="43"/>
    </row>
    <row r="2205" spans="2:9" ht="15">
      <c r="B2205" s="32">
        <v>2</v>
      </c>
      <c r="C2205" s="66" t="s">
        <v>48</v>
      </c>
      <c r="D2205" s="64">
        <v>42745</v>
      </c>
      <c r="E2205">
        <v>4.9110847178717165E-3</v>
      </c>
      <c r="F2205" s="1">
        <v>3.1721272236230877E-2</v>
      </c>
      <c r="G2205" s="40">
        <f t="shared" si="89"/>
        <v>0</v>
      </c>
      <c r="H2205" s="33">
        <f t="shared" si="90"/>
        <v>-3.1721272236230877E-2</v>
      </c>
      <c r="I2205" s="43"/>
    </row>
    <row r="2206" spans="2:9" ht="15">
      <c r="B2206" s="32">
        <v>2</v>
      </c>
      <c r="C2206" s="66" t="s">
        <v>48</v>
      </c>
      <c r="D2206" s="64">
        <v>42746</v>
      </c>
      <c r="E2206">
        <v>1.0079495207214961E-2</v>
      </c>
      <c r="F2206" s="1">
        <v>2.6916392047324097E-2</v>
      </c>
      <c r="G2206" s="40">
        <f t="shared" si="89"/>
        <v>0</v>
      </c>
      <c r="H2206" s="33">
        <f t="shared" si="90"/>
        <v>-2.6916392047324097E-2</v>
      </c>
      <c r="I2206" s="43"/>
    </row>
    <row r="2207" spans="2:9" ht="15">
      <c r="B2207" s="32">
        <v>2</v>
      </c>
      <c r="C2207" s="66" t="s">
        <v>48</v>
      </c>
      <c r="D2207" s="64">
        <v>42747</v>
      </c>
      <c r="E2207">
        <v>1.1490952924721576E-2</v>
      </c>
      <c r="F2207" s="1">
        <v>2.5349994090483718E-2</v>
      </c>
      <c r="G2207" s="40">
        <f t="shared" si="89"/>
        <v>0</v>
      </c>
      <c r="H2207" s="33">
        <f t="shared" si="90"/>
        <v>-2.5349994090483718E-2</v>
      </c>
      <c r="I2207" s="43"/>
    </row>
    <row r="2208" spans="2:9" ht="15">
      <c r="B2208" s="32">
        <v>2</v>
      </c>
      <c r="C2208" s="66" t="s">
        <v>48</v>
      </c>
      <c r="D2208" s="64">
        <v>42748</v>
      </c>
      <c r="E2208">
        <v>8.775981341919703E-3</v>
      </c>
      <c r="F2208" s="1">
        <v>2.3076960533781846E-2</v>
      </c>
      <c r="G2208" s="40">
        <f t="shared" si="89"/>
        <v>0</v>
      </c>
      <c r="H2208" s="33">
        <f t="shared" si="90"/>
        <v>-2.3076960533781846E-2</v>
      </c>
      <c r="I2208" s="43"/>
    </row>
    <row r="2209" spans="2:9" ht="15">
      <c r="B2209" s="32">
        <v>2</v>
      </c>
      <c r="C2209" s="66" t="s">
        <v>48</v>
      </c>
      <c r="D2209" s="64">
        <v>42752</v>
      </c>
      <c r="E2209">
        <v>5.7202223278212116E-3</v>
      </c>
      <c r="F2209" s="1">
        <v>2.0861224497768789E-2</v>
      </c>
      <c r="G2209" s="40">
        <f t="shared" si="89"/>
        <v>0</v>
      </c>
      <c r="H2209" s="33">
        <f t="shared" si="90"/>
        <v>-2.0861224497768789E-2</v>
      </c>
      <c r="I2209" s="43"/>
    </row>
    <row r="2210" spans="2:9" ht="15">
      <c r="B2210" s="32">
        <v>2</v>
      </c>
      <c r="C2210" s="66" t="s">
        <v>48</v>
      </c>
      <c r="D2210" s="64">
        <v>42753</v>
      </c>
      <c r="E2210">
        <v>3.0677203187368107E-3</v>
      </c>
      <c r="F2210" s="1">
        <v>2.1146523467765636E-2</v>
      </c>
      <c r="G2210" s="40">
        <f t="shared" si="89"/>
        <v>0</v>
      </c>
      <c r="H2210" s="33">
        <f t="shared" si="90"/>
        <v>-2.1146523467765636E-2</v>
      </c>
      <c r="I2210" s="43"/>
    </row>
    <row r="2211" spans="2:9" ht="15">
      <c r="B2211" s="32">
        <v>2</v>
      </c>
      <c r="C2211" s="66" t="s">
        <v>48</v>
      </c>
      <c r="D2211" s="64">
        <v>42754</v>
      </c>
      <c r="E2211">
        <v>6.9818774540060247E-3</v>
      </c>
      <c r="F2211" s="1">
        <v>1.9209962227240231E-2</v>
      </c>
      <c r="G2211" s="40">
        <f t="shared" si="89"/>
        <v>0</v>
      </c>
      <c r="H2211" s="33">
        <f t="shared" si="90"/>
        <v>-1.9209962227240231E-2</v>
      </c>
      <c r="I2211" s="43"/>
    </row>
    <row r="2212" spans="2:9" ht="15">
      <c r="B2212" s="32">
        <v>2</v>
      </c>
      <c r="C2212" s="66" t="s">
        <v>48</v>
      </c>
      <c r="D2212" s="64">
        <v>42755</v>
      </c>
      <c r="E2212">
        <v>4.1914399483840015E-3</v>
      </c>
      <c r="F2212" s="1">
        <v>2.1536362692410993E-2</v>
      </c>
      <c r="G2212" s="40">
        <f t="shared" si="89"/>
        <v>0</v>
      </c>
      <c r="H2212" s="33">
        <f t="shared" si="90"/>
        <v>-2.1536362692410993E-2</v>
      </c>
      <c r="I2212" s="43"/>
    </row>
    <row r="2213" spans="2:9" ht="15">
      <c r="B2213" s="32">
        <v>2</v>
      </c>
      <c r="C2213" s="66" t="s">
        <v>48</v>
      </c>
      <c r="D2213" s="64">
        <v>42758</v>
      </c>
      <c r="E2213">
        <v>1.4123686607443453E-2</v>
      </c>
      <c r="F2213" s="1">
        <v>2.2474007278468003E-2</v>
      </c>
      <c r="G2213" s="40">
        <f t="shared" si="89"/>
        <v>0</v>
      </c>
      <c r="H2213" s="33">
        <f t="shared" si="90"/>
        <v>-2.2474007278468003E-2</v>
      </c>
      <c r="I2213" s="43"/>
    </row>
    <row r="2214" spans="2:9" ht="15">
      <c r="B2214" s="32">
        <v>2</v>
      </c>
      <c r="C2214" s="66" t="s">
        <v>48</v>
      </c>
      <c r="D2214" s="64">
        <v>42759</v>
      </c>
      <c r="E2214">
        <v>5.4629487693063083E-3</v>
      </c>
      <c r="F2214" s="1">
        <v>2.1762699078949576E-2</v>
      </c>
      <c r="G2214" s="40">
        <f t="shared" si="89"/>
        <v>0</v>
      </c>
      <c r="H2214" s="33">
        <f t="shared" si="90"/>
        <v>-2.1762699078949576E-2</v>
      </c>
      <c r="I2214" s="43"/>
    </row>
    <row r="2215" spans="2:9" ht="15">
      <c r="B2215" s="32">
        <v>2</v>
      </c>
      <c r="C2215" s="66" t="s">
        <v>48</v>
      </c>
      <c r="D2215" s="64">
        <v>42760</v>
      </c>
      <c r="E2215">
        <v>-2.304300870568099E-3</v>
      </c>
      <c r="F2215" s="1">
        <v>3.1460396191448768E-2</v>
      </c>
      <c r="G2215" s="40">
        <f t="shared" si="89"/>
        <v>0</v>
      </c>
      <c r="H2215" s="33">
        <f t="shared" si="90"/>
        <v>-3.1460396191448768E-2</v>
      </c>
      <c r="I2215" s="43"/>
    </row>
    <row r="2216" spans="2:9" ht="15">
      <c r="B2216" s="32">
        <v>2</v>
      </c>
      <c r="C2216" s="66" t="s">
        <v>48</v>
      </c>
      <c r="D2216" s="64">
        <v>42761</v>
      </c>
      <c r="E2216">
        <v>-8.7556391576448789E-4</v>
      </c>
      <c r="F2216" s="1">
        <v>4.0999936832572928E-2</v>
      </c>
      <c r="G2216" s="40">
        <f t="shared" si="89"/>
        <v>0</v>
      </c>
      <c r="H2216" s="33">
        <f t="shared" si="90"/>
        <v>-4.0999936832572928E-2</v>
      </c>
      <c r="I2216" s="43"/>
    </row>
    <row r="2217" spans="2:9" ht="15">
      <c r="B2217" s="32">
        <v>2</v>
      </c>
      <c r="C2217" s="66" t="s">
        <v>48</v>
      </c>
      <c r="D2217" s="64">
        <v>42762</v>
      </c>
      <c r="E2217">
        <v>5.727339507734186E-3</v>
      </c>
      <c r="F2217" s="1">
        <v>3.4907263636393966E-2</v>
      </c>
      <c r="G2217" s="40">
        <f t="shared" si="89"/>
        <v>0</v>
      </c>
      <c r="H2217" s="33">
        <f t="shared" si="90"/>
        <v>-3.4907263636393966E-2</v>
      </c>
      <c r="I2217" s="43"/>
    </row>
    <row r="2218" spans="2:9" ht="15">
      <c r="B2218" s="32">
        <v>2</v>
      </c>
      <c r="C2218" s="66" t="s">
        <v>48</v>
      </c>
      <c r="D2218" s="64">
        <v>42765</v>
      </c>
      <c r="E2218">
        <v>1.5314720029169671E-2</v>
      </c>
      <c r="F2218" s="1">
        <v>2.9811384455378731E-2</v>
      </c>
      <c r="G2218" s="40">
        <f t="shared" si="89"/>
        <v>0</v>
      </c>
      <c r="H2218" s="33">
        <f t="shared" si="90"/>
        <v>-2.9811384455378731E-2</v>
      </c>
      <c r="I2218" s="43"/>
    </row>
    <row r="2219" spans="2:9" ht="15">
      <c r="B2219" s="32">
        <v>2</v>
      </c>
      <c r="C2219" s="66" t="s">
        <v>48</v>
      </c>
      <c r="D2219" s="64">
        <v>42766</v>
      </c>
      <c r="E2219">
        <v>2.1437155004365493E-2</v>
      </c>
      <c r="F2219" s="1">
        <v>3.4502755260550702E-2</v>
      </c>
      <c r="G2219" s="40">
        <f t="shared" si="89"/>
        <v>0</v>
      </c>
      <c r="H2219" s="33">
        <f t="shared" si="90"/>
        <v>-3.4502755260550702E-2</v>
      </c>
      <c r="I2219" s="43"/>
    </row>
    <row r="2220" spans="2:9" ht="15">
      <c r="B2220" s="32">
        <v>2</v>
      </c>
      <c r="C2220" s="66" t="s">
        <v>48</v>
      </c>
      <c r="D2220" s="64">
        <v>42767</v>
      </c>
      <c r="E2220">
        <v>2.5138163000771208E-2</v>
      </c>
      <c r="F2220" s="1">
        <v>2.9480976137174479E-2</v>
      </c>
      <c r="G2220" s="40">
        <f t="shared" si="89"/>
        <v>0</v>
      </c>
      <c r="H2220" s="33">
        <f t="shared" si="90"/>
        <v>-2.9480976137174479E-2</v>
      </c>
      <c r="I2220" s="43"/>
    </row>
    <row r="2221" spans="2:9" ht="15">
      <c r="B2221" s="32">
        <v>2</v>
      </c>
      <c r="C2221" s="66" t="s">
        <v>48</v>
      </c>
      <c r="D2221" s="64">
        <v>42768</v>
      </c>
      <c r="E2221">
        <v>2.9547904805976799E-2</v>
      </c>
      <c r="F2221" s="1">
        <v>2.5042377778318109E-2</v>
      </c>
      <c r="G2221" s="40">
        <f t="shared" si="89"/>
        <v>0</v>
      </c>
      <c r="H2221" s="33">
        <f t="shared" si="90"/>
        <v>-2.5042377778318109E-2</v>
      </c>
      <c r="I2221" s="43"/>
    </row>
    <row r="2222" spans="2:9" ht="15">
      <c r="B2222" s="32">
        <v>2</v>
      </c>
      <c r="C2222" s="66" t="s">
        <v>48</v>
      </c>
      <c r="D2222" s="64">
        <v>42769</v>
      </c>
      <c r="E2222">
        <v>2.1444916572654904E-2</v>
      </c>
      <c r="F2222" s="1">
        <v>2.136475461792868E-2</v>
      </c>
      <c r="G2222" s="40">
        <f t="shared" si="89"/>
        <v>0</v>
      </c>
      <c r="H2222" s="33">
        <f t="shared" si="90"/>
        <v>-2.136475461792868E-2</v>
      </c>
      <c r="I2222" s="43"/>
    </row>
    <row r="2223" spans="2:9" ht="15">
      <c r="B2223" s="32">
        <v>2</v>
      </c>
      <c r="C2223" s="66" t="s">
        <v>48</v>
      </c>
      <c r="D2223" s="64">
        <v>42772</v>
      </c>
      <c r="E2223">
        <v>2.5239663117807787E-2</v>
      </c>
      <c r="F2223" s="1">
        <v>3.3505462464579375E-2</v>
      </c>
      <c r="G2223" s="40">
        <f t="shared" si="89"/>
        <v>0</v>
      </c>
      <c r="H2223" s="33">
        <f t="shared" si="90"/>
        <v>-3.3505462464579375E-2</v>
      </c>
      <c r="I2223" s="43"/>
    </row>
    <row r="2224" spans="2:9" ht="15">
      <c r="B2224" s="32">
        <v>2</v>
      </c>
      <c r="C2224" s="66" t="s">
        <v>48</v>
      </c>
      <c r="D2224" s="64">
        <v>42773</v>
      </c>
      <c r="E2224">
        <v>3.104271003153336E-2</v>
      </c>
      <c r="F2224" s="1">
        <v>2.9601254397662837E-2</v>
      </c>
      <c r="G2224" s="40">
        <f t="shared" si="89"/>
        <v>0</v>
      </c>
      <c r="H2224" s="33">
        <f t="shared" si="90"/>
        <v>-2.9601254397662837E-2</v>
      </c>
      <c r="I2224" s="43"/>
    </row>
    <row r="2225" spans="2:9" ht="15">
      <c r="B2225" s="32">
        <v>2</v>
      </c>
      <c r="C2225" s="66" t="s">
        <v>48</v>
      </c>
      <c r="D2225" s="64">
        <v>42774</v>
      </c>
      <c r="E2225">
        <v>2.9266841395769738E-2</v>
      </c>
      <c r="F2225" s="1">
        <v>2.5133009173278976E-2</v>
      </c>
      <c r="G2225" s="40">
        <f t="shared" si="89"/>
        <v>0</v>
      </c>
      <c r="H2225" s="33">
        <f t="shared" si="90"/>
        <v>-2.5133009173278976E-2</v>
      </c>
      <c r="I2225" s="43"/>
    </row>
    <row r="2226" spans="2:9" ht="15">
      <c r="B2226" s="32">
        <v>2</v>
      </c>
      <c r="C2226" s="66" t="s">
        <v>48</v>
      </c>
      <c r="D2226" s="64">
        <v>42775</v>
      </c>
      <c r="E2226">
        <v>2.3949677090745247E-2</v>
      </c>
      <c r="F2226" s="1">
        <v>2.1496049755225548E-2</v>
      </c>
      <c r="G2226" s="40">
        <f t="shared" si="89"/>
        <v>0</v>
      </c>
      <c r="H2226" s="33">
        <f t="shared" si="90"/>
        <v>-2.1496049755225548E-2</v>
      </c>
      <c r="I2226" s="43"/>
    </row>
    <row r="2227" spans="2:9" ht="15">
      <c r="B2227" s="32">
        <v>2</v>
      </c>
      <c r="C2227" s="66" t="s">
        <v>48</v>
      </c>
      <c r="D2227" s="64">
        <v>42776</v>
      </c>
      <c r="E2227">
        <v>2.188222014544472E-2</v>
      </c>
      <c r="F2227" s="1">
        <v>2.8831895235922375E-2</v>
      </c>
      <c r="G2227" s="40">
        <f t="shared" si="89"/>
        <v>0</v>
      </c>
      <c r="H2227" s="33">
        <f t="shared" si="90"/>
        <v>-2.8831895235922375E-2</v>
      </c>
      <c r="I2227" s="43"/>
    </row>
    <row r="2228" spans="2:9" ht="15">
      <c r="B2228" s="32">
        <v>2</v>
      </c>
      <c r="C2228" s="66" t="s">
        <v>48</v>
      </c>
      <c r="D2228" s="64">
        <v>42779</v>
      </c>
      <c r="E2228">
        <v>1.7667551931383585E-2</v>
      </c>
      <c r="F2228" s="1">
        <v>2.8116465017392116E-2</v>
      </c>
      <c r="G2228" s="40">
        <f t="shared" si="89"/>
        <v>0</v>
      </c>
      <c r="H2228" s="33">
        <f t="shared" si="90"/>
        <v>-2.8116465017392116E-2</v>
      </c>
      <c r="I2228" s="43"/>
    </row>
    <row r="2229" spans="2:9" ht="15">
      <c r="B2229" s="32">
        <v>2</v>
      </c>
      <c r="C2229" s="66" t="s">
        <v>48</v>
      </c>
      <c r="D2229" s="64">
        <v>42780</v>
      </c>
      <c r="E2229">
        <v>1.1086518852476246E-2</v>
      </c>
      <c r="F2229" s="1">
        <v>3.1368944545245844E-2</v>
      </c>
      <c r="G2229" s="40">
        <f t="shared" si="89"/>
        <v>0</v>
      </c>
      <c r="H2229" s="33">
        <f t="shared" si="90"/>
        <v>-3.1368944545245844E-2</v>
      </c>
      <c r="I2229" s="43"/>
    </row>
    <row r="2230" spans="2:9" ht="15">
      <c r="B2230" s="32">
        <v>2</v>
      </c>
      <c r="C2230" s="66" t="s">
        <v>48</v>
      </c>
      <c r="D2230" s="64">
        <v>42781</v>
      </c>
      <c r="E2230">
        <v>1.9687841064592426E-2</v>
      </c>
      <c r="F2230" s="1">
        <v>3.0836001689170014E-2</v>
      </c>
      <c r="G2230" s="40">
        <f t="shared" si="89"/>
        <v>0</v>
      </c>
      <c r="H2230" s="33">
        <f t="shared" si="90"/>
        <v>-3.0836001689170014E-2</v>
      </c>
      <c r="I2230" s="43"/>
    </row>
    <row r="2231" spans="2:9" ht="15">
      <c r="B2231" s="32">
        <v>2</v>
      </c>
      <c r="C2231" s="66" t="s">
        <v>48</v>
      </c>
      <c r="D2231" s="64">
        <v>42782</v>
      </c>
      <c r="E2231">
        <v>1.467521559395113E-2</v>
      </c>
      <c r="F2231" s="1">
        <v>3.2563932435461754E-2</v>
      </c>
      <c r="G2231" s="40">
        <f t="shared" si="89"/>
        <v>0</v>
      </c>
      <c r="H2231" s="33">
        <f t="shared" si="90"/>
        <v>-3.2563932435461754E-2</v>
      </c>
      <c r="I2231" s="43"/>
    </row>
    <row r="2232" spans="2:9" ht="15">
      <c r="B2232" s="32">
        <v>2</v>
      </c>
      <c r="C2232" s="66" t="s">
        <v>48</v>
      </c>
      <c r="D2232" s="64">
        <v>42783</v>
      </c>
      <c r="E2232">
        <v>1.3501816677090162E-2</v>
      </c>
      <c r="F2232" s="1">
        <v>2.7835583968967858E-2</v>
      </c>
      <c r="G2232" s="40">
        <f t="shared" si="89"/>
        <v>0</v>
      </c>
      <c r="H2232" s="33">
        <f t="shared" si="90"/>
        <v>-2.7835583968967858E-2</v>
      </c>
      <c r="I2232" s="43"/>
    </row>
    <row r="2233" spans="2:9" ht="15">
      <c r="B2233" s="32">
        <v>2</v>
      </c>
      <c r="C2233" s="66" t="s">
        <v>48</v>
      </c>
      <c r="D2233" s="64">
        <v>42787</v>
      </c>
      <c r="E2233">
        <v>4.1893440173765839E-3</v>
      </c>
      <c r="F2233" s="1">
        <v>2.4504976383016613E-2</v>
      </c>
      <c r="G2233" s="40">
        <f t="shared" si="89"/>
        <v>0</v>
      </c>
      <c r="H2233" s="33">
        <f t="shared" si="90"/>
        <v>-2.4504976383016613E-2</v>
      </c>
      <c r="I2233" s="43"/>
    </row>
    <row r="2234" spans="2:9" ht="15">
      <c r="B2234" s="32">
        <v>2</v>
      </c>
      <c r="C2234" s="66" t="s">
        <v>48</v>
      </c>
      <c r="D2234" s="64">
        <v>42788</v>
      </c>
      <c r="E2234">
        <v>2.3545045005519682E-3</v>
      </c>
      <c r="F2234" s="1">
        <v>3.135786959443649E-2</v>
      </c>
      <c r="G2234" s="40">
        <f t="shared" si="89"/>
        <v>0</v>
      </c>
      <c r="H2234" s="33">
        <f t="shared" si="90"/>
        <v>-3.135786959443649E-2</v>
      </c>
      <c r="I2234" s="43"/>
    </row>
    <row r="2235" spans="2:9" ht="15">
      <c r="B2235" s="32">
        <v>2</v>
      </c>
      <c r="C2235" s="66" t="s">
        <v>48</v>
      </c>
      <c r="D2235" s="64">
        <v>42789</v>
      </c>
      <c r="E2235">
        <v>-3.5122313522872872E-4</v>
      </c>
      <c r="F2235" s="1">
        <v>2.6939815196049027E-2</v>
      </c>
      <c r="G2235" s="40">
        <f t="shared" si="89"/>
        <v>0</v>
      </c>
      <c r="H2235" s="33">
        <f t="shared" si="90"/>
        <v>-2.6939815196049027E-2</v>
      </c>
      <c r="I2235" s="43"/>
    </row>
    <row r="2236" spans="2:9" ht="15">
      <c r="B2236" s="32">
        <v>2</v>
      </c>
      <c r="C2236" s="66" t="s">
        <v>48</v>
      </c>
      <c r="D2236" s="64">
        <v>42790</v>
      </c>
      <c r="E2236">
        <v>-1.0438975097457615E-3</v>
      </c>
      <c r="F2236" s="1">
        <v>2.2917278927615661E-2</v>
      </c>
      <c r="G2236" s="40">
        <f t="shared" si="89"/>
        <v>0</v>
      </c>
      <c r="H2236" s="33">
        <f t="shared" si="90"/>
        <v>-2.2917278927615661E-2</v>
      </c>
      <c r="I2236" s="43"/>
    </row>
    <row r="2237" spans="2:9" ht="15">
      <c r="B2237" s="32">
        <v>2</v>
      </c>
      <c r="C2237" s="66" t="s">
        <v>48</v>
      </c>
      <c r="D2237" s="64">
        <v>42793</v>
      </c>
      <c r="E2237">
        <v>1.2019771987485939E-3</v>
      </c>
      <c r="F2237" s="1">
        <v>2.0295042262221022E-2</v>
      </c>
      <c r="G2237" s="40">
        <f t="shared" si="89"/>
        <v>0</v>
      </c>
      <c r="H2237" s="33">
        <f t="shared" si="90"/>
        <v>-2.0295042262221022E-2</v>
      </c>
      <c r="I2237" s="43"/>
    </row>
    <row r="2238" spans="2:9" ht="15">
      <c r="B2238" s="32">
        <v>2</v>
      </c>
      <c r="C2238" s="66" t="s">
        <v>48</v>
      </c>
      <c r="D2238" s="64">
        <v>42794</v>
      </c>
      <c r="E2238">
        <v>4.1502487348248351E-3</v>
      </c>
      <c r="F2238" s="1">
        <v>1.7670515878788762E-2</v>
      </c>
      <c r="G2238" s="40">
        <f t="shared" si="89"/>
        <v>0</v>
      </c>
      <c r="H2238" s="33">
        <f t="shared" si="90"/>
        <v>-1.7670515878788762E-2</v>
      </c>
      <c r="I2238" s="43"/>
    </row>
    <row r="2239" spans="2:9" ht="15">
      <c r="B2239" s="32">
        <v>2</v>
      </c>
      <c r="C2239" s="66" t="s">
        <v>48</v>
      </c>
      <c r="D2239" s="64">
        <v>42795</v>
      </c>
      <c r="E2239">
        <v>-1.2815711375131933E-2</v>
      </c>
      <c r="F2239" s="1">
        <v>1.8050424459327755E-2</v>
      </c>
      <c r="G2239" s="40">
        <f t="shared" si="89"/>
        <v>0</v>
      </c>
      <c r="H2239" s="33">
        <f t="shared" si="90"/>
        <v>-1.8050424459327755E-2</v>
      </c>
      <c r="I2239" s="43"/>
    </row>
    <row r="2240" spans="2:9" ht="15">
      <c r="B2240" s="32">
        <v>2</v>
      </c>
      <c r="C2240" s="66" t="s">
        <v>48</v>
      </c>
      <c r="D2240" s="64">
        <v>42796</v>
      </c>
      <c r="E2240">
        <v>1.401284866186181E-3</v>
      </c>
      <c r="F2240" s="1">
        <v>5.5041848417048171E-2</v>
      </c>
      <c r="G2240" s="40">
        <f t="shared" si="89"/>
        <v>0</v>
      </c>
      <c r="H2240" s="33">
        <f t="shared" si="90"/>
        <v>-5.5041848417048171E-2</v>
      </c>
      <c r="I2240" s="43"/>
    </row>
    <row r="2241" spans="2:9" ht="15">
      <c r="B2241" s="32">
        <v>2</v>
      </c>
      <c r="C2241" s="66" t="s">
        <v>48</v>
      </c>
      <c r="D2241" s="64">
        <v>42797</v>
      </c>
      <c r="E2241">
        <v>-7.3050018989828658E-4</v>
      </c>
      <c r="F2241" s="1">
        <v>5.2006907434319113E-2</v>
      </c>
      <c r="G2241" s="40">
        <f t="shared" si="89"/>
        <v>0</v>
      </c>
      <c r="H2241" s="33">
        <f t="shared" si="90"/>
        <v>-5.2006907434319113E-2</v>
      </c>
      <c r="I2241" s="43"/>
    </row>
    <row r="2242" spans="2:9" ht="15">
      <c r="B2242" s="32">
        <v>2</v>
      </c>
      <c r="C2242" s="66" t="s">
        <v>48</v>
      </c>
      <c r="D2242" s="64">
        <v>42800</v>
      </c>
      <c r="E2242">
        <v>1.2369429809906407E-3</v>
      </c>
      <c r="F2242" s="1">
        <v>4.4172872113386039E-2</v>
      </c>
      <c r="G2242" s="40">
        <f t="shared" si="89"/>
        <v>0</v>
      </c>
      <c r="H2242" s="33">
        <f t="shared" si="90"/>
        <v>-4.4172872113386039E-2</v>
      </c>
      <c r="I2242" s="43"/>
    </row>
    <row r="2243" spans="2:9" ht="15">
      <c r="B2243" s="32">
        <v>2</v>
      </c>
      <c r="C2243" s="66" t="s">
        <v>48</v>
      </c>
      <c r="D2243" s="64">
        <v>42801</v>
      </c>
      <c r="E2243">
        <v>2.1426529206838296E-3</v>
      </c>
      <c r="F2243" s="1">
        <v>3.9600262641196642E-2</v>
      </c>
      <c r="G2243" s="40">
        <f t="shared" si="89"/>
        <v>0</v>
      </c>
      <c r="H2243" s="33">
        <f t="shared" si="90"/>
        <v>-3.9600262641196642E-2</v>
      </c>
      <c r="I2243" s="43"/>
    </row>
    <row r="2244" spans="2:9" ht="15">
      <c r="B2244" s="32">
        <v>2</v>
      </c>
      <c r="C2244" s="66" t="s">
        <v>48</v>
      </c>
      <c r="D2244" s="64">
        <v>42802</v>
      </c>
      <c r="E2244">
        <v>-8.0561132539589408E-3</v>
      </c>
      <c r="F2244" s="1">
        <v>3.5469469968931418E-2</v>
      </c>
      <c r="G2244" s="40">
        <f t="shared" si="89"/>
        <v>0</v>
      </c>
      <c r="H2244" s="33">
        <f t="shared" si="90"/>
        <v>-3.5469469968931418E-2</v>
      </c>
      <c r="I2244" s="43"/>
    </row>
    <row r="2245" spans="2:9" ht="15">
      <c r="B2245" s="32">
        <v>2</v>
      </c>
      <c r="C2245" s="66" t="s">
        <v>48</v>
      </c>
      <c r="D2245" s="64">
        <v>42803</v>
      </c>
      <c r="E2245">
        <v>-6.9675864115126274E-3</v>
      </c>
      <c r="F2245" s="1">
        <v>3.1385752373514396E-2</v>
      </c>
      <c r="G2245" s="40">
        <f t="shared" si="89"/>
        <v>0</v>
      </c>
      <c r="H2245" s="33">
        <f t="shared" si="90"/>
        <v>-3.1385752373514396E-2</v>
      </c>
      <c r="I2245" s="43"/>
    </row>
    <row r="2246" spans="2:9" ht="15">
      <c r="B2246" s="32">
        <v>2</v>
      </c>
      <c r="C2246" s="66" t="s">
        <v>48</v>
      </c>
      <c r="D2246" s="64">
        <v>42804</v>
      </c>
      <c r="E2246">
        <v>-1.1291758386541062E-2</v>
      </c>
      <c r="F2246" s="1">
        <v>2.681296247195028E-2</v>
      </c>
      <c r="G2246" s="40">
        <f t="shared" si="89"/>
        <v>0</v>
      </c>
      <c r="H2246" s="33">
        <f t="shared" si="90"/>
        <v>-2.681296247195028E-2</v>
      </c>
      <c r="I2246" s="43"/>
    </row>
    <row r="2247" spans="2:9" ht="15">
      <c r="B2247" s="32">
        <v>2</v>
      </c>
      <c r="C2247" s="66" t="s">
        <v>48</v>
      </c>
      <c r="D2247" s="64">
        <v>42807</v>
      </c>
      <c r="E2247">
        <v>-1.2502676426469073E-2</v>
      </c>
      <c r="F2247" s="1">
        <v>2.6057754684825178E-2</v>
      </c>
      <c r="G2247" s="40">
        <f t="shared" si="89"/>
        <v>0</v>
      </c>
      <c r="H2247" s="33">
        <f t="shared" si="90"/>
        <v>-2.6057754684825178E-2</v>
      </c>
      <c r="I2247" s="43"/>
    </row>
    <row r="2248" spans="2:9" ht="15">
      <c r="B2248" s="32">
        <v>2</v>
      </c>
      <c r="C2248" s="66" t="s">
        <v>48</v>
      </c>
      <c r="D2248" s="64">
        <v>42808</v>
      </c>
      <c r="E2248">
        <v>-1.0138034586992362E-2</v>
      </c>
      <c r="F2248" s="1">
        <v>2.2156734679982217E-2</v>
      </c>
      <c r="G2248" s="40">
        <f t="shared" si="89"/>
        <v>0</v>
      </c>
      <c r="H2248" s="33">
        <f t="shared" si="90"/>
        <v>-2.2156734679982217E-2</v>
      </c>
      <c r="I2248" s="43"/>
    </row>
    <row r="2249" spans="2:9" ht="15">
      <c r="B2249" s="32">
        <v>2</v>
      </c>
      <c r="C2249" s="66" t="s">
        <v>48</v>
      </c>
      <c r="D2249" s="64">
        <v>42809</v>
      </c>
      <c r="E2249">
        <v>-1.1252605252054515E-2</v>
      </c>
      <c r="F2249" s="1">
        <v>2.2957945969108266E-2</v>
      </c>
      <c r="G2249" s="40">
        <f t="shared" si="89"/>
        <v>0</v>
      </c>
      <c r="H2249" s="33">
        <f t="shared" si="90"/>
        <v>-2.2957945969108266E-2</v>
      </c>
      <c r="I2249" s="43"/>
    </row>
    <row r="2250" spans="2:9" ht="15">
      <c r="B2250" s="32">
        <v>2</v>
      </c>
      <c r="C2250" s="66" t="s">
        <v>48</v>
      </c>
      <c r="D2250" s="64">
        <v>42810</v>
      </c>
      <c r="E2250">
        <v>-8.5398339977365012E-3</v>
      </c>
      <c r="F2250" s="1">
        <v>3.7860997281914575E-2</v>
      </c>
      <c r="G2250" s="40">
        <f t="shared" si="89"/>
        <v>0</v>
      </c>
      <c r="H2250" s="33">
        <f t="shared" si="90"/>
        <v>-3.7860997281914575E-2</v>
      </c>
      <c r="I2250" s="43"/>
    </row>
    <row r="2251" spans="2:9" ht="15">
      <c r="B2251" s="32">
        <v>2</v>
      </c>
      <c r="C2251" s="66" t="s">
        <v>48</v>
      </c>
      <c r="D2251" s="64">
        <v>42811</v>
      </c>
      <c r="E2251">
        <v>-4.293843650920337E-3</v>
      </c>
      <c r="F2251" s="1">
        <v>3.2745251204134102E-2</v>
      </c>
      <c r="G2251" s="40">
        <f t="shared" ref="G2251:G2314" si="91">--(E2251&lt;-F2251)</f>
        <v>0</v>
      </c>
      <c r="H2251" s="33">
        <f t="shared" ref="H2251:H2314" si="92">-F2251</f>
        <v>-3.2745251204134102E-2</v>
      </c>
      <c r="I2251" s="43"/>
    </row>
    <row r="2252" spans="2:9" ht="15">
      <c r="B2252" s="32">
        <v>2</v>
      </c>
      <c r="C2252" s="66" t="s">
        <v>48</v>
      </c>
      <c r="D2252" s="64">
        <v>42814</v>
      </c>
      <c r="E2252">
        <v>-4.5395216797921023E-3</v>
      </c>
      <c r="F2252" s="1">
        <v>2.8252994243331352E-2</v>
      </c>
      <c r="G2252" s="40">
        <f t="shared" si="91"/>
        <v>0</v>
      </c>
      <c r="H2252" s="33">
        <f t="shared" si="92"/>
        <v>-2.8252994243331352E-2</v>
      </c>
      <c r="I2252" s="43"/>
    </row>
    <row r="2253" spans="2:9" ht="15">
      <c r="B2253" s="32">
        <v>2</v>
      </c>
      <c r="C2253" s="66" t="s">
        <v>48</v>
      </c>
      <c r="D2253" s="64">
        <v>42815</v>
      </c>
      <c r="E2253">
        <v>6.3025974481192293E-3</v>
      </c>
      <c r="F2253" s="1">
        <v>2.5220318116769506E-2</v>
      </c>
      <c r="G2253" s="40">
        <f t="shared" si="91"/>
        <v>0</v>
      </c>
      <c r="H2253" s="33">
        <f t="shared" si="92"/>
        <v>-2.5220318116769506E-2</v>
      </c>
      <c r="I2253" s="43"/>
    </row>
    <row r="2254" spans="2:9" ht="15">
      <c r="B2254" s="32">
        <v>2</v>
      </c>
      <c r="C2254" s="66" t="s">
        <v>48</v>
      </c>
      <c r="D2254" s="64">
        <v>42816</v>
      </c>
      <c r="E2254">
        <v>4.9738608557703401E-3</v>
      </c>
      <c r="F2254" s="1">
        <v>5.3105706772626007E-2</v>
      </c>
      <c r="G2254" s="40">
        <f t="shared" si="91"/>
        <v>0</v>
      </c>
      <c r="H2254" s="33">
        <f t="shared" si="92"/>
        <v>-5.3105706772626007E-2</v>
      </c>
      <c r="I2254" s="43"/>
    </row>
    <row r="2255" spans="2:9" ht="15">
      <c r="B2255" s="32">
        <v>2</v>
      </c>
      <c r="C2255" s="66" t="s">
        <v>48</v>
      </c>
      <c r="D2255" s="64">
        <v>42817</v>
      </c>
      <c r="E2255">
        <v>2.9751560625452811E-3</v>
      </c>
      <c r="F2255" s="1">
        <v>4.5657157990398101E-2</v>
      </c>
      <c r="G2255" s="40">
        <f t="shared" si="91"/>
        <v>0</v>
      </c>
      <c r="H2255" s="33">
        <f t="shared" si="92"/>
        <v>-4.5657157990398101E-2</v>
      </c>
      <c r="I2255" s="43"/>
    </row>
    <row r="2256" spans="2:9" ht="15">
      <c r="B2256" s="32">
        <v>2</v>
      </c>
      <c r="C2256" s="66" t="s">
        <v>48</v>
      </c>
      <c r="D2256" s="64">
        <v>42818</v>
      </c>
      <c r="E2256">
        <v>5.7471587704709393E-3</v>
      </c>
      <c r="F2256" s="1">
        <v>3.8960849160660171E-2</v>
      </c>
      <c r="G2256" s="40">
        <f t="shared" si="91"/>
        <v>0</v>
      </c>
      <c r="H2256" s="33">
        <f t="shared" si="92"/>
        <v>-3.8960849160660171E-2</v>
      </c>
      <c r="I2256" s="43"/>
    </row>
    <row r="2257" spans="2:9" ht="15">
      <c r="B2257" s="32">
        <v>2</v>
      </c>
      <c r="C2257" s="66" t="s">
        <v>48</v>
      </c>
      <c r="D2257" s="64">
        <v>42821</v>
      </c>
      <c r="E2257">
        <v>5.9397937195653228E-3</v>
      </c>
      <c r="F2257" s="1">
        <v>3.3222366766973342E-2</v>
      </c>
      <c r="G2257" s="40">
        <f t="shared" si="91"/>
        <v>0</v>
      </c>
      <c r="H2257" s="33">
        <f t="shared" si="92"/>
        <v>-3.3222366766973342E-2</v>
      </c>
      <c r="I2257" s="43"/>
    </row>
    <row r="2258" spans="2:9" ht="15">
      <c r="B2258" s="32">
        <v>2</v>
      </c>
      <c r="C2258" s="66" t="s">
        <v>48</v>
      </c>
      <c r="D2258" s="64">
        <v>42822</v>
      </c>
      <c r="E2258">
        <v>-5.980647950636353E-4</v>
      </c>
      <c r="F2258" s="1">
        <v>2.8468426138769438E-2</v>
      </c>
      <c r="G2258" s="40">
        <f t="shared" si="91"/>
        <v>0</v>
      </c>
      <c r="H2258" s="33">
        <f t="shared" si="92"/>
        <v>-2.8468426138769438E-2</v>
      </c>
      <c r="I2258" s="43"/>
    </row>
    <row r="2259" spans="2:9" ht="15">
      <c r="B2259" s="32">
        <v>2</v>
      </c>
      <c r="C2259" s="66" t="s">
        <v>48</v>
      </c>
      <c r="D2259" s="64">
        <v>42823</v>
      </c>
      <c r="E2259">
        <v>-3.117709602358687E-3</v>
      </c>
      <c r="F2259" s="1">
        <v>3.7075658701832923E-2</v>
      </c>
      <c r="G2259" s="40">
        <f t="shared" si="91"/>
        <v>0</v>
      </c>
      <c r="H2259" s="33">
        <f t="shared" si="92"/>
        <v>-3.7075658701832923E-2</v>
      </c>
      <c r="I2259" s="43"/>
    </row>
    <row r="2260" spans="2:9" ht="15">
      <c r="B2260" s="32">
        <v>2</v>
      </c>
      <c r="C2260" s="66" t="s">
        <v>48</v>
      </c>
      <c r="D2260" s="64">
        <v>42824</v>
      </c>
      <c r="E2260">
        <v>-9.8155577458109988E-3</v>
      </c>
      <c r="F2260" s="1">
        <v>3.1741855651772941E-2</v>
      </c>
      <c r="G2260" s="40">
        <f t="shared" si="91"/>
        <v>0</v>
      </c>
      <c r="H2260" s="33">
        <f t="shared" si="92"/>
        <v>-3.1741855651772941E-2</v>
      </c>
      <c r="I2260" s="43"/>
    </row>
    <row r="2261" spans="2:9" ht="15">
      <c r="B2261" s="32">
        <v>2</v>
      </c>
      <c r="C2261" s="66" t="s">
        <v>48</v>
      </c>
      <c r="D2261" s="64">
        <v>42825</v>
      </c>
      <c r="E2261">
        <v>-1.4395984278499085E-2</v>
      </c>
      <c r="F2261" s="1">
        <v>2.9250543874289089E-2</v>
      </c>
      <c r="G2261" s="40">
        <f t="shared" si="91"/>
        <v>0</v>
      </c>
      <c r="H2261" s="33">
        <f t="shared" si="92"/>
        <v>-2.9250543874289089E-2</v>
      </c>
      <c r="I2261" s="43"/>
    </row>
    <row r="2262" spans="2:9" ht="15">
      <c r="B2262" s="32">
        <v>2</v>
      </c>
      <c r="C2262" s="66" t="s">
        <v>48</v>
      </c>
      <c r="D2262" s="64">
        <v>42828</v>
      </c>
      <c r="E2262">
        <v>-4.1760430265220805E-3</v>
      </c>
      <c r="F2262" s="1">
        <v>2.632983513849178E-2</v>
      </c>
      <c r="G2262" s="40">
        <f t="shared" si="91"/>
        <v>0</v>
      </c>
      <c r="H2262" s="33">
        <f t="shared" si="92"/>
        <v>-2.632983513849178E-2</v>
      </c>
      <c r="I2262" s="43"/>
    </row>
    <row r="2263" spans="2:9" ht="15">
      <c r="B2263" s="32">
        <v>2</v>
      </c>
      <c r="C2263" s="66" t="s">
        <v>48</v>
      </c>
      <c r="D2263" s="64">
        <v>42829</v>
      </c>
      <c r="E2263">
        <v>-7.6430121275308238E-3</v>
      </c>
      <c r="F2263" s="1">
        <v>2.3239548283801228E-2</v>
      </c>
      <c r="G2263" s="40">
        <f t="shared" si="91"/>
        <v>0</v>
      </c>
      <c r="H2263" s="33">
        <f t="shared" si="92"/>
        <v>-2.3239548283801228E-2</v>
      </c>
      <c r="I2263" s="43"/>
    </row>
    <row r="2264" spans="2:9" ht="15">
      <c r="B2264" s="32">
        <v>2</v>
      </c>
      <c r="C2264" s="66" t="s">
        <v>48</v>
      </c>
      <c r="D2264" s="64">
        <v>42830</v>
      </c>
      <c r="E2264">
        <v>-6.3013004592633592E-3</v>
      </c>
      <c r="F2264" s="1">
        <v>1.9839266044435644E-2</v>
      </c>
      <c r="G2264" s="40">
        <f t="shared" si="91"/>
        <v>0</v>
      </c>
      <c r="H2264" s="33">
        <f t="shared" si="92"/>
        <v>-1.9839266044435644E-2</v>
      </c>
      <c r="I2264" s="43"/>
    </row>
    <row r="2265" spans="2:9" ht="15">
      <c r="B2265" s="32">
        <v>2</v>
      </c>
      <c r="C2265" s="66" t="s">
        <v>48</v>
      </c>
      <c r="D2265" s="64">
        <v>42831</v>
      </c>
      <c r="E2265">
        <v>-7.0010037068790609E-4</v>
      </c>
      <c r="F2265" s="1">
        <v>2.0621251057265342E-2</v>
      </c>
      <c r="G2265" s="40">
        <f t="shared" si="91"/>
        <v>0</v>
      </c>
      <c r="H2265" s="33">
        <f t="shared" si="92"/>
        <v>-2.0621251057265342E-2</v>
      </c>
      <c r="I2265" s="43"/>
    </row>
    <row r="2266" spans="2:9" ht="15">
      <c r="B2266" s="32">
        <v>2</v>
      </c>
      <c r="C2266" s="66" t="s">
        <v>48</v>
      </c>
      <c r="D2266" s="64">
        <v>42832</v>
      </c>
      <c r="E2266">
        <v>-2.9123163071380631E-3</v>
      </c>
      <c r="F2266" s="1">
        <v>1.9038831471100377E-2</v>
      </c>
      <c r="G2266" s="40">
        <f t="shared" si="91"/>
        <v>0</v>
      </c>
      <c r="H2266" s="33">
        <f t="shared" si="92"/>
        <v>-1.9038831471100377E-2</v>
      </c>
      <c r="I2266" s="43"/>
    </row>
    <row r="2267" spans="2:9" ht="15">
      <c r="B2267" s="32">
        <v>2</v>
      </c>
      <c r="C2267" s="66" t="s">
        <v>48</v>
      </c>
      <c r="D2267" s="64">
        <v>42835</v>
      </c>
      <c r="E2267">
        <v>7.1819701932387403E-3</v>
      </c>
      <c r="F2267" s="1">
        <v>1.647298218950138E-2</v>
      </c>
      <c r="G2267" s="40">
        <f t="shared" si="91"/>
        <v>0</v>
      </c>
      <c r="H2267" s="33">
        <f t="shared" si="92"/>
        <v>-1.647298218950138E-2</v>
      </c>
      <c r="I2267" s="43"/>
    </row>
    <row r="2268" spans="2:9" ht="15">
      <c r="B2268" s="32">
        <v>2</v>
      </c>
      <c r="C2268" s="66" t="s">
        <v>48</v>
      </c>
      <c r="D2268" s="64">
        <v>42836</v>
      </c>
      <c r="E2268">
        <v>1.4689092744842647E-2</v>
      </c>
      <c r="F2268" s="1">
        <v>1.4231649486077472E-2</v>
      </c>
      <c r="G2268" s="40">
        <f t="shared" si="91"/>
        <v>0</v>
      </c>
      <c r="H2268" s="33">
        <f t="shared" si="92"/>
        <v>-1.4231649486077472E-2</v>
      </c>
      <c r="I2268" s="43"/>
    </row>
    <row r="2269" spans="2:9" ht="15">
      <c r="B2269" s="32">
        <v>2</v>
      </c>
      <c r="C2269" s="66" t="s">
        <v>48</v>
      </c>
      <c r="D2269" s="64">
        <v>42837</v>
      </c>
      <c r="E2269">
        <v>1.7970308513388211E-2</v>
      </c>
      <c r="F2269" s="1">
        <v>1.3305215833979004E-2</v>
      </c>
      <c r="G2269" s="40">
        <f t="shared" si="91"/>
        <v>0</v>
      </c>
      <c r="H2269" s="33">
        <f t="shared" si="92"/>
        <v>-1.3305215833979004E-2</v>
      </c>
      <c r="I2269" s="43"/>
    </row>
    <row r="2270" spans="2:9" ht="15">
      <c r="B2270" s="32">
        <v>2</v>
      </c>
      <c r="C2270" s="66" t="s">
        <v>48</v>
      </c>
      <c r="D2270" s="64">
        <v>42838</v>
      </c>
      <c r="E2270">
        <v>2.536109629876826E-2</v>
      </c>
      <c r="F2270" s="1">
        <v>1.8506612930062942E-2</v>
      </c>
      <c r="G2270" s="40">
        <f t="shared" si="91"/>
        <v>0</v>
      </c>
      <c r="H2270" s="33">
        <f t="shared" si="92"/>
        <v>-1.8506612930062942E-2</v>
      </c>
      <c r="I2270" s="43"/>
    </row>
    <row r="2271" spans="2:9" ht="15">
      <c r="B2271" s="32">
        <v>2</v>
      </c>
      <c r="C2271" s="66" t="s">
        <v>48</v>
      </c>
      <c r="D2271" s="64">
        <v>42842</v>
      </c>
      <c r="E2271">
        <v>1.486965069427626E-2</v>
      </c>
      <c r="F2271" s="1">
        <v>3.0905377471566627E-2</v>
      </c>
      <c r="G2271" s="40">
        <f t="shared" si="91"/>
        <v>0</v>
      </c>
      <c r="H2271" s="33">
        <f t="shared" si="92"/>
        <v>-3.0905377471566627E-2</v>
      </c>
      <c r="I2271" s="43"/>
    </row>
    <row r="2272" spans="2:9" ht="15">
      <c r="B2272" s="32">
        <v>2</v>
      </c>
      <c r="C2272" s="66" t="s">
        <v>48</v>
      </c>
      <c r="D2272" s="64">
        <v>42843</v>
      </c>
      <c r="E2272">
        <v>1.9508045659979878E-2</v>
      </c>
      <c r="F2272" s="1">
        <v>4.2453685598689055E-2</v>
      </c>
      <c r="G2272" s="40">
        <f t="shared" si="91"/>
        <v>0</v>
      </c>
      <c r="H2272" s="33">
        <f t="shared" si="92"/>
        <v>-4.2453685598689055E-2</v>
      </c>
      <c r="I2272" s="43"/>
    </row>
    <row r="2273" spans="2:9" ht="15">
      <c r="B2273" s="32">
        <v>2</v>
      </c>
      <c r="C2273" s="66" t="s">
        <v>48</v>
      </c>
      <c r="D2273" s="64">
        <v>42844</v>
      </c>
      <c r="E2273">
        <v>2.2414214520363629E-2</v>
      </c>
      <c r="F2273" s="1">
        <v>3.7759442539349805E-2</v>
      </c>
      <c r="G2273" s="40">
        <f t="shared" si="91"/>
        <v>0</v>
      </c>
      <c r="H2273" s="33">
        <f t="shared" si="92"/>
        <v>-3.7759442539349805E-2</v>
      </c>
      <c r="I2273" s="43"/>
    </row>
    <row r="2274" spans="2:9" ht="15">
      <c r="B2274" s="32">
        <v>2</v>
      </c>
      <c r="C2274" s="66" t="s">
        <v>48</v>
      </c>
      <c r="D2274" s="64">
        <v>42845</v>
      </c>
      <c r="E2274">
        <v>1.3613194794833916E-2</v>
      </c>
      <c r="F2274" s="1">
        <v>3.2730331496980743E-2</v>
      </c>
      <c r="G2274" s="40">
        <f t="shared" si="91"/>
        <v>0</v>
      </c>
      <c r="H2274" s="33">
        <f t="shared" si="92"/>
        <v>-3.2730331496980743E-2</v>
      </c>
      <c r="I2274" s="43"/>
    </row>
    <row r="2275" spans="2:9" ht="15">
      <c r="B2275" s="32">
        <v>2</v>
      </c>
      <c r="C2275" s="66" t="s">
        <v>48</v>
      </c>
      <c r="D2275" s="64">
        <v>42846</v>
      </c>
      <c r="E2275">
        <v>1.7234816526869423E-2</v>
      </c>
      <c r="F2275" s="1">
        <v>4.0376495278258595E-2</v>
      </c>
      <c r="G2275" s="40">
        <f t="shared" si="91"/>
        <v>0</v>
      </c>
      <c r="H2275" s="33">
        <f t="shared" si="92"/>
        <v>-4.0376495278258595E-2</v>
      </c>
      <c r="I2275" s="43"/>
    </row>
    <row r="2276" spans="2:9" ht="15">
      <c r="B2276" s="32">
        <v>2</v>
      </c>
      <c r="C2276" s="66" t="s">
        <v>48</v>
      </c>
      <c r="D2276" s="64">
        <v>42849</v>
      </c>
      <c r="E2276">
        <v>1.0533439095837593E-2</v>
      </c>
      <c r="F2276" s="1">
        <v>3.6246382597948212E-2</v>
      </c>
      <c r="G2276" s="40">
        <f t="shared" si="91"/>
        <v>0</v>
      </c>
      <c r="H2276" s="33">
        <f t="shared" si="92"/>
        <v>-3.6246382597948212E-2</v>
      </c>
      <c r="I2276" s="43"/>
    </row>
    <row r="2277" spans="2:9" ht="15">
      <c r="B2277" s="32">
        <v>2</v>
      </c>
      <c r="C2277" s="66" t="s">
        <v>48</v>
      </c>
      <c r="D2277" s="64">
        <v>42850</v>
      </c>
      <c r="E2277">
        <v>4.4986702920208899E-3</v>
      </c>
      <c r="F2277" s="1">
        <v>5.2033112997657616E-2</v>
      </c>
      <c r="G2277" s="40">
        <f t="shared" si="91"/>
        <v>0</v>
      </c>
      <c r="H2277" s="33">
        <f t="shared" si="92"/>
        <v>-5.2033112997657616E-2</v>
      </c>
      <c r="I2277" s="43"/>
    </row>
    <row r="2278" spans="2:9" ht="15">
      <c r="B2278" s="32">
        <v>2</v>
      </c>
      <c r="C2278" s="66" t="s">
        <v>48</v>
      </c>
      <c r="D2278" s="64">
        <v>42851</v>
      </c>
      <c r="E2278">
        <v>3.9587170802910521E-3</v>
      </c>
      <c r="F2278" s="1">
        <v>5.0080831398505894E-2</v>
      </c>
      <c r="G2278" s="40">
        <f t="shared" si="91"/>
        <v>0</v>
      </c>
      <c r="H2278" s="33">
        <f t="shared" si="92"/>
        <v>-5.0080831398505894E-2</v>
      </c>
      <c r="I2278" s="43"/>
    </row>
    <row r="2279" spans="2:9" ht="15">
      <c r="B2279" s="32">
        <v>2</v>
      </c>
      <c r="C2279" s="66" t="s">
        <v>48</v>
      </c>
      <c r="D2279" s="64">
        <v>42852</v>
      </c>
      <c r="E2279">
        <v>4.5359125552071333E-3</v>
      </c>
      <c r="F2279" s="1">
        <v>4.2537055425953409E-2</v>
      </c>
      <c r="G2279" s="40">
        <f t="shared" si="91"/>
        <v>0</v>
      </c>
      <c r="H2279" s="33">
        <f t="shared" si="92"/>
        <v>-4.2537055425953409E-2</v>
      </c>
      <c r="I2279" s="43"/>
    </row>
    <row r="2280" spans="2:9" ht="15">
      <c r="B2280" s="32">
        <v>2</v>
      </c>
      <c r="C2280" s="66" t="s">
        <v>48</v>
      </c>
      <c r="D2280" s="64">
        <v>42853</v>
      </c>
      <c r="E2280">
        <v>4.2857406731089398E-3</v>
      </c>
      <c r="F2280" s="1">
        <v>3.6157971429767052E-2</v>
      </c>
      <c r="G2280" s="40">
        <f t="shared" si="91"/>
        <v>0</v>
      </c>
      <c r="H2280" s="33">
        <f t="shared" si="92"/>
        <v>-3.6157971429767052E-2</v>
      </c>
      <c r="I2280" s="43"/>
    </row>
    <row r="2281" spans="2:9" ht="15">
      <c r="B2281" s="32">
        <v>2</v>
      </c>
      <c r="C2281" s="66" t="s">
        <v>48</v>
      </c>
      <c r="D2281" s="64">
        <v>42856</v>
      </c>
      <c r="E2281">
        <v>1.0754135115584873E-3</v>
      </c>
      <c r="F2281" s="1">
        <v>3.1573669527243449E-2</v>
      </c>
      <c r="G2281" s="40">
        <f t="shared" si="91"/>
        <v>0</v>
      </c>
      <c r="H2281" s="33">
        <f t="shared" si="92"/>
        <v>-3.1573669527243449E-2</v>
      </c>
      <c r="I2281" s="43"/>
    </row>
    <row r="2282" spans="2:9" ht="15">
      <c r="B2282" s="32">
        <v>2</v>
      </c>
      <c r="C2282" s="66" t="s">
        <v>48</v>
      </c>
      <c r="D2282" s="64">
        <v>42857</v>
      </c>
      <c r="E2282">
        <v>4.652212118328336E-3</v>
      </c>
      <c r="F2282" s="1">
        <v>2.7625339970087433E-2</v>
      </c>
      <c r="G2282" s="40">
        <f t="shared" si="91"/>
        <v>0</v>
      </c>
      <c r="H2282" s="33">
        <f t="shared" si="92"/>
        <v>-2.7625339970087433E-2</v>
      </c>
      <c r="I2282" s="43"/>
    </row>
    <row r="2283" spans="2:9" ht="15">
      <c r="B2283" s="32">
        <v>2</v>
      </c>
      <c r="C2283" s="66" t="s">
        <v>48</v>
      </c>
      <c r="D2283" s="64">
        <v>42858</v>
      </c>
      <c r="E2283">
        <v>5.2372486525955608E-3</v>
      </c>
      <c r="F2283" s="1">
        <v>2.3892962885640211E-2</v>
      </c>
      <c r="G2283" s="40">
        <f t="shared" si="91"/>
        <v>0</v>
      </c>
      <c r="H2283" s="33">
        <f t="shared" si="92"/>
        <v>-2.3892962885640211E-2</v>
      </c>
      <c r="I2283" s="43"/>
    </row>
    <row r="2284" spans="2:9" ht="15">
      <c r="B2284" s="32">
        <v>2</v>
      </c>
      <c r="C2284" s="66" t="s">
        <v>48</v>
      </c>
      <c r="D2284" s="64">
        <v>42859</v>
      </c>
      <c r="E2284">
        <v>-1.3690153102065672E-2</v>
      </c>
      <c r="F2284" s="1">
        <v>2.0869915669171513E-2</v>
      </c>
      <c r="G2284" s="40">
        <f t="shared" si="91"/>
        <v>0</v>
      </c>
      <c r="H2284" s="33">
        <f t="shared" si="92"/>
        <v>-2.0869915669171513E-2</v>
      </c>
      <c r="I2284" s="43"/>
    </row>
    <row r="2285" spans="2:9" ht="15">
      <c r="B2285" s="32">
        <v>2</v>
      </c>
      <c r="C2285" s="66" t="s">
        <v>48</v>
      </c>
      <c r="D2285" s="64">
        <v>42860</v>
      </c>
      <c r="E2285">
        <v>-1.4090473408666426E-2</v>
      </c>
      <c r="F2285" s="1">
        <v>1.7853012265543994E-2</v>
      </c>
      <c r="G2285" s="40">
        <f t="shared" si="91"/>
        <v>0</v>
      </c>
      <c r="H2285" s="33">
        <f t="shared" si="92"/>
        <v>-1.7853012265543994E-2</v>
      </c>
      <c r="I2285" s="43"/>
    </row>
    <row r="2286" spans="2:9" ht="15">
      <c r="B2286" s="32">
        <v>2</v>
      </c>
      <c r="C2286" s="66" t="s">
        <v>48</v>
      </c>
      <c r="D2286" s="64">
        <v>42863</v>
      </c>
      <c r="E2286">
        <v>-7.3832158988702545E-3</v>
      </c>
      <c r="F2286" s="1">
        <v>2.1949442267292136E-2</v>
      </c>
      <c r="G2286" s="40">
        <f t="shared" si="91"/>
        <v>0</v>
      </c>
      <c r="H2286" s="33">
        <f t="shared" si="92"/>
        <v>-2.1949442267292136E-2</v>
      </c>
      <c r="I2286" s="43"/>
    </row>
    <row r="2287" spans="2:9" ht="15">
      <c r="B2287" s="32">
        <v>2</v>
      </c>
      <c r="C2287" s="66" t="s">
        <v>48</v>
      </c>
      <c r="D2287" s="64">
        <v>42864</v>
      </c>
      <c r="E2287">
        <v>-1.2105776274626834E-3</v>
      </c>
      <c r="F2287" s="1">
        <v>1.8625289761722712E-2</v>
      </c>
      <c r="G2287" s="40">
        <f t="shared" si="91"/>
        <v>0</v>
      </c>
      <c r="H2287" s="33">
        <f t="shared" si="92"/>
        <v>-1.8625289761722712E-2</v>
      </c>
      <c r="I2287" s="43"/>
    </row>
    <row r="2288" spans="2:9" ht="15">
      <c r="B2288" s="32">
        <v>2</v>
      </c>
      <c r="C2288" s="66" t="s">
        <v>48</v>
      </c>
      <c r="D2288" s="64">
        <v>42865</v>
      </c>
      <c r="E2288">
        <v>-5.043553422012792E-4</v>
      </c>
      <c r="F2288" s="1">
        <v>1.630072185076685E-2</v>
      </c>
      <c r="G2288" s="40">
        <f t="shared" si="91"/>
        <v>0</v>
      </c>
      <c r="H2288" s="33">
        <f t="shared" si="92"/>
        <v>-1.630072185076685E-2</v>
      </c>
      <c r="I2288" s="43"/>
    </row>
    <row r="2289" spans="2:9" ht="15">
      <c r="B2289" s="32">
        <v>2</v>
      </c>
      <c r="C2289" s="66" t="s">
        <v>48</v>
      </c>
      <c r="D2289" s="64">
        <v>42866</v>
      </c>
      <c r="E2289">
        <v>4.1468302076257402E-3</v>
      </c>
      <c r="F2289" s="1">
        <v>1.4514190372491942E-2</v>
      </c>
      <c r="G2289" s="40">
        <f t="shared" si="91"/>
        <v>0</v>
      </c>
      <c r="H2289" s="33">
        <f t="shared" si="92"/>
        <v>-1.4514190372491942E-2</v>
      </c>
      <c r="I2289" s="43"/>
    </row>
    <row r="2290" spans="2:9" ht="15">
      <c r="B2290" s="32">
        <v>2</v>
      </c>
      <c r="C2290" s="66" t="s">
        <v>48</v>
      </c>
      <c r="D2290" s="64">
        <v>42867</v>
      </c>
      <c r="E2290">
        <v>1.005847724024278E-2</v>
      </c>
      <c r="F2290" s="1">
        <v>1.4923583217499233E-2</v>
      </c>
      <c r="G2290" s="40">
        <f t="shared" si="91"/>
        <v>0</v>
      </c>
      <c r="H2290" s="33">
        <f t="shared" si="92"/>
        <v>-1.4923583217499233E-2</v>
      </c>
      <c r="I2290" s="43"/>
    </row>
    <row r="2291" spans="2:9" ht="15">
      <c r="B2291" s="32">
        <v>2</v>
      </c>
      <c r="C2291" s="66" t="s">
        <v>48</v>
      </c>
      <c r="D2291" s="64">
        <v>42870</v>
      </c>
      <c r="E2291">
        <v>5.6038367283974821E-3</v>
      </c>
      <c r="F2291" s="1">
        <v>1.3911310517607692E-2</v>
      </c>
      <c r="G2291" s="40">
        <f t="shared" si="91"/>
        <v>0</v>
      </c>
      <c r="H2291" s="33">
        <f t="shared" si="92"/>
        <v>-1.3911310517607692E-2</v>
      </c>
      <c r="I2291" s="43"/>
    </row>
    <row r="2292" spans="2:9" ht="15">
      <c r="B2292" s="32">
        <v>2</v>
      </c>
      <c r="C2292" s="66" t="s">
        <v>48</v>
      </c>
      <c r="D2292" s="64">
        <v>42871</v>
      </c>
      <c r="E2292">
        <v>5.0856189376160543E-3</v>
      </c>
      <c r="F2292" s="1">
        <v>2.1986755537538646E-2</v>
      </c>
      <c r="G2292" s="40">
        <f t="shared" si="91"/>
        <v>0</v>
      </c>
      <c r="H2292" s="33">
        <f t="shared" si="92"/>
        <v>-2.1986755537538646E-2</v>
      </c>
      <c r="I2292" s="43"/>
    </row>
    <row r="2293" spans="2:9" ht="15">
      <c r="B2293" s="32">
        <v>2</v>
      </c>
      <c r="C2293" s="66" t="s">
        <v>48</v>
      </c>
      <c r="D2293" s="64">
        <v>42872</v>
      </c>
      <c r="E2293">
        <v>2.2971012783393974E-2</v>
      </c>
      <c r="F2293" s="1">
        <v>1.8847153568644769E-2</v>
      </c>
      <c r="G2293" s="40">
        <f t="shared" si="91"/>
        <v>0</v>
      </c>
      <c r="H2293" s="33">
        <f t="shared" si="92"/>
        <v>-1.8847153568644769E-2</v>
      </c>
      <c r="I2293" s="43"/>
    </row>
    <row r="2294" spans="2:9" ht="15">
      <c r="B2294" s="32">
        <v>2</v>
      </c>
      <c r="C2294" s="66" t="s">
        <v>48</v>
      </c>
      <c r="D2294" s="64">
        <v>42873</v>
      </c>
      <c r="E2294">
        <v>2.6833569585495098E-2</v>
      </c>
      <c r="F2294" s="1">
        <v>7.3182604671857415E-2</v>
      </c>
      <c r="G2294" s="40">
        <f t="shared" si="91"/>
        <v>0</v>
      </c>
      <c r="H2294" s="33">
        <f t="shared" si="92"/>
        <v>-7.3182604671857415E-2</v>
      </c>
      <c r="I2294" s="43"/>
    </row>
    <row r="2295" spans="2:9" ht="15">
      <c r="B2295" s="32">
        <v>2</v>
      </c>
      <c r="C2295" s="66" t="s">
        <v>48</v>
      </c>
      <c r="D2295" s="64">
        <v>42874</v>
      </c>
      <c r="E2295">
        <v>2.3789741003123588E-2</v>
      </c>
      <c r="F2295" s="1">
        <v>6.3728454059521294E-2</v>
      </c>
      <c r="G2295" s="40">
        <f t="shared" si="91"/>
        <v>0</v>
      </c>
      <c r="H2295" s="33">
        <f t="shared" si="92"/>
        <v>-6.3728454059521294E-2</v>
      </c>
      <c r="I2295" s="43"/>
    </row>
    <row r="2296" spans="2:9" ht="15">
      <c r="B2296" s="32">
        <v>2</v>
      </c>
      <c r="C2296" s="66" t="s">
        <v>48</v>
      </c>
      <c r="D2296" s="64">
        <v>42877</v>
      </c>
      <c r="E2296">
        <v>1.7424470462524155E-2</v>
      </c>
      <c r="F2296" s="1">
        <v>6.0112283649679188E-2</v>
      </c>
      <c r="G2296" s="40">
        <f t="shared" si="91"/>
        <v>0</v>
      </c>
      <c r="H2296" s="33">
        <f t="shared" si="92"/>
        <v>-6.0112283649679188E-2</v>
      </c>
      <c r="I2296" s="43"/>
    </row>
    <row r="2297" spans="2:9" ht="15">
      <c r="B2297" s="32">
        <v>2</v>
      </c>
      <c r="C2297" s="66" t="s">
        <v>48</v>
      </c>
      <c r="D2297" s="64">
        <v>42878</v>
      </c>
      <c r="E2297">
        <v>1.2805376575060201E-2</v>
      </c>
      <c r="F2297" s="1">
        <v>5.4800771322585581E-2</v>
      </c>
      <c r="G2297" s="40">
        <f t="shared" si="91"/>
        <v>0</v>
      </c>
      <c r="H2297" s="33">
        <f t="shared" si="92"/>
        <v>-5.4800771322585581E-2</v>
      </c>
      <c r="I2297" s="43"/>
    </row>
    <row r="2298" spans="2:9" ht="15">
      <c r="B2298" s="32">
        <v>2</v>
      </c>
      <c r="C2298" s="66" t="s">
        <v>48</v>
      </c>
      <c r="D2298" s="64">
        <v>42879</v>
      </c>
      <c r="E2298">
        <v>1.1886371668330398E-2</v>
      </c>
      <c r="F2298" s="1">
        <v>4.7046149431242357E-2</v>
      </c>
      <c r="G2298" s="40">
        <f t="shared" si="91"/>
        <v>0</v>
      </c>
      <c r="H2298" s="33">
        <f t="shared" si="92"/>
        <v>-4.7046149431242357E-2</v>
      </c>
      <c r="I2298" s="43"/>
    </row>
    <row r="2299" spans="2:9" ht="15">
      <c r="B2299" s="32">
        <v>2</v>
      </c>
      <c r="C2299" s="66" t="s">
        <v>48</v>
      </c>
      <c r="D2299" s="64">
        <v>42880</v>
      </c>
      <c r="E2299">
        <v>7.7214287872156007E-3</v>
      </c>
      <c r="F2299" s="1">
        <v>4.1076244648775316E-2</v>
      </c>
      <c r="G2299" s="40">
        <f t="shared" si="91"/>
        <v>0</v>
      </c>
      <c r="H2299" s="33">
        <f t="shared" si="92"/>
        <v>-4.1076244648775316E-2</v>
      </c>
      <c r="I2299" s="43"/>
    </row>
    <row r="2300" spans="2:9" ht="15">
      <c r="B2300" s="32">
        <v>2</v>
      </c>
      <c r="C2300" s="66" t="s">
        <v>48</v>
      </c>
      <c r="D2300" s="64">
        <v>42881</v>
      </c>
      <c r="E2300">
        <v>6.5805933541200901E-3</v>
      </c>
      <c r="F2300" s="1">
        <v>3.8890761581803393E-2</v>
      </c>
      <c r="G2300" s="40">
        <f t="shared" si="91"/>
        <v>0</v>
      </c>
      <c r="H2300" s="33">
        <f t="shared" si="92"/>
        <v>-3.8890761581803393E-2</v>
      </c>
      <c r="I2300" s="43"/>
    </row>
    <row r="2301" spans="2:9" ht="15">
      <c r="B2301" s="32">
        <v>2</v>
      </c>
      <c r="C2301" s="66" t="s">
        <v>48</v>
      </c>
      <c r="D2301" s="64">
        <v>42885</v>
      </c>
      <c r="E2301">
        <v>6.8067014814001681E-3</v>
      </c>
      <c r="F2301" s="1">
        <v>3.3022033748451501E-2</v>
      </c>
      <c r="G2301" s="40">
        <f t="shared" si="91"/>
        <v>0</v>
      </c>
      <c r="H2301" s="33">
        <f t="shared" si="92"/>
        <v>-3.3022033748451501E-2</v>
      </c>
      <c r="I2301" s="43"/>
    </row>
    <row r="2302" spans="2:9" ht="15">
      <c r="B2302" s="32">
        <v>2</v>
      </c>
      <c r="C2302" s="66" t="s">
        <v>48</v>
      </c>
      <c r="D2302" s="64">
        <v>42886</v>
      </c>
      <c r="E2302">
        <v>1.1768134795194563E-2</v>
      </c>
      <c r="F2302" s="1">
        <v>2.84102653392759E-2</v>
      </c>
      <c r="G2302" s="40">
        <f t="shared" si="91"/>
        <v>0</v>
      </c>
      <c r="H2302" s="33">
        <f t="shared" si="92"/>
        <v>-2.84102653392759E-2</v>
      </c>
      <c r="I2302" s="43"/>
    </row>
    <row r="2303" spans="2:9" ht="15">
      <c r="B2303" s="32">
        <v>2</v>
      </c>
      <c r="C2303" s="66" t="s">
        <v>48</v>
      </c>
      <c r="D2303" s="64">
        <v>42887</v>
      </c>
      <c r="E2303">
        <v>3.2292120595291962E-3</v>
      </c>
      <c r="F2303" s="1">
        <v>2.4173344103320345E-2</v>
      </c>
      <c r="G2303" s="40">
        <f t="shared" si="91"/>
        <v>0</v>
      </c>
      <c r="H2303" s="33">
        <f t="shared" si="92"/>
        <v>-2.4173344103320345E-2</v>
      </c>
      <c r="I2303" s="43"/>
    </row>
    <row r="2304" spans="2:9" ht="15">
      <c r="B2304" s="32">
        <v>2</v>
      </c>
      <c r="C2304" s="66" t="s">
        <v>48</v>
      </c>
      <c r="D2304" s="64">
        <v>42888</v>
      </c>
      <c r="E2304">
        <v>-2.7137720664178744E-3</v>
      </c>
      <c r="F2304" s="1">
        <v>3.5816410394949968E-2</v>
      </c>
      <c r="G2304" s="40">
        <f t="shared" si="91"/>
        <v>0</v>
      </c>
      <c r="H2304" s="33">
        <f t="shared" si="92"/>
        <v>-3.5816410394949968E-2</v>
      </c>
      <c r="I2304" s="43"/>
    </row>
    <row r="2305" spans="2:9" ht="15">
      <c r="B2305" s="32">
        <v>2</v>
      </c>
      <c r="C2305" s="66" t="s">
        <v>48</v>
      </c>
      <c r="D2305" s="64">
        <v>42891</v>
      </c>
      <c r="E2305">
        <v>-1.2117662313499977E-3</v>
      </c>
      <c r="F2305" s="1">
        <v>3.3632926887786213E-2</v>
      </c>
      <c r="G2305" s="40">
        <f t="shared" si="91"/>
        <v>0</v>
      </c>
      <c r="H2305" s="33">
        <f t="shared" si="92"/>
        <v>-3.3632926887786213E-2</v>
      </c>
      <c r="I2305" s="43"/>
    </row>
    <row r="2306" spans="2:9" ht="15">
      <c r="B2306" s="32">
        <v>2</v>
      </c>
      <c r="C2306" s="66" t="s">
        <v>48</v>
      </c>
      <c r="D2306" s="64">
        <v>42892</v>
      </c>
      <c r="E2306">
        <v>9.8837260010613548E-3</v>
      </c>
      <c r="F2306" s="1">
        <v>2.8929922687998492E-2</v>
      </c>
      <c r="G2306" s="40">
        <f t="shared" si="91"/>
        <v>0</v>
      </c>
      <c r="H2306" s="33">
        <f t="shared" si="92"/>
        <v>-2.8929922687998492E-2</v>
      </c>
      <c r="I2306" s="43"/>
    </row>
    <row r="2307" spans="2:9" ht="15">
      <c r="B2307" s="32">
        <v>2</v>
      </c>
      <c r="C2307" s="66" t="s">
        <v>48</v>
      </c>
      <c r="D2307" s="64">
        <v>42893</v>
      </c>
      <c r="E2307">
        <v>1.5975363856481906E-3</v>
      </c>
      <c r="F2307" s="1">
        <v>2.6831942000127899E-2</v>
      </c>
      <c r="G2307" s="40">
        <f t="shared" si="91"/>
        <v>0</v>
      </c>
      <c r="H2307" s="33">
        <f t="shared" si="92"/>
        <v>-2.6831942000127899E-2</v>
      </c>
      <c r="I2307" s="43"/>
    </row>
    <row r="2308" spans="2:9" ht="15">
      <c r="B2308" s="32">
        <v>2</v>
      </c>
      <c r="C2308" s="66" t="s">
        <v>48</v>
      </c>
      <c r="D2308" s="64">
        <v>42894</v>
      </c>
      <c r="E2308">
        <v>7.4755330438591727E-4</v>
      </c>
      <c r="F2308" s="1">
        <v>2.3570668017812612E-2</v>
      </c>
      <c r="G2308" s="40">
        <f t="shared" si="91"/>
        <v>0</v>
      </c>
      <c r="H2308" s="33">
        <f t="shared" si="92"/>
        <v>-2.3570668017812612E-2</v>
      </c>
      <c r="I2308" s="43"/>
    </row>
    <row r="2309" spans="2:9" ht="15">
      <c r="B2309" s="32">
        <v>2</v>
      </c>
      <c r="C2309" s="66" t="s">
        <v>48</v>
      </c>
      <c r="D2309" s="64">
        <v>42895</v>
      </c>
      <c r="E2309">
        <v>1.1220011529058382E-3</v>
      </c>
      <c r="F2309" s="1">
        <v>2.002739703338836E-2</v>
      </c>
      <c r="G2309" s="40">
        <f t="shared" si="91"/>
        <v>0</v>
      </c>
      <c r="H2309" s="33">
        <f t="shared" si="92"/>
        <v>-2.002739703338836E-2</v>
      </c>
      <c r="I2309" s="43"/>
    </row>
    <row r="2310" spans="2:9" ht="15">
      <c r="B2310" s="32">
        <v>2</v>
      </c>
      <c r="C2310" s="66" t="s">
        <v>48</v>
      </c>
      <c r="D2310" s="64">
        <v>42898</v>
      </c>
      <c r="E2310">
        <v>3.6609422776283651E-3</v>
      </c>
      <c r="F2310" s="1">
        <v>1.7298470476371786E-2</v>
      </c>
      <c r="G2310" s="40">
        <f t="shared" si="91"/>
        <v>0</v>
      </c>
      <c r="H2310" s="33">
        <f t="shared" si="92"/>
        <v>-1.7298470476371786E-2</v>
      </c>
      <c r="I2310" s="43"/>
    </row>
    <row r="2311" spans="2:9" ht="15">
      <c r="B2311" s="32">
        <v>2</v>
      </c>
      <c r="C2311" s="66" t="s">
        <v>48</v>
      </c>
      <c r="D2311" s="64">
        <v>42899</v>
      </c>
      <c r="E2311">
        <v>-5.2466481090629458E-4</v>
      </c>
      <c r="F2311" s="1">
        <v>1.5165139046289982E-2</v>
      </c>
      <c r="G2311" s="40">
        <f t="shared" si="91"/>
        <v>0</v>
      </c>
      <c r="H2311" s="33">
        <f t="shared" si="92"/>
        <v>-1.5165139046289982E-2</v>
      </c>
      <c r="I2311" s="43"/>
    </row>
    <row r="2312" spans="2:9" ht="15">
      <c r="B2312" s="32">
        <v>2</v>
      </c>
      <c r="C2312" s="66" t="s">
        <v>48</v>
      </c>
      <c r="D2312" s="64">
        <v>42900</v>
      </c>
      <c r="E2312">
        <v>-7.6339241068339447E-3</v>
      </c>
      <c r="F2312" s="1">
        <v>2.1739972283423108E-2</v>
      </c>
      <c r="G2312" s="40">
        <f t="shared" si="91"/>
        <v>0</v>
      </c>
      <c r="H2312" s="33">
        <f t="shared" si="92"/>
        <v>-2.1739972283423108E-2</v>
      </c>
      <c r="I2312" s="43"/>
    </row>
    <row r="2313" spans="2:9" ht="15">
      <c r="B2313" s="32">
        <v>2</v>
      </c>
      <c r="C2313" s="66" t="s">
        <v>48</v>
      </c>
      <c r="D2313" s="64">
        <v>42901</v>
      </c>
      <c r="E2313">
        <v>3.3776871181885326E-3</v>
      </c>
      <c r="F2313" s="1">
        <v>1.8850283781399156E-2</v>
      </c>
      <c r="G2313" s="40">
        <f t="shared" si="91"/>
        <v>0</v>
      </c>
      <c r="H2313" s="33">
        <f t="shared" si="92"/>
        <v>-1.8850283781399156E-2</v>
      </c>
      <c r="I2313" s="43"/>
    </row>
    <row r="2314" spans="2:9" ht="15">
      <c r="B2314" s="32">
        <v>2</v>
      </c>
      <c r="C2314" s="66" t="s">
        <v>48</v>
      </c>
      <c r="D2314" s="64">
        <v>42902</v>
      </c>
      <c r="E2314">
        <v>-5.5431286136231606E-3</v>
      </c>
      <c r="F2314" s="1">
        <v>1.8221317728578212E-2</v>
      </c>
      <c r="G2314" s="40">
        <f t="shared" si="91"/>
        <v>0</v>
      </c>
      <c r="H2314" s="33">
        <f t="shared" si="92"/>
        <v>-1.8221317728578212E-2</v>
      </c>
      <c r="I2314" s="43"/>
    </row>
    <row r="2315" spans="2:9" ht="15">
      <c r="B2315" s="32">
        <v>2</v>
      </c>
      <c r="C2315" s="66" t="s">
        <v>48</v>
      </c>
      <c r="D2315" s="64">
        <v>42905</v>
      </c>
      <c r="E2315">
        <v>-1.2323654350495872E-2</v>
      </c>
      <c r="F2315" s="1">
        <v>1.5500663792402241E-2</v>
      </c>
      <c r="G2315" s="40">
        <f t="shared" ref="G2315:G2378" si="93">--(E2315&lt;-F2315)</f>
        <v>0</v>
      </c>
      <c r="H2315" s="33">
        <f t="shared" ref="H2315:H2378" si="94">-F2315</f>
        <v>-1.5500663792402241E-2</v>
      </c>
      <c r="I2315" s="43"/>
    </row>
    <row r="2316" spans="2:9" ht="15">
      <c r="B2316" s="32">
        <v>2</v>
      </c>
      <c r="C2316" s="66" t="s">
        <v>48</v>
      </c>
      <c r="D2316" s="64">
        <v>42906</v>
      </c>
      <c r="E2316">
        <v>-3.2963256355023063E-3</v>
      </c>
      <c r="F2316" s="1">
        <v>3.4929552516862493E-2</v>
      </c>
      <c r="G2316" s="40">
        <f t="shared" si="93"/>
        <v>0</v>
      </c>
      <c r="H2316" s="33">
        <f t="shared" si="94"/>
        <v>-3.4929552516862493E-2</v>
      </c>
      <c r="I2316" s="43"/>
    </row>
    <row r="2317" spans="2:9" ht="15">
      <c r="B2317" s="32">
        <v>2</v>
      </c>
      <c r="C2317" s="66" t="s">
        <v>48</v>
      </c>
      <c r="D2317" s="64">
        <v>42907</v>
      </c>
      <c r="E2317">
        <v>-1.2612874767317095E-3</v>
      </c>
      <c r="F2317" s="1">
        <v>3.9529496060317977E-2</v>
      </c>
      <c r="G2317" s="40">
        <f t="shared" si="93"/>
        <v>0</v>
      </c>
      <c r="H2317" s="33">
        <f t="shared" si="94"/>
        <v>-3.9529496060317977E-2</v>
      </c>
      <c r="I2317" s="43"/>
    </row>
    <row r="2318" spans="2:9" ht="15">
      <c r="B2318" s="32">
        <v>2</v>
      </c>
      <c r="C2318" s="66" t="s">
        <v>48</v>
      </c>
      <c r="D2318" s="64">
        <v>42908</v>
      </c>
      <c r="E2318">
        <v>-1.0218388958677771E-2</v>
      </c>
      <c r="F2318" s="1">
        <v>3.3618529448250119E-2</v>
      </c>
      <c r="G2318" s="40">
        <f t="shared" si="93"/>
        <v>0</v>
      </c>
      <c r="H2318" s="33">
        <f t="shared" si="94"/>
        <v>-3.3618529448250119E-2</v>
      </c>
      <c r="I2318" s="43"/>
    </row>
    <row r="2319" spans="2:9" ht="15">
      <c r="B2319" s="32">
        <v>2</v>
      </c>
      <c r="C2319" s="66" t="s">
        <v>48</v>
      </c>
      <c r="D2319" s="64">
        <v>42909</v>
      </c>
      <c r="E2319">
        <v>-5.3953748667767698E-3</v>
      </c>
      <c r="F2319" s="1">
        <v>2.8581415561491096E-2</v>
      </c>
      <c r="G2319" s="40">
        <f t="shared" si="93"/>
        <v>0</v>
      </c>
      <c r="H2319" s="33">
        <f t="shared" si="94"/>
        <v>-2.8581415561491096E-2</v>
      </c>
      <c r="I2319" s="43"/>
    </row>
    <row r="2320" spans="2:9" ht="15">
      <c r="B2320" s="32">
        <v>2</v>
      </c>
      <c r="C2320" s="66" t="s">
        <v>48</v>
      </c>
      <c r="D2320" s="64">
        <v>42912</v>
      </c>
      <c r="E2320">
        <v>-4.7837904853027524E-3</v>
      </c>
      <c r="F2320" s="1">
        <v>2.5000578026957581E-2</v>
      </c>
      <c r="G2320" s="40">
        <f t="shared" si="93"/>
        <v>0</v>
      </c>
      <c r="H2320" s="33">
        <f t="shared" si="94"/>
        <v>-2.5000578026957581E-2</v>
      </c>
      <c r="I2320" s="43"/>
    </row>
    <row r="2321" spans="2:9" ht="15">
      <c r="B2321" s="32">
        <v>2</v>
      </c>
      <c r="C2321" s="66" t="s">
        <v>48</v>
      </c>
      <c r="D2321" s="64">
        <v>42913</v>
      </c>
      <c r="E2321">
        <v>2.5388085290041218E-3</v>
      </c>
      <c r="F2321" s="1">
        <v>2.1249272476448134E-2</v>
      </c>
      <c r="G2321" s="40">
        <f t="shared" si="93"/>
        <v>0</v>
      </c>
      <c r="H2321" s="33">
        <f t="shared" si="94"/>
        <v>-2.1249272476448134E-2</v>
      </c>
      <c r="I2321" s="43"/>
    </row>
    <row r="2322" spans="2:9" ht="15">
      <c r="B2322" s="32">
        <v>2</v>
      </c>
      <c r="C2322" s="66" t="s">
        <v>48</v>
      </c>
      <c r="D2322" s="64">
        <v>42914</v>
      </c>
      <c r="E2322">
        <v>1.0483581966189703E-3</v>
      </c>
      <c r="F2322" s="1">
        <v>3.6341200727609602E-2</v>
      </c>
      <c r="G2322" s="40">
        <f t="shared" si="93"/>
        <v>0</v>
      </c>
      <c r="H2322" s="33">
        <f t="shared" si="94"/>
        <v>-3.6341200727609602E-2</v>
      </c>
      <c r="I2322" s="43"/>
    </row>
    <row r="2323" spans="2:9" ht="15">
      <c r="B2323" s="32">
        <v>2</v>
      </c>
      <c r="C2323" s="66" t="s">
        <v>48</v>
      </c>
      <c r="D2323" s="64">
        <v>42915</v>
      </c>
      <c r="E2323">
        <v>1.1558404367749908E-2</v>
      </c>
      <c r="F2323" s="1">
        <v>4.6002649219788382E-2</v>
      </c>
      <c r="G2323" s="40">
        <f t="shared" si="93"/>
        <v>0</v>
      </c>
      <c r="H2323" s="33">
        <f t="shared" si="94"/>
        <v>-4.6002649219788382E-2</v>
      </c>
      <c r="I2323" s="43"/>
    </row>
    <row r="2324" spans="2:9" ht="15">
      <c r="B2324" s="32">
        <v>2</v>
      </c>
      <c r="C2324" s="66" t="s">
        <v>48</v>
      </c>
      <c r="D2324" s="64">
        <v>42916</v>
      </c>
      <c r="E2324">
        <v>1.4688963142657663E-2</v>
      </c>
      <c r="F2324" s="1">
        <v>5.1518491122819303E-2</v>
      </c>
      <c r="G2324" s="40">
        <f t="shared" si="93"/>
        <v>0</v>
      </c>
      <c r="H2324" s="33">
        <f t="shared" si="94"/>
        <v>-5.1518491122819303E-2</v>
      </c>
      <c r="I2324" s="43"/>
    </row>
    <row r="2325" spans="2:9" ht="15">
      <c r="B2325" s="32">
        <v>2</v>
      </c>
      <c r="C2325" s="66" t="s">
        <v>48</v>
      </c>
      <c r="D2325" s="64">
        <v>42919</v>
      </c>
      <c r="E2325">
        <v>1.232788076612934E-2</v>
      </c>
      <c r="F2325" s="1">
        <v>4.4119829930362418E-2</v>
      </c>
      <c r="G2325" s="40">
        <f t="shared" si="93"/>
        <v>0</v>
      </c>
      <c r="H2325" s="33">
        <f t="shared" si="94"/>
        <v>-4.4119829930362418E-2</v>
      </c>
      <c r="I2325" s="43"/>
    </row>
    <row r="2326" spans="2:9" ht="15">
      <c r="B2326" s="32">
        <v>2</v>
      </c>
      <c r="C2326" s="66" t="s">
        <v>48</v>
      </c>
      <c r="D2326" s="64">
        <v>42921</v>
      </c>
      <c r="E2326">
        <v>1.147333520713012E-2</v>
      </c>
      <c r="F2326" s="1">
        <v>3.8500053439295301E-2</v>
      </c>
      <c r="G2326" s="40">
        <f t="shared" si="93"/>
        <v>0</v>
      </c>
      <c r="H2326" s="33">
        <f t="shared" si="94"/>
        <v>-3.8500053439295301E-2</v>
      </c>
      <c r="I2326" s="43"/>
    </row>
    <row r="2327" spans="2:9" ht="15">
      <c r="B2327" s="32">
        <v>2</v>
      </c>
      <c r="C2327" s="66" t="s">
        <v>48</v>
      </c>
      <c r="D2327" s="64">
        <v>42922</v>
      </c>
      <c r="E2327">
        <v>2.6244580825278696E-2</v>
      </c>
      <c r="F2327" s="1">
        <v>3.315389251829761E-2</v>
      </c>
      <c r="G2327" s="40">
        <f t="shared" si="93"/>
        <v>0</v>
      </c>
      <c r="H2327" s="33">
        <f t="shared" si="94"/>
        <v>-3.315389251829761E-2</v>
      </c>
      <c r="I2327" s="43"/>
    </row>
    <row r="2328" spans="2:9" ht="15">
      <c r="B2328" s="32">
        <v>2</v>
      </c>
      <c r="C2328" s="66" t="s">
        <v>48</v>
      </c>
      <c r="D2328" s="64">
        <v>42923</v>
      </c>
      <c r="E2328">
        <v>1.9708196999911998E-2</v>
      </c>
      <c r="F2328" s="1">
        <v>4.6195869963572805E-2</v>
      </c>
      <c r="G2328" s="40">
        <f t="shared" si="93"/>
        <v>0</v>
      </c>
      <c r="H2328" s="33">
        <f t="shared" si="94"/>
        <v>-4.6195869963572805E-2</v>
      </c>
      <c r="I2328" s="43"/>
    </row>
    <row r="2329" spans="2:9" ht="15">
      <c r="B2329" s="32">
        <v>2</v>
      </c>
      <c r="C2329" s="66" t="s">
        <v>48</v>
      </c>
      <c r="D2329" s="64">
        <v>42926</v>
      </c>
      <c r="E2329">
        <v>1.8412921611538735E-2</v>
      </c>
      <c r="F2329" s="1">
        <v>4.640962018094115E-2</v>
      </c>
      <c r="G2329" s="40">
        <f t="shared" si="93"/>
        <v>0</v>
      </c>
      <c r="H2329" s="33">
        <f t="shared" si="94"/>
        <v>-4.640962018094115E-2</v>
      </c>
      <c r="I2329" s="43"/>
    </row>
    <row r="2330" spans="2:9" ht="15">
      <c r="B2330" s="32">
        <v>2</v>
      </c>
      <c r="C2330" s="66" t="s">
        <v>48</v>
      </c>
      <c r="D2330" s="64">
        <v>42927</v>
      </c>
      <c r="E2330">
        <v>1.8131607933650429E-2</v>
      </c>
      <c r="F2330" s="1">
        <v>3.9544976505784757E-2</v>
      </c>
      <c r="G2330" s="40">
        <f t="shared" si="93"/>
        <v>0</v>
      </c>
      <c r="H2330" s="33">
        <f t="shared" si="94"/>
        <v>-3.9544976505784757E-2</v>
      </c>
      <c r="I2330" s="43"/>
    </row>
    <row r="2331" spans="2:9" ht="15">
      <c r="B2331" s="32">
        <v>2</v>
      </c>
      <c r="C2331" s="66" t="s">
        <v>48</v>
      </c>
      <c r="D2331" s="64">
        <v>42928</v>
      </c>
      <c r="E2331">
        <v>1.3771464503305353E-2</v>
      </c>
      <c r="F2331" s="1">
        <v>3.3693170582030377E-2</v>
      </c>
      <c r="G2331" s="40">
        <f t="shared" si="93"/>
        <v>0</v>
      </c>
      <c r="H2331" s="33">
        <f t="shared" si="94"/>
        <v>-3.3693170582030377E-2</v>
      </c>
      <c r="I2331" s="43"/>
    </row>
    <row r="2332" spans="2:9" ht="15">
      <c r="B2332" s="32">
        <v>2</v>
      </c>
      <c r="C2332" s="66" t="s">
        <v>48</v>
      </c>
      <c r="D2332" s="64">
        <v>42929</v>
      </c>
      <c r="E2332">
        <v>1.2181258960878516E-2</v>
      </c>
      <c r="F2332" s="1">
        <v>4.0252415494360087E-2</v>
      </c>
      <c r="G2332" s="40">
        <f t="shared" si="93"/>
        <v>0</v>
      </c>
      <c r="H2332" s="33">
        <f t="shared" si="94"/>
        <v>-4.0252415494360087E-2</v>
      </c>
      <c r="I2332" s="43"/>
    </row>
    <row r="2333" spans="2:9" ht="15">
      <c r="B2333" s="32">
        <v>2</v>
      </c>
      <c r="C2333" s="66" t="s">
        <v>48</v>
      </c>
      <c r="D2333" s="64">
        <v>42930</v>
      </c>
      <c r="E2333">
        <v>6.545481012747878E-3</v>
      </c>
      <c r="F2333" s="1">
        <v>3.4924705734147993E-2</v>
      </c>
      <c r="G2333" s="40">
        <f t="shared" si="93"/>
        <v>0</v>
      </c>
      <c r="H2333" s="33">
        <f t="shared" si="94"/>
        <v>-3.4924705734147993E-2</v>
      </c>
      <c r="I2333" s="43"/>
    </row>
    <row r="2334" spans="2:9" ht="15">
      <c r="B2334" s="32">
        <v>2</v>
      </c>
      <c r="C2334" s="66" t="s">
        <v>48</v>
      </c>
      <c r="D2334" s="64">
        <v>42933</v>
      </c>
      <c r="E2334">
        <v>5.2563796789453221E-3</v>
      </c>
      <c r="F2334" s="1">
        <v>3.4751143354307491E-2</v>
      </c>
      <c r="G2334" s="40">
        <f t="shared" si="93"/>
        <v>0</v>
      </c>
      <c r="H2334" s="33">
        <f t="shared" si="94"/>
        <v>-3.4751143354307491E-2</v>
      </c>
      <c r="I2334" s="43"/>
    </row>
    <row r="2335" spans="2:9" ht="15">
      <c r="B2335" s="32">
        <v>2</v>
      </c>
      <c r="C2335" s="66" t="s">
        <v>48</v>
      </c>
      <c r="D2335" s="64">
        <v>42934</v>
      </c>
      <c r="E2335">
        <v>3.9302904198041944E-3</v>
      </c>
      <c r="F2335" s="1">
        <v>2.9488042363092694E-2</v>
      </c>
      <c r="G2335" s="40">
        <f t="shared" si="93"/>
        <v>0</v>
      </c>
      <c r="H2335" s="33">
        <f t="shared" si="94"/>
        <v>-2.9488042363092694E-2</v>
      </c>
      <c r="I2335" s="43"/>
    </row>
    <row r="2336" spans="2:9" ht="15">
      <c r="B2336" s="32">
        <v>2</v>
      </c>
      <c r="C2336" s="66" t="s">
        <v>48</v>
      </c>
      <c r="D2336" s="64">
        <v>42935</v>
      </c>
      <c r="E2336">
        <v>1.0181529270036904E-3</v>
      </c>
      <c r="F2336" s="1">
        <v>2.5129369213862496E-2</v>
      </c>
      <c r="G2336" s="40">
        <f t="shared" si="93"/>
        <v>0</v>
      </c>
      <c r="H2336" s="33">
        <f t="shared" si="94"/>
        <v>-2.5129369213862496E-2</v>
      </c>
      <c r="I2336" s="43"/>
    </row>
    <row r="2337" spans="2:9" ht="15">
      <c r="B2337" s="32">
        <v>2</v>
      </c>
      <c r="C2337" s="66" t="s">
        <v>48</v>
      </c>
      <c r="D2337" s="64">
        <v>42936</v>
      </c>
      <c r="E2337">
        <v>1.6643511580527459E-3</v>
      </c>
      <c r="F2337" s="1">
        <v>2.9828423365214435E-2</v>
      </c>
      <c r="G2337" s="40">
        <f t="shared" si="93"/>
        <v>0</v>
      </c>
      <c r="H2337" s="33">
        <f t="shared" si="94"/>
        <v>-2.9828423365214435E-2</v>
      </c>
      <c r="I2337" s="43"/>
    </row>
    <row r="2338" spans="2:9" ht="15">
      <c r="B2338" s="32">
        <v>2</v>
      </c>
      <c r="C2338" s="66" t="s">
        <v>48</v>
      </c>
      <c r="D2338" s="64">
        <v>42937</v>
      </c>
      <c r="E2338">
        <v>-1.537512910854133E-4</v>
      </c>
      <c r="F2338" s="1">
        <v>2.5317324651729423E-2</v>
      </c>
      <c r="G2338" s="40">
        <f t="shared" si="93"/>
        <v>0</v>
      </c>
      <c r="H2338" s="33">
        <f t="shared" si="94"/>
        <v>-2.5317324651729423E-2</v>
      </c>
      <c r="I2338" s="43"/>
    </row>
    <row r="2339" spans="2:9" ht="15">
      <c r="B2339" s="32">
        <v>2</v>
      </c>
      <c r="C2339" s="66" t="s">
        <v>48</v>
      </c>
      <c r="D2339" s="64">
        <v>42940</v>
      </c>
      <c r="E2339">
        <v>2.7978711346428042E-3</v>
      </c>
      <c r="F2339" s="1">
        <v>2.1530156335308272E-2</v>
      </c>
      <c r="G2339" s="40">
        <f t="shared" si="93"/>
        <v>0</v>
      </c>
      <c r="H2339" s="33">
        <f t="shared" si="94"/>
        <v>-2.1530156335308272E-2</v>
      </c>
      <c r="I2339" s="43"/>
    </row>
    <row r="2340" spans="2:9" ht="15">
      <c r="B2340" s="32">
        <v>2</v>
      </c>
      <c r="C2340" s="66" t="s">
        <v>48</v>
      </c>
      <c r="D2340" s="64">
        <v>42941</v>
      </c>
      <c r="E2340">
        <v>1.5248081454313223E-3</v>
      </c>
      <c r="F2340" s="1">
        <v>1.8732832091595531E-2</v>
      </c>
      <c r="G2340" s="40">
        <f t="shared" si="93"/>
        <v>0</v>
      </c>
      <c r="H2340" s="33">
        <f t="shared" si="94"/>
        <v>-1.8732832091595531E-2</v>
      </c>
      <c r="I2340" s="43"/>
    </row>
    <row r="2341" spans="2:9" ht="15">
      <c r="B2341" s="32">
        <v>2</v>
      </c>
      <c r="C2341" s="66" t="s">
        <v>48</v>
      </c>
      <c r="D2341" s="64">
        <v>42942</v>
      </c>
      <c r="E2341">
        <v>-1.1751678703406654E-3</v>
      </c>
      <c r="F2341" s="1">
        <v>1.9538888472126825E-2</v>
      </c>
      <c r="G2341" s="40">
        <f t="shared" si="93"/>
        <v>0</v>
      </c>
      <c r="H2341" s="33">
        <f t="shared" si="94"/>
        <v>-1.9538888472126825E-2</v>
      </c>
      <c r="I2341" s="43"/>
    </row>
    <row r="2342" spans="2:9" ht="15">
      <c r="B2342" s="32">
        <v>2</v>
      </c>
      <c r="C2342" s="66" t="s">
        <v>48</v>
      </c>
      <c r="D2342" s="64">
        <v>42943</v>
      </c>
      <c r="E2342">
        <v>-5.6568098764131491E-4</v>
      </c>
      <c r="F2342" s="1">
        <v>1.6615759579633634E-2</v>
      </c>
      <c r="G2342" s="40">
        <f t="shared" si="93"/>
        <v>0</v>
      </c>
      <c r="H2342" s="33">
        <f t="shared" si="94"/>
        <v>-1.6615759579633634E-2</v>
      </c>
      <c r="I2342" s="43"/>
    </row>
    <row r="2343" spans="2:9" ht="15">
      <c r="B2343" s="32">
        <v>2</v>
      </c>
      <c r="C2343" s="66" t="s">
        <v>48</v>
      </c>
      <c r="D2343" s="64">
        <v>42944</v>
      </c>
      <c r="E2343">
        <v>-1.3803883962657082E-2</v>
      </c>
      <c r="F2343" s="1">
        <v>1.4599004499533628E-2</v>
      </c>
      <c r="G2343" s="40">
        <f t="shared" si="93"/>
        <v>0</v>
      </c>
      <c r="H2343" s="33">
        <f t="shared" si="94"/>
        <v>-1.4599004499533628E-2</v>
      </c>
      <c r="I2343" s="43"/>
    </row>
    <row r="2344" spans="2:9" ht="15">
      <c r="B2344" s="32">
        <v>2</v>
      </c>
      <c r="C2344" s="66" t="s">
        <v>48</v>
      </c>
      <c r="D2344" s="64">
        <v>42947</v>
      </c>
      <c r="E2344">
        <v>-1.1800716103473441E-2</v>
      </c>
      <c r="F2344" s="1">
        <v>1.3444160854576222E-2</v>
      </c>
      <c r="G2344" s="40">
        <f t="shared" si="93"/>
        <v>0</v>
      </c>
      <c r="H2344" s="33">
        <f t="shared" si="94"/>
        <v>-1.3444160854576222E-2</v>
      </c>
      <c r="I2344" s="43"/>
    </row>
    <row r="2345" spans="2:9" ht="15">
      <c r="B2345" s="32">
        <v>2</v>
      </c>
      <c r="C2345" s="66" t="s">
        <v>48</v>
      </c>
      <c r="D2345" s="64">
        <v>42948</v>
      </c>
      <c r="E2345">
        <v>-4.2531855100387261E-3</v>
      </c>
      <c r="F2345" s="1">
        <v>1.1754863218435137E-2</v>
      </c>
      <c r="G2345" s="40">
        <f t="shared" si="93"/>
        <v>0</v>
      </c>
      <c r="H2345" s="33">
        <f t="shared" si="94"/>
        <v>-1.1754863218435137E-2</v>
      </c>
      <c r="I2345" s="43"/>
    </row>
    <row r="2346" spans="2:9" ht="15">
      <c r="B2346" s="32">
        <v>2</v>
      </c>
      <c r="C2346" s="66" t="s">
        <v>48</v>
      </c>
      <c r="D2346" s="64">
        <v>42949</v>
      </c>
      <c r="E2346">
        <v>-5.2446451759333712E-3</v>
      </c>
      <c r="F2346" s="1">
        <v>1.3789750123537357E-2</v>
      </c>
      <c r="G2346" s="40">
        <f t="shared" si="93"/>
        <v>0</v>
      </c>
      <c r="H2346" s="33">
        <f t="shared" si="94"/>
        <v>-1.3789750123537357E-2</v>
      </c>
      <c r="I2346" s="43"/>
    </row>
    <row r="2347" spans="2:9" ht="15">
      <c r="B2347" s="32">
        <v>2</v>
      </c>
      <c r="C2347" s="66" t="s">
        <v>48</v>
      </c>
      <c r="D2347" s="64">
        <v>42950</v>
      </c>
      <c r="E2347">
        <v>-1.639507918222094E-3</v>
      </c>
      <c r="F2347" s="1">
        <v>1.185702844925926E-2</v>
      </c>
      <c r="G2347" s="40">
        <f t="shared" si="93"/>
        <v>0</v>
      </c>
      <c r="H2347" s="33">
        <f t="shared" si="94"/>
        <v>-1.185702844925926E-2</v>
      </c>
      <c r="I2347" s="43"/>
    </row>
    <row r="2348" spans="2:9" ht="15">
      <c r="B2348" s="32">
        <v>2</v>
      </c>
      <c r="C2348" s="66" t="s">
        <v>48</v>
      </c>
      <c r="D2348" s="64">
        <v>42951</v>
      </c>
      <c r="E2348">
        <v>-1.9084171549347495E-2</v>
      </c>
      <c r="F2348" s="1">
        <v>1.3177194457644323E-2</v>
      </c>
      <c r="G2348" s="40">
        <f t="shared" si="93"/>
        <v>1</v>
      </c>
      <c r="H2348" s="33">
        <f t="shared" si="94"/>
        <v>-1.3177194457644323E-2</v>
      </c>
      <c r="I2348" s="43">
        <f t="shared" ref="I2310:I2373" si="95">IF(G2348=0,"",E2348)</f>
        <v>-1.9084171549347495E-2</v>
      </c>
    </row>
    <row r="2349" spans="2:9" ht="15">
      <c r="B2349" s="32">
        <v>2</v>
      </c>
      <c r="C2349" s="66" t="s">
        <v>48</v>
      </c>
      <c r="D2349" s="64">
        <v>42954</v>
      </c>
      <c r="E2349">
        <v>-2.2567069886950897E-2</v>
      </c>
      <c r="F2349" s="1">
        <v>1.3378919459981339E-2</v>
      </c>
      <c r="G2349" s="40">
        <f t="shared" si="93"/>
        <v>1</v>
      </c>
      <c r="H2349" s="33">
        <f t="shared" si="94"/>
        <v>-1.3378919459981339E-2</v>
      </c>
      <c r="I2349" s="43">
        <f t="shared" si="95"/>
        <v>-2.2567069886950897E-2</v>
      </c>
    </row>
    <row r="2350" spans="2:9" ht="15">
      <c r="B2350" s="32">
        <v>2</v>
      </c>
      <c r="C2350" s="66" t="s">
        <v>48</v>
      </c>
      <c r="D2350" s="64">
        <v>42955</v>
      </c>
      <c r="E2350">
        <v>-1.8987742184664924E-2</v>
      </c>
      <c r="F2350" s="1">
        <v>1.3035493498773748E-2</v>
      </c>
      <c r="G2350" s="40">
        <f t="shared" si="93"/>
        <v>1</v>
      </c>
      <c r="H2350" s="33">
        <f t="shared" si="94"/>
        <v>-1.3035493498773748E-2</v>
      </c>
      <c r="I2350" s="43">
        <f t="shared" si="95"/>
        <v>-1.8987742184664924E-2</v>
      </c>
    </row>
    <row r="2351" spans="2:9" ht="15">
      <c r="B2351" s="32">
        <v>2</v>
      </c>
      <c r="C2351" s="66" t="s">
        <v>48</v>
      </c>
      <c r="D2351" s="64">
        <v>42956</v>
      </c>
      <c r="E2351">
        <v>-8.7323720975112096E-3</v>
      </c>
      <c r="F2351" s="1">
        <v>1.4522226546819273E-2</v>
      </c>
      <c r="G2351" s="40">
        <f t="shared" si="93"/>
        <v>0</v>
      </c>
      <c r="H2351" s="33">
        <f t="shared" si="94"/>
        <v>-1.4522226546819273E-2</v>
      </c>
      <c r="I2351" s="43"/>
    </row>
    <row r="2352" spans="2:9" ht="15">
      <c r="B2352" s="32">
        <v>2</v>
      </c>
      <c r="C2352" s="66" t="s">
        <v>48</v>
      </c>
      <c r="D2352" s="64">
        <v>42957</v>
      </c>
      <c r="E2352">
        <v>2.3882762132885205E-3</v>
      </c>
      <c r="F2352" s="1">
        <v>1.2403572498466653E-2</v>
      </c>
      <c r="G2352" s="40">
        <f t="shared" si="93"/>
        <v>0</v>
      </c>
      <c r="H2352" s="33">
        <f t="shared" si="94"/>
        <v>-1.2403572498466653E-2</v>
      </c>
      <c r="I2352" s="43"/>
    </row>
    <row r="2353" spans="2:9" ht="15">
      <c r="B2353" s="32">
        <v>2</v>
      </c>
      <c r="C2353" s="66" t="s">
        <v>48</v>
      </c>
      <c r="D2353" s="64">
        <v>42958</v>
      </c>
      <c r="E2353">
        <v>-9.6309734170496597E-4</v>
      </c>
      <c r="F2353" s="1">
        <v>5.7724366402647727E-2</v>
      </c>
      <c r="G2353" s="40">
        <f t="shared" si="93"/>
        <v>0</v>
      </c>
      <c r="H2353" s="33">
        <f t="shared" si="94"/>
        <v>-5.7724366402647727E-2</v>
      </c>
      <c r="I2353" s="43"/>
    </row>
    <row r="2354" spans="2:9" ht="15">
      <c r="B2354" s="32">
        <v>2</v>
      </c>
      <c r="C2354" s="66" t="s">
        <v>48</v>
      </c>
      <c r="D2354" s="64">
        <v>42961</v>
      </c>
      <c r="E2354">
        <v>-9.2852771617462082E-3</v>
      </c>
      <c r="F2354" s="1">
        <v>4.9231473500558884E-2</v>
      </c>
      <c r="G2354" s="40">
        <f t="shared" si="93"/>
        <v>0</v>
      </c>
      <c r="H2354" s="33">
        <f t="shared" si="94"/>
        <v>-4.9231473500558884E-2</v>
      </c>
      <c r="I2354" s="43"/>
    </row>
    <row r="2355" spans="2:9" ht="15">
      <c r="B2355" s="32">
        <v>2</v>
      </c>
      <c r="C2355" s="66" t="s">
        <v>48</v>
      </c>
      <c r="D2355" s="64">
        <v>42962</v>
      </c>
      <c r="E2355">
        <v>-8.2993913122786367E-3</v>
      </c>
      <c r="F2355" s="1">
        <v>5.7083258187099035E-2</v>
      </c>
      <c r="G2355" s="40">
        <f t="shared" si="93"/>
        <v>0</v>
      </c>
      <c r="H2355" s="33">
        <f t="shared" si="94"/>
        <v>-5.7083258187099035E-2</v>
      </c>
      <c r="I2355" s="43"/>
    </row>
    <row r="2356" spans="2:9" ht="15">
      <c r="B2356" s="32">
        <v>2</v>
      </c>
      <c r="C2356" s="66" t="s">
        <v>48</v>
      </c>
      <c r="D2356" s="64">
        <v>42963</v>
      </c>
      <c r="E2356">
        <v>-8.8760199076967083E-3</v>
      </c>
      <c r="F2356" s="1">
        <v>4.8475674217510888E-2</v>
      </c>
      <c r="G2356" s="40">
        <f t="shared" si="93"/>
        <v>0</v>
      </c>
      <c r="H2356" s="33">
        <f t="shared" si="94"/>
        <v>-4.8475674217510888E-2</v>
      </c>
      <c r="I2356" s="43"/>
    </row>
    <row r="2357" spans="2:9" ht="15">
      <c r="B2357" s="32">
        <v>2</v>
      </c>
      <c r="C2357" s="66" t="s">
        <v>48</v>
      </c>
      <c r="D2357" s="64">
        <v>42964</v>
      </c>
      <c r="E2357">
        <v>1.1285854074420953E-2</v>
      </c>
      <c r="F2357" s="1">
        <v>4.1502261677147746E-2</v>
      </c>
      <c r="G2357" s="40">
        <f t="shared" si="93"/>
        <v>0</v>
      </c>
      <c r="H2357" s="33">
        <f t="shared" si="94"/>
        <v>-4.1502261677147746E-2</v>
      </c>
      <c r="I2357" s="43"/>
    </row>
    <row r="2358" spans="2:9" ht="15">
      <c r="B2358" s="32">
        <v>2</v>
      </c>
      <c r="C2358" s="66" t="s">
        <v>48</v>
      </c>
      <c r="D2358" s="64">
        <v>42965</v>
      </c>
      <c r="E2358">
        <v>1.8827581162494944E-2</v>
      </c>
      <c r="F2358" s="1">
        <v>7.0055142700547857E-2</v>
      </c>
      <c r="G2358" s="40">
        <f t="shared" si="93"/>
        <v>0</v>
      </c>
      <c r="H2358" s="33">
        <f t="shared" si="94"/>
        <v>-7.0055142700547857E-2</v>
      </c>
      <c r="I2358" s="43"/>
    </row>
    <row r="2359" spans="2:9" ht="15">
      <c r="B2359" s="32">
        <v>2</v>
      </c>
      <c r="C2359" s="66" t="s">
        <v>48</v>
      </c>
      <c r="D2359" s="64">
        <v>42968</v>
      </c>
      <c r="E2359">
        <v>1.9646183846814047E-2</v>
      </c>
      <c r="F2359" s="1">
        <v>5.9872359514226127E-2</v>
      </c>
      <c r="G2359" s="40">
        <f t="shared" si="93"/>
        <v>0</v>
      </c>
      <c r="H2359" s="33">
        <f t="shared" si="94"/>
        <v>-5.9872359514226127E-2</v>
      </c>
      <c r="I2359" s="43"/>
    </row>
    <row r="2360" spans="2:9" ht="15">
      <c r="B2360" s="32">
        <v>2</v>
      </c>
      <c r="C2360" s="66" t="s">
        <v>48</v>
      </c>
      <c r="D2360" s="64">
        <v>42969</v>
      </c>
      <c r="E2360">
        <v>2.1750299317231381E-3</v>
      </c>
      <c r="F2360" s="1">
        <v>5.1004346777937144E-2</v>
      </c>
      <c r="G2360" s="40">
        <f t="shared" si="93"/>
        <v>0</v>
      </c>
      <c r="H2360" s="33">
        <f t="shared" si="94"/>
        <v>-5.1004346777937144E-2</v>
      </c>
      <c r="I2360" s="43"/>
    </row>
    <row r="2361" spans="2:9" ht="15">
      <c r="B2361" s="32">
        <v>2</v>
      </c>
      <c r="C2361" s="66" t="s">
        <v>48</v>
      </c>
      <c r="D2361" s="64">
        <v>42970</v>
      </c>
      <c r="E2361">
        <v>8.758442513436826E-3</v>
      </c>
      <c r="F2361" s="1">
        <v>5.7928611124159854E-2</v>
      </c>
      <c r="G2361" s="40">
        <f t="shared" si="93"/>
        <v>0</v>
      </c>
      <c r="H2361" s="33">
        <f t="shared" si="94"/>
        <v>-5.7928611124159854E-2</v>
      </c>
      <c r="I2361" s="43"/>
    </row>
    <row r="2362" spans="2:9" ht="15">
      <c r="B2362" s="32">
        <v>2</v>
      </c>
      <c r="C2362" s="66" t="s">
        <v>48</v>
      </c>
      <c r="D2362" s="64">
        <v>42971</v>
      </c>
      <c r="E2362">
        <v>1.0656607233223703E-2</v>
      </c>
      <c r="F2362" s="1">
        <v>5.0965532556354838E-2</v>
      </c>
      <c r="G2362" s="40">
        <f t="shared" si="93"/>
        <v>0</v>
      </c>
      <c r="H2362" s="33">
        <f t="shared" si="94"/>
        <v>-5.0965532556354838E-2</v>
      </c>
      <c r="I2362" s="43"/>
    </row>
    <row r="2363" spans="2:9" ht="15">
      <c r="B2363" s="32">
        <v>2</v>
      </c>
      <c r="C2363" s="66" t="s">
        <v>48</v>
      </c>
      <c r="D2363" s="64">
        <v>42972</v>
      </c>
      <c r="E2363">
        <v>7.4951754787528913E-3</v>
      </c>
      <c r="F2363" s="1">
        <v>4.3994723706752087E-2</v>
      </c>
      <c r="G2363" s="40">
        <f t="shared" si="93"/>
        <v>0</v>
      </c>
      <c r="H2363" s="33">
        <f t="shared" si="94"/>
        <v>-4.3994723706752087E-2</v>
      </c>
      <c r="I2363" s="43"/>
    </row>
    <row r="2364" spans="2:9" ht="15">
      <c r="B2364" s="32">
        <v>2</v>
      </c>
      <c r="C2364" s="66" t="s">
        <v>48</v>
      </c>
      <c r="D2364" s="64">
        <v>42975</v>
      </c>
      <c r="E2364">
        <v>1.7789197053286188E-2</v>
      </c>
      <c r="F2364" s="1">
        <v>3.7893551946788416E-2</v>
      </c>
      <c r="G2364" s="40">
        <f t="shared" si="93"/>
        <v>0</v>
      </c>
      <c r="H2364" s="33">
        <f t="shared" si="94"/>
        <v>-3.7893551946788416E-2</v>
      </c>
      <c r="I2364" s="43"/>
    </row>
    <row r="2365" spans="2:9" ht="15">
      <c r="B2365" s="32">
        <v>2</v>
      </c>
      <c r="C2365" s="66" t="s">
        <v>48</v>
      </c>
      <c r="D2365" s="64">
        <v>42976</v>
      </c>
      <c r="E2365">
        <v>2.0305032701804393E-2</v>
      </c>
      <c r="F2365" s="1">
        <v>3.2209571961041794E-2</v>
      </c>
      <c r="G2365" s="40">
        <f t="shared" si="93"/>
        <v>0</v>
      </c>
      <c r="H2365" s="33">
        <f t="shared" si="94"/>
        <v>-3.2209571961041794E-2</v>
      </c>
      <c r="I2365" s="43"/>
    </row>
    <row r="2366" spans="2:9" ht="15">
      <c r="B2366" s="32">
        <v>2</v>
      </c>
      <c r="C2366" s="66" t="s">
        <v>48</v>
      </c>
      <c r="D2366" s="64">
        <v>42977</v>
      </c>
      <c r="E2366">
        <v>1.6457335300295917E-2</v>
      </c>
      <c r="F2366" s="1">
        <v>2.7526782674636024E-2</v>
      </c>
      <c r="G2366" s="40">
        <f t="shared" si="93"/>
        <v>0</v>
      </c>
      <c r="H2366" s="33">
        <f t="shared" si="94"/>
        <v>-2.7526782674636024E-2</v>
      </c>
      <c r="I2366" s="43"/>
    </row>
    <row r="2367" spans="2:9" ht="15">
      <c r="B2367" s="32">
        <v>2</v>
      </c>
      <c r="C2367" s="66" t="s">
        <v>48</v>
      </c>
      <c r="D2367" s="64">
        <v>42978</v>
      </c>
      <c r="E2367">
        <v>9.651338048253244E-3</v>
      </c>
      <c r="F2367" s="1">
        <v>2.9442097711115479E-2</v>
      </c>
      <c r="G2367" s="40">
        <f t="shared" si="93"/>
        <v>0</v>
      </c>
      <c r="H2367" s="33">
        <f t="shared" si="94"/>
        <v>-2.9442097711115479E-2</v>
      </c>
      <c r="I2367" s="43"/>
    </row>
    <row r="2368" spans="2:9" ht="15">
      <c r="B2368" s="32">
        <v>2</v>
      </c>
      <c r="C2368" s="66" t="s">
        <v>48</v>
      </c>
      <c r="D2368" s="64">
        <v>42979</v>
      </c>
      <c r="E2368">
        <v>9.5162372312485033E-3</v>
      </c>
      <c r="F2368" s="1">
        <v>3.3425457887546972E-2</v>
      </c>
      <c r="G2368" s="40">
        <f t="shared" si="93"/>
        <v>0</v>
      </c>
      <c r="H2368" s="33">
        <f t="shared" si="94"/>
        <v>-3.3425457887546972E-2</v>
      </c>
      <c r="I2368" s="43"/>
    </row>
    <row r="2369" spans="2:9" ht="15">
      <c r="B2369" s="32">
        <v>2</v>
      </c>
      <c r="C2369" s="66" t="s">
        <v>48</v>
      </c>
      <c r="D2369" s="64">
        <v>42983</v>
      </c>
      <c r="E2369">
        <v>1.8550557754664077E-2</v>
      </c>
      <c r="F2369" s="1">
        <v>2.9391662219143154E-2</v>
      </c>
      <c r="G2369" s="40">
        <f t="shared" si="93"/>
        <v>0</v>
      </c>
      <c r="H2369" s="33">
        <f t="shared" si="94"/>
        <v>-2.9391662219143154E-2</v>
      </c>
      <c r="I2369" s="43"/>
    </row>
    <row r="2370" spans="2:9" ht="15">
      <c r="B2370" s="32">
        <v>2</v>
      </c>
      <c r="C2370" s="66" t="s">
        <v>48</v>
      </c>
      <c r="D2370" s="64">
        <v>42984</v>
      </c>
      <c r="E2370">
        <v>1.6536294981207789E-2</v>
      </c>
      <c r="F2370" s="1">
        <v>3.8633097024833044E-2</v>
      </c>
      <c r="G2370" s="40">
        <f t="shared" si="93"/>
        <v>0</v>
      </c>
      <c r="H2370" s="33">
        <f t="shared" si="94"/>
        <v>-3.8633097024833044E-2</v>
      </c>
      <c r="I2370" s="43"/>
    </row>
    <row r="2371" spans="2:9" ht="15">
      <c r="B2371" s="32">
        <v>2</v>
      </c>
      <c r="C2371" s="66" t="s">
        <v>48</v>
      </c>
      <c r="D2371" s="64">
        <v>42985</v>
      </c>
      <c r="E2371">
        <v>1.7348893607268323E-2</v>
      </c>
      <c r="F2371" s="1">
        <v>3.4964031824162155E-2</v>
      </c>
      <c r="G2371" s="40">
        <f t="shared" si="93"/>
        <v>0</v>
      </c>
      <c r="H2371" s="33">
        <f t="shared" si="94"/>
        <v>-3.4964031824162155E-2</v>
      </c>
      <c r="I2371" s="43"/>
    </row>
    <row r="2372" spans="2:9" ht="15">
      <c r="B2372" s="32">
        <v>2</v>
      </c>
      <c r="C2372" s="66" t="s">
        <v>48</v>
      </c>
      <c r="D2372" s="64">
        <v>42986</v>
      </c>
      <c r="E2372">
        <v>1.5788288028164565E-2</v>
      </c>
      <c r="F2372" s="1">
        <v>2.9676096331918152E-2</v>
      </c>
      <c r="G2372" s="40">
        <f t="shared" si="93"/>
        <v>0</v>
      </c>
      <c r="H2372" s="33">
        <f t="shared" si="94"/>
        <v>-2.9676096331918152E-2</v>
      </c>
      <c r="I2372" s="43"/>
    </row>
    <row r="2373" spans="2:9" ht="15">
      <c r="B2373" s="32">
        <v>2</v>
      </c>
      <c r="C2373" s="66" t="s">
        <v>48</v>
      </c>
      <c r="D2373" s="64">
        <v>42989</v>
      </c>
      <c r="E2373">
        <v>5.6548971229206657E-3</v>
      </c>
      <c r="F2373" s="1">
        <v>2.5840335724735663E-2</v>
      </c>
      <c r="G2373" s="40">
        <f t="shared" si="93"/>
        <v>0</v>
      </c>
      <c r="H2373" s="33">
        <f t="shared" si="94"/>
        <v>-2.5840335724735663E-2</v>
      </c>
      <c r="I2373" s="43"/>
    </row>
    <row r="2374" spans="2:9" ht="15">
      <c r="B2374" s="32">
        <v>2</v>
      </c>
      <c r="C2374" s="66" t="s">
        <v>48</v>
      </c>
      <c r="D2374" s="64">
        <v>42990</v>
      </c>
      <c r="E2374">
        <v>7.2071683938190745E-5</v>
      </c>
      <c r="F2374" s="1">
        <v>4.7349976741673065E-2</v>
      </c>
      <c r="G2374" s="40">
        <f t="shared" si="93"/>
        <v>0</v>
      </c>
      <c r="H2374" s="33">
        <f t="shared" si="94"/>
        <v>-4.7349976741673065E-2</v>
      </c>
      <c r="I2374" s="43"/>
    </row>
    <row r="2375" spans="2:9" ht="15">
      <c r="B2375" s="32">
        <v>2</v>
      </c>
      <c r="C2375" s="66" t="s">
        <v>48</v>
      </c>
      <c r="D2375" s="64">
        <v>42991</v>
      </c>
      <c r="E2375">
        <v>-6.1259846335115498E-4</v>
      </c>
      <c r="F2375" s="1">
        <v>4.2251113053759594E-2</v>
      </c>
      <c r="G2375" s="40">
        <f t="shared" si="93"/>
        <v>0</v>
      </c>
      <c r="H2375" s="33">
        <f t="shared" si="94"/>
        <v>-4.2251113053759594E-2</v>
      </c>
      <c r="I2375" s="43"/>
    </row>
    <row r="2376" spans="2:9" ht="15">
      <c r="B2376" s="32">
        <v>2</v>
      </c>
      <c r="C2376" s="66" t="s">
        <v>48</v>
      </c>
      <c r="D2376" s="64">
        <v>42992</v>
      </c>
      <c r="E2376">
        <v>4.5655477208121908E-3</v>
      </c>
      <c r="F2376" s="1">
        <v>3.597210732392498E-2</v>
      </c>
      <c r="G2376" s="40">
        <f t="shared" si="93"/>
        <v>0</v>
      </c>
      <c r="H2376" s="33">
        <f t="shared" si="94"/>
        <v>-3.597210732392498E-2</v>
      </c>
      <c r="I2376" s="43"/>
    </row>
    <row r="2377" spans="2:9" ht="15">
      <c r="B2377" s="32">
        <v>2</v>
      </c>
      <c r="C2377" s="66" t="s">
        <v>48</v>
      </c>
      <c r="D2377" s="64">
        <v>42993</v>
      </c>
      <c r="E2377">
        <v>3.9239611027204191E-3</v>
      </c>
      <c r="F2377" s="1">
        <v>3.0822950252983913E-2</v>
      </c>
      <c r="G2377" s="40">
        <f t="shared" si="93"/>
        <v>0</v>
      </c>
      <c r="H2377" s="33">
        <f t="shared" si="94"/>
        <v>-3.0822950252983913E-2</v>
      </c>
      <c r="I2377" s="43"/>
    </row>
    <row r="2378" spans="2:9" ht="15">
      <c r="B2378" s="32">
        <v>2</v>
      </c>
      <c r="C2378" s="66" t="s">
        <v>48</v>
      </c>
      <c r="D2378" s="64">
        <v>42996</v>
      </c>
      <c r="E2378">
        <v>6.1673618001902852E-3</v>
      </c>
      <c r="F2378" s="1">
        <v>2.7122831625493126E-2</v>
      </c>
      <c r="G2378" s="40">
        <f t="shared" si="93"/>
        <v>0</v>
      </c>
      <c r="H2378" s="33">
        <f t="shared" si="94"/>
        <v>-2.7122831625493126E-2</v>
      </c>
      <c r="I2378" s="43"/>
    </row>
    <row r="2379" spans="2:9" ht="15">
      <c r="B2379" s="32">
        <v>2</v>
      </c>
      <c r="C2379" s="66" t="s">
        <v>48</v>
      </c>
      <c r="D2379" s="64">
        <v>42997</v>
      </c>
      <c r="E2379">
        <v>8.9243011687383245E-3</v>
      </c>
      <c r="F2379" s="1">
        <v>2.370106322095419E-2</v>
      </c>
      <c r="G2379" s="40">
        <f t="shared" ref="G2379:G2442" si="96">--(E2379&lt;-F2379)</f>
        <v>0</v>
      </c>
      <c r="H2379" s="33">
        <f t="shared" ref="H2379:H2442" si="97">-F2379</f>
        <v>-2.370106322095419E-2</v>
      </c>
      <c r="I2379" s="43"/>
    </row>
    <row r="2380" spans="2:9" ht="15">
      <c r="B2380" s="32">
        <v>2</v>
      </c>
      <c r="C2380" s="66" t="s">
        <v>48</v>
      </c>
      <c r="D2380" s="64">
        <v>42998</v>
      </c>
      <c r="E2380">
        <v>1.044666563221508E-2</v>
      </c>
      <c r="F2380" s="1">
        <v>2.0569621569895401E-2</v>
      </c>
      <c r="G2380" s="40">
        <f t="shared" si="96"/>
        <v>0</v>
      </c>
      <c r="H2380" s="33">
        <f t="shared" si="97"/>
        <v>-2.0569621569895401E-2</v>
      </c>
      <c r="I2380" s="43"/>
    </row>
    <row r="2381" spans="2:9" ht="15">
      <c r="B2381" s="32">
        <v>2</v>
      </c>
      <c r="C2381" s="66" t="s">
        <v>48</v>
      </c>
      <c r="D2381" s="64">
        <v>42999</v>
      </c>
      <c r="E2381">
        <v>1.4743174966296735E-2</v>
      </c>
      <c r="F2381" s="1">
        <v>1.7627606198463579E-2</v>
      </c>
      <c r="G2381" s="40">
        <f t="shared" si="96"/>
        <v>0</v>
      </c>
      <c r="H2381" s="33">
        <f t="shared" si="97"/>
        <v>-1.7627606198463579E-2</v>
      </c>
      <c r="I2381" s="43"/>
    </row>
    <row r="2382" spans="2:9" ht="15">
      <c r="B2382" s="32">
        <v>2</v>
      </c>
      <c r="C2382" s="66" t="s">
        <v>48</v>
      </c>
      <c r="D2382" s="64">
        <v>43000</v>
      </c>
      <c r="E2382">
        <v>1.9726494972784003E-2</v>
      </c>
      <c r="F2382" s="1">
        <v>1.9098254144042131E-2</v>
      </c>
      <c r="G2382" s="40">
        <f t="shared" si="96"/>
        <v>0</v>
      </c>
      <c r="H2382" s="33">
        <f t="shared" si="97"/>
        <v>-1.9098254144042131E-2</v>
      </c>
      <c r="I2382" s="43"/>
    </row>
    <row r="2383" spans="2:9" ht="15">
      <c r="B2383" s="32">
        <v>2</v>
      </c>
      <c r="C2383" s="66" t="s">
        <v>48</v>
      </c>
      <c r="D2383" s="64">
        <v>43003</v>
      </c>
      <c r="E2383">
        <v>2.0876806761635613E-2</v>
      </c>
      <c r="F2383" s="1">
        <v>1.6400303343907421E-2</v>
      </c>
      <c r="G2383" s="40">
        <f t="shared" si="96"/>
        <v>0</v>
      </c>
      <c r="H2383" s="33">
        <f t="shared" si="97"/>
        <v>-1.6400303343907421E-2</v>
      </c>
      <c r="I2383" s="43"/>
    </row>
    <row r="2384" spans="2:9" ht="15">
      <c r="B2384" s="32">
        <v>2</v>
      </c>
      <c r="C2384" s="66" t="s">
        <v>48</v>
      </c>
      <c r="D2384" s="64">
        <v>43004</v>
      </c>
      <c r="E2384">
        <v>1.899857854494158E-2</v>
      </c>
      <c r="F2384" s="1">
        <v>1.6390378899492183E-2</v>
      </c>
      <c r="G2384" s="40">
        <f t="shared" si="96"/>
        <v>0</v>
      </c>
      <c r="H2384" s="33">
        <f t="shared" si="97"/>
        <v>-1.6390378899492183E-2</v>
      </c>
      <c r="I2384" s="43"/>
    </row>
    <row r="2385" spans="2:9" ht="15">
      <c r="B2385" s="32">
        <v>2</v>
      </c>
      <c r="C2385" s="66" t="s">
        <v>48</v>
      </c>
      <c r="D2385" s="64">
        <v>43005</v>
      </c>
      <c r="E2385">
        <v>1.7241476191770744E-2</v>
      </c>
      <c r="F2385" s="1">
        <v>1.3910534432674454E-2</v>
      </c>
      <c r="G2385" s="40">
        <f t="shared" si="96"/>
        <v>0</v>
      </c>
      <c r="H2385" s="33">
        <f t="shared" si="97"/>
        <v>-1.3910534432674454E-2</v>
      </c>
      <c r="I2385" s="43"/>
    </row>
    <row r="2386" spans="2:9" ht="15">
      <c r="B2386" s="32">
        <v>2</v>
      </c>
      <c r="C2386" s="66" t="s">
        <v>48</v>
      </c>
      <c r="D2386" s="64">
        <v>43006</v>
      </c>
      <c r="E2386">
        <v>1.7839468048594931E-2</v>
      </c>
      <c r="F2386" s="1">
        <v>1.977820353421415E-2</v>
      </c>
      <c r="G2386" s="40">
        <f t="shared" si="96"/>
        <v>0</v>
      </c>
      <c r="H2386" s="33">
        <f t="shared" si="97"/>
        <v>-1.977820353421415E-2</v>
      </c>
      <c r="I2386" s="43"/>
    </row>
    <row r="2387" spans="2:9" ht="15">
      <c r="B2387" s="32">
        <v>2</v>
      </c>
      <c r="C2387" s="66" t="s">
        <v>48</v>
      </c>
      <c r="D2387" s="64">
        <v>43007</v>
      </c>
      <c r="E2387">
        <v>1.245302842164886E-2</v>
      </c>
      <c r="F2387" s="1">
        <v>1.7424413042876088E-2</v>
      </c>
      <c r="G2387" s="40">
        <f t="shared" si="96"/>
        <v>0</v>
      </c>
      <c r="H2387" s="33">
        <f t="shared" si="97"/>
        <v>-1.7424413042876088E-2</v>
      </c>
      <c r="I2387" s="43"/>
    </row>
    <row r="2388" spans="2:9" ht="15">
      <c r="B2388" s="32">
        <v>2</v>
      </c>
      <c r="C2388" s="66" t="s">
        <v>48</v>
      </c>
      <c r="D2388" s="64">
        <v>43010</v>
      </c>
      <c r="E2388">
        <v>9.4642314115453985E-3</v>
      </c>
      <c r="F2388" s="1">
        <v>2.0636213281407832E-2</v>
      </c>
      <c r="G2388" s="40">
        <f t="shared" si="96"/>
        <v>0</v>
      </c>
      <c r="H2388" s="33">
        <f t="shared" si="97"/>
        <v>-2.0636213281407832E-2</v>
      </c>
      <c r="I2388" s="43"/>
    </row>
    <row r="2389" spans="2:9" ht="15">
      <c r="B2389" s="32">
        <v>2</v>
      </c>
      <c r="C2389" s="66" t="s">
        <v>48</v>
      </c>
      <c r="D2389" s="64">
        <v>43011</v>
      </c>
      <c r="E2389">
        <v>9.0569428503606275E-3</v>
      </c>
      <c r="F2389" s="1">
        <v>2.3090166733664763E-2</v>
      </c>
      <c r="G2389" s="40">
        <f t="shared" si="96"/>
        <v>0</v>
      </c>
      <c r="H2389" s="33">
        <f t="shared" si="97"/>
        <v>-2.3090166733664763E-2</v>
      </c>
      <c r="I2389" s="43"/>
    </row>
    <row r="2390" spans="2:9" ht="15">
      <c r="B2390" s="32">
        <v>2</v>
      </c>
      <c r="C2390" s="66" t="s">
        <v>48</v>
      </c>
      <c r="D2390" s="64">
        <v>43012</v>
      </c>
      <c r="E2390">
        <v>8.4833518079348025E-3</v>
      </c>
      <c r="F2390" s="1">
        <v>2.1315328596224006E-2</v>
      </c>
      <c r="G2390" s="40">
        <f t="shared" si="96"/>
        <v>0</v>
      </c>
      <c r="H2390" s="33">
        <f t="shared" si="97"/>
        <v>-2.1315328596224006E-2</v>
      </c>
      <c r="I2390" s="43"/>
    </row>
    <row r="2391" spans="2:9" ht="15">
      <c r="B2391" s="32">
        <v>2</v>
      </c>
      <c r="C2391" s="66" t="s">
        <v>48</v>
      </c>
      <c r="D2391" s="64">
        <v>43013</v>
      </c>
      <c r="E2391">
        <v>3.5945075927772407E-3</v>
      </c>
      <c r="F2391" s="1">
        <v>1.872567078572826E-2</v>
      </c>
      <c r="G2391" s="40">
        <f t="shared" si="96"/>
        <v>0</v>
      </c>
      <c r="H2391" s="33">
        <f t="shared" si="97"/>
        <v>-1.872567078572826E-2</v>
      </c>
      <c r="I2391" s="43"/>
    </row>
    <row r="2392" spans="2:9" ht="15">
      <c r="B2392" s="32">
        <v>2</v>
      </c>
      <c r="C2392" s="66" t="s">
        <v>48</v>
      </c>
      <c r="D2392" s="64">
        <v>43014</v>
      </c>
      <c r="E2392">
        <v>4.9966628239026534E-3</v>
      </c>
      <c r="F2392" s="1">
        <v>2.7072782778880533E-2</v>
      </c>
      <c r="G2392" s="40">
        <f t="shared" si="96"/>
        <v>0</v>
      </c>
      <c r="H2392" s="33">
        <f t="shared" si="97"/>
        <v>-2.7072782778880533E-2</v>
      </c>
      <c r="I2392" s="43"/>
    </row>
    <row r="2393" spans="2:9" ht="15">
      <c r="B2393" s="32">
        <v>2</v>
      </c>
      <c r="C2393" s="66" t="s">
        <v>48</v>
      </c>
      <c r="D2393" s="64">
        <v>43017</v>
      </c>
      <c r="E2393">
        <v>1.1906522902220829E-2</v>
      </c>
      <c r="F2393" s="1">
        <v>2.3349506471113397E-2</v>
      </c>
      <c r="G2393" s="40">
        <f t="shared" si="96"/>
        <v>0</v>
      </c>
      <c r="H2393" s="33">
        <f t="shared" si="97"/>
        <v>-2.3349506471113397E-2</v>
      </c>
      <c r="I2393" s="43"/>
    </row>
    <row r="2394" spans="2:9" ht="15">
      <c r="B2394" s="32">
        <v>2</v>
      </c>
      <c r="C2394" s="66" t="s">
        <v>48</v>
      </c>
      <c r="D2394" s="64">
        <v>43018</v>
      </c>
      <c r="E2394">
        <v>5.6064074021220378E-3</v>
      </c>
      <c r="F2394" s="1">
        <v>2.102312232110742E-2</v>
      </c>
      <c r="G2394" s="40">
        <f t="shared" si="96"/>
        <v>0</v>
      </c>
      <c r="H2394" s="33">
        <f t="shared" si="97"/>
        <v>-2.102312232110742E-2</v>
      </c>
      <c r="I2394" s="43"/>
    </row>
    <row r="2395" spans="2:9" ht="15">
      <c r="B2395" s="32">
        <v>2</v>
      </c>
      <c r="C2395" s="66" t="s">
        <v>48</v>
      </c>
      <c r="D2395" s="64">
        <v>43019</v>
      </c>
      <c r="E2395">
        <v>5.4211258598710899E-3</v>
      </c>
      <c r="F2395" s="1">
        <v>1.9994025662355711E-2</v>
      </c>
      <c r="G2395" s="40">
        <f t="shared" si="96"/>
        <v>0</v>
      </c>
      <c r="H2395" s="33">
        <f t="shared" si="97"/>
        <v>-1.9994025662355711E-2</v>
      </c>
      <c r="I2395" s="43"/>
    </row>
    <row r="2396" spans="2:9" ht="15">
      <c r="B2396" s="32">
        <v>2</v>
      </c>
      <c r="C2396" s="66" t="s">
        <v>48</v>
      </c>
      <c r="D2396" s="64">
        <v>43020</v>
      </c>
      <c r="E2396">
        <v>2.4353468529509925E-3</v>
      </c>
      <c r="F2396" s="1">
        <v>1.8358306787929338E-2</v>
      </c>
      <c r="G2396" s="40">
        <f t="shared" si="96"/>
        <v>0</v>
      </c>
      <c r="H2396" s="33">
        <f t="shared" si="97"/>
        <v>-1.8358306787929338E-2</v>
      </c>
      <c r="I2396" s="43"/>
    </row>
    <row r="2397" spans="2:9" ht="15">
      <c r="B2397" s="32">
        <v>2</v>
      </c>
      <c r="C2397" s="66" t="s">
        <v>48</v>
      </c>
      <c r="D2397" s="64">
        <v>43021</v>
      </c>
      <c r="E2397">
        <v>2.827764190798554E-3</v>
      </c>
      <c r="F2397" s="1">
        <v>1.690697414847828E-2</v>
      </c>
      <c r="G2397" s="40">
        <f t="shared" si="96"/>
        <v>0</v>
      </c>
      <c r="H2397" s="33">
        <f t="shared" si="97"/>
        <v>-1.690697414847828E-2</v>
      </c>
      <c r="I2397" s="43"/>
    </row>
    <row r="2398" spans="2:9" ht="15">
      <c r="B2398" s="32">
        <v>2</v>
      </c>
      <c r="C2398" s="66" t="s">
        <v>48</v>
      </c>
      <c r="D2398" s="64">
        <v>43024</v>
      </c>
      <c r="E2398">
        <v>9.1191515172521775E-3</v>
      </c>
      <c r="F2398" s="1">
        <v>1.4747304815058721E-2</v>
      </c>
      <c r="G2398" s="40">
        <f t="shared" si="96"/>
        <v>0</v>
      </c>
      <c r="H2398" s="33">
        <f t="shared" si="97"/>
        <v>-1.4747304815058721E-2</v>
      </c>
      <c r="I2398" s="43"/>
    </row>
    <row r="2399" spans="2:9" ht="15">
      <c r="B2399" s="32">
        <v>2</v>
      </c>
      <c r="C2399" s="66" t="s">
        <v>48</v>
      </c>
      <c r="D2399" s="64">
        <v>43025</v>
      </c>
      <c r="E2399">
        <v>5.2492216555117821E-3</v>
      </c>
      <c r="F2399" s="1">
        <v>1.4246176165569162E-2</v>
      </c>
      <c r="G2399" s="40">
        <f t="shared" si="96"/>
        <v>0</v>
      </c>
      <c r="H2399" s="33">
        <f t="shared" si="97"/>
        <v>-1.4246176165569162E-2</v>
      </c>
      <c r="I2399" s="43"/>
    </row>
    <row r="2400" spans="2:9" ht="15">
      <c r="B2400" s="32">
        <v>2</v>
      </c>
      <c r="C2400" s="66" t="s">
        <v>48</v>
      </c>
      <c r="D2400" s="64">
        <v>43026</v>
      </c>
      <c r="E2400">
        <v>5.4511749641115159E-3</v>
      </c>
      <c r="F2400" s="1">
        <v>1.2368375710509121E-2</v>
      </c>
      <c r="G2400" s="40">
        <f t="shared" si="96"/>
        <v>0</v>
      </c>
      <c r="H2400" s="33">
        <f t="shared" si="97"/>
        <v>-1.2368375710509121E-2</v>
      </c>
      <c r="I2400" s="43"/>
    </row>
    <row r="2401" spans="2:9" ht="15">
      <c r="B2401" s="32">
        <v>2</v>
      </c>
      <c r="C2401" s="66" t="s">
        <v>48</v>
      </c>
      <c r="D2401" s="64">
        <v>43027</v>
      </c>
      <c r="E2401">
        <v>6.7140746597775802E-3</v>
      </c>
      <c r="F2401" s="1">
        <v>1.0885193830299044E-2</v>
      </c>
      <c r="G2401" s="40">
        <f t="shared" si="96"/>
        <v>0</v>
      </c>
      <c r="H2401" s="33">
        <f t="shared" si="97"/>
        <v>-1.0885193830299044E-2</v>
      </c>
      <c r="I2401" s="43"/>
    </row>
    <row r="2402" spans="2:9" ht="15">
      <c r="B2402" s="32">
        <v>2</v>
      </c>
      <c r="C2402" s="66" t="s">
        <v>48</v>
      </c>
      <c r="D2402" s="64">
        <v>43028</v>
      </c>
      <c r="E2402">
        <v>1.8002266511132348E-3</v>
      </c>
      <c r="F2402" s="1">
        <v>9.3241974584838926E-3</v>
      </c>
      <c r="G2402" s="40">
        <f t="shared" si="96"/>
        <v>0</v>
      </c>
      <c r="H2402" s="33">
        <f t="shared" si="97"/>
        <v>-9.3241974584838926E-3</v>
      </c>
      <c r="I2402" s="43"/>
    </row>
    <row r="2403" spans="2:9" ht="15">
      <c r="B2403" s="32">
        <v>2</v>
      </c>
      <c r="C2403" s="66" t="s">
        <v>48</v>
      </c>
      <c r="D2403" s="64">
        <v>43031</v>
      </c>
      <c r="E2403">
        <v>8.8729114064660664E-3</v>
      </c>
      <c r="F2403" s="1">
        <v>2.1385080672278282E-2</v>
      </c>
      <c r="G2403" s="40">
        <f t="shared" si="96"/>
        <v>0</v>
      </c>
      <c r="H2403" s="33">
        <f t="shared" si="97"/>
        <v>-2.1385080672278282E-2</v>
      </c>
      <c r="I2403" s="43"/>
    </row>
    <row r="2404" spans="2:9" ht="15">
      <c r="B2404" s="32">
        <v>2</v>
      </c>
      <c r="C2404" s="66" t="s">
        <v>48</v>
      </c>
      <c r="D2404" s="64">
        <v>43032</v>
      </c>
      <c r="E2404">
        <v>8.5267541910498679E-3</v>
      </c>
      <c r="F2404" s="1">
        <v>2.3861134078283702E-2</v>
      </c>
      <c r="G2404" s="40">
        <f t="shared" si="96"/>
        <v>0</v>
      </c>
      <c r="H2404" s="33">
        <f t="shared" si="97"/>
        <v>-2.3861134078283702E-2</v>
      </c>
      <c r="I2404" s="43"/>
    </row>
    <row r="2405" spans="2:9" ht="15">
      <c r="B2405" s="32">
        <v>2</v>
      </c>
      <c r="C2405" s="66" t="s">
        <v>48</v>
      </c>
      <c r="D2405" s="64">
        <v>43033</v>
      </c>
      <c r="E2405">
        <v>1.3011589371120458E-2</v>
      </c>
      <c r="F2405" s="1">
        <v>2.1202271384802979E-2</v>
      </c>
      <c r="G2405" s="40">
        <f t="shared" si="96"/>
        <v>0</v>
      </c>
      <c r="H2405" s="33">
        <f t="shared" si="97"/>
        <v>-2.1202271384802979E-2</v>
      </c>
      <c r="I2405" s="43"/>
    </row>
    <row r="2406" spans="2:9" ht="15">
      <c r="B2406" s="32">
        <v>2</v>
      </c>
      <c r="C2406" s="66" t="s">
        <v>48</v>
      </c>
      <c r="D2406" s="64">
        <v>43034</v>
      </c>
      <c r="E2406">
        <v>1.3184063961833914E-2</v>
      </c>
      <c r="F2406" s="1">
        <v>2.5587168020498142E-2</v>
      </c>
      <c r="G2406" s="40">
        <f t="shared" si="96"/>
        <v>0</v>
      </c>
      <c r="H2406" s="33">
        <f t="shared" si="97"/>
        <v>-2.5587168020498142E-2</v>
      </c>
      <c r="I2406" s="43"/>
    </row>
    <row r="2407" spans="2:9" ht="15">
      <c r="B2407" s="32">
        <v>2</v>
      </c>
      <c r="C2407" s="66" t="s">
        <v>48</v>
      </c>
      <c r="D2407" s="64">
        <v>43035</v>
      </c>
      <c r="E2407">
        <v>1.3744725028992377E-3</v>
      </c>
      <c r="F2407" s="1">
        <v>2.2267294517120204E-2</v>
      </c>
      <c r="G2407" s="40">
        <f t="shared" si="96"/>
        <v>0</v>
      </c>
      <c r="H2407" s="33">
        <f t="shared" si="97"/>
        <v>-2.2267294517120204E-2</v>
      </c>
      <c r="I2407" s="43"/>
    </row>
    <row r="2408" spans="2:9" ht="15">
      <c r="B2408" s="32">
        <v>2</v>
      </c>
      <c r="C2408" s="66" t="s">
        <v>48</v>
      </c>
      <c r="D2408" s="64">
        <v>43038</v>
      </c>
      <c r="E2408">
        <v>3.6740029520387907E-3</v>
      </c>
      <c r="F2408" s="1">
        <v>3.6560659308204367E-2</v>
      </c>
      <c r="G2408" s="40">
        <f t="shared" si="96"/>
        <v>0</v>
      </c>
      <c r="H2408" s="33">
        <f t="shared" si="97"/>
        <v>-3.6560659308204367E-2</v>
      </c>
      <c r="I2408" s="43"/>
    </row>
    <row r="2409" spans="2:9" ht="15">
      <c r="B2409" s="32">
        <v>2</v>
      </c>
      <c r="C2409" s="66" t="s">
        <v>48</v>
      </c>
      <c r="D2409" s="64">
        <v>43039</v>
      </c>
      <c r="E2409">
        <v>3.7131407628132607E-3</v>
      </c>
      <c r="F2409" s="1">
        <v>3.3426723904831521E-2</v>
      </c>
      <c r="G2409" s="40">
        <f t="shared" si="96"/>
        <v>0</v>
      </c>
      <c r="H2409" s="33">
        <f t="shared" si="97"/>
        <v>-3.3426723904831521E-2</v>
      </c>
      <c r="I2409" s="43"/>
    </row>
    <row r="2410" spans="2:9" ht="15">
      <c r="B2410" s="32">
        <v>2</v>
      </c>
      <c r="C2410" s="66" t="s">
        <v>48</v>
      </c>
      <c r="D2410" s="64">
        <v>43040</v>
      </c>
      <c r="E2410">
        <v>-1.8998376582501919E-4</v>
      </c>
      <c r="F2410" s="1">
        <v>2.860057790168798E-2</v>
      </c>
      <c r="G2410" s="40">
        <f t="shared" si="96"/>
        <v>0</v>
      </c>
      <c r="H2410" s="33">
        <f t="shared" si="97"/>
        <v>-2.860057790168798E-2</v>
      </c>
      <c r="I2410" s="43"/>
    </row>
    <row r="2411" spans="2:9" ht="15">
      <c r="B2411" s="32">
        <v>2</v>
      </c>
      <c r="C2411" s="66" t="s">
        <v>48</v>
      </c>
      <c r="D2411" s="64">
        <v>43041</v>
      </c>
      <c r="E2411">
        <v>-5.9209305748213481E-3</v>
      </c>
      <c r="F2411" s="1">
        <v>2.5046052451327922E-2</v>
      </c>
      <c r="G2411" s="40">
        <f t="shared" si="96"/>
        <v>0</v>
      </c>
      <c r="H2411" s="33">
        <f t="shared" si="97"/>
        <v>-2.5046052451327922E-2</v>
      </c>
      <c r="I2411" s="43"/>
    </row>
    <row r="2412" spans="2:9" ht="15">
      <c r="B2412" s="32">
        <v>2</v>
      </c>
      <c r="C2412" s="66" t="s">
        <v>48</v>
      </c>
      <c r="D2412" s="64">
        <v>43042</v>
      </c>
      <c r="E2412">
        <v>-8.5056679091355392E-4</v>
      </c>
      <c r="F2412" s="1">
        <v>2.1265139325374084E-2</v>
      </c>
      <c r="G2412" s="40">
        <f t="shared" si="96"/>
        <v>0</v>
      </c>
      <c r="H2412" s="33">
        <f t="shared" si="97"/>
        <v>-2.1265139325374084E-2</v>
      </c>
      <c r="I2412" s="43"/>
    </row>
    <row r="2413" spans="2:9" ht="15">
      <c r="B2413" s="32">
        <v>2</v>
      </c>
      <c r="C2413" s="66" t="s">
        <v>48</v>
      </c>
      <c r="D2413" s="64">
        <v>43045</v>
      </c>
      <c r="E2413">
        <v>-4.7504277145495877E-3</v>
      </c>
      <c r="F2413" s="1">
        <v>2.16907389128644E-2</v>
      </c>
      <c r="G2413" s="40">
        <f t="shared" si="96"/>
        <v>0</v>
      </c>
      <c r="H2413" s="33">
        <f t="shared" si="97"/>
        <v>-2.16907389128644E-2</v>
      </c>
      <c r="I2413" s="43"/>
    </row>
    <row r="2414" spans="2:9" ht="15">
      <c r="B2414" s="32">
        <v>2</v>
      </c>
      <c r="C2414" s="66" t="s">
        <v>48</v>
      </c>
      <c r="D2414" s="64">
        <v>43046</v>
      </c>
      <c r="E2414">
        <v>-3.2864370810754551E-3</v>
      </c>
      <c r="F2414" s="1">
        <v>1.9058051447620798E-2</v>
      </c>
      <c r="G2414" s="40">
        <f t="shared" si="96"/>
        <v>0</v>
      </c>
      <c r="H2414" s="33">
        <f t="shared" si="97"/>
        <v>-1.9058051447620798E-2</v>
      </c>
      <c r="I2414" s="43"/>
    </row>
    <row r="2415" spans="2:9" ht="15">
      <c r="B2415" s="32">
        <v>2</v>
      </c>
      <c r="C2415" s="66" t="s">
        <v>48</v>
      </c>
      <c r="D2415" s="64">
        <v>43047</v>
      </c>
      <c r="E2415">
        <v>1.7907876795844047E-3</v>
      </c>
      <c r="F2415" s="1">
        <v>1.6188041785229004E-2</v>
      </c>
      <c r="G2415" s="40">
        <f t="shared" si="96"/>
        <v>0</v>
      </c>
      <c r="H2415" s="33">
        <f t="shared" si="97"/>
        <v>-1.6188041785229004E-2</v>
      </c>
      <c r="I2415" s="43"/>
    </row>
    <row r="2416" spans="2:9" ht="15">
      <c r="B2416" s="32">
        <v>2</v>
      </c>
      <c r="C2416" s="66" t="s">
        <v>48</v>
      </c>
      <c r="D2416" s="64">
        <v>43048</v>
      </c>
      <c r="E2416">
        <v>4.8092265265351486E-3</v>
      </c>
      <c r="F2416" s="1">
        <v>1.4839609471951763E-2</v>
      </c>
      <c r="G2416" s="40">
        <f t="shared" si="96"/>
        <v>0</v>
      </c>
      <c r="H2416" s="33">
        <f t="shared" si="97"/>
        <v>-1.4839609471951763E-2</v>
      </c>
      <c r="I2416" s="43"/>
    </row>
    <row r="2417" spans="2:9" ht="15">
      <c r="B2417" s="32">
        <v>2</v>
      </c>
      <c r="C2417" s="66" t="s">
        <v>48</v>
      </c>
      <c r="D2417" s="64">
        <v>43049</v>
      </c>
      <c r="E2417">
        <v>7.7612577378811665E-3</v>
      </c>
      <c r="F2417" s="1">
        <v>1.9334170040381581E-2</v>
      </c>
      <c r="G2417" s="40">
        <f t="shared" si="96"/>
        <v>0</v>
      </c>
      <c r="H2417" s="33">
        <f t="shared" si="97"/>
        <v>-1.9334170040381581E-2</v>
      </c>
      <c r="I2417" s="43"/>
    </row>
    <row r="2418" spans="2:9" ht="15">
      <c r="B2418" s="32">
        <v>2</v>
      </c>
      <c r="C2418" s="66" t="s">
        <v>48</v>
      </c>
      <c r="D2418" s="64">
        <v>43052</v>
      </c>
      <c r="E2418">
        <v>6.3937752640477186E-3</v>
      </c>
      <c r="F2418" s="1">
        <v>1.6773915894381767E-2</v>
      </c>
      <c r="G2418" s="40">
        <f t="shared" si="96"/>
        <v>0</v>
      </c>
      <c r="H2418" s="33">
        <f t="shared" si="97"/>
        <v>-1.6773915894381767E-2</v>
      </c>
      <c r="I2418" s="43"/>
    </row>
    <row r="2419" spans="2:9" ht="15">
      <c r="B2419" s="32">
        <v>2</v>
      </c>
      <c r="C2419" s="66" t="s">
        <v>48</v>
      </c>
      <c r="D2419" s="64">
        <v>43053</v>
      </c>
      <c r="E2419">
        <v>1.8506388064302826E-2</v>
      </c>
      <c r="F2419" s="1">
        <v>1.4738698383298761E-2</v>
      </c>
      <c r="G2419" s="40">
        <f t="shared" si="96"/>
        <v>0</v>
      </c>
      <c r="H2419" s="33">
        <f t="shared" si="97"/>
        <v>-1.4738698383298761E-2</v>
      </c>
      <c r="I2419" s="43"/>
    </row>
    <row r="2420" spans="2:9" ht="15">
      <c r="B2420" s="32">
        <v>2</v>
      </c>
      <c r="C2420" s="66" t="s">
        <v>48</v>
      </c>
      <c r="D2420" s="64">
        <v>43054</v>
      </c>
      <c r="E2420">
        <v>2.3678092810981433E-2</v>
      </c>
      <c r="F2420" s="1">
        <v>1.5408580019390895E-2</v>
      </c>
      <c r="G2420" s="40">
        <f t="shared" si="96"/>
        <v>0</v>
      </c>
      <c r="H2420" s="33">
        <f t="shared" si="97"/>
        <v>-1.5408580019390895E-2</v>
      </c>
      <c r="I2420" s="43"/>
    </row>
    <row r="2421" spans="2:9" ht="15">
      <c r="B2421" s="32">
        <v>2</v>
      </c>
      <c r="C2421" s="66" t="s">
        <v>48</v>
      </c>
      <c r="D2421" s="64">
        <v>43055</v>
      </c>
      <c r="E2421">
        <v>2.3673026544185127E-2</v>
      </c>
      <c r="F2421" s="1">
        <v>2.5222854391417724E-2</v>
      </c>
      <c r="G2421" s="40">
        <f t="shared" si="96"/>
        <v>0</v>
      </c>
      <c r="H2421" s="33">
        <f t="shared" si="97"/>
        <v>-2.5222854391417724E-2</v>
      </c>
      <c r="I2421" s="43"/>
    </row>
    <row r="2422" spans="2:9" ht="15">
      <c r="B2422" s="32">
        <v>2</v>
      </c>
      <c r="C2422" s="66" t="s">
        <v>48</v>
      </c>
      <c r="D2422" s="64">
        <v>43056</v>
      </c>
      <c r="E2422">
        <v>2.4275860776713287E-2</v>
      </c>
      <c r="F2422" s="1">
        <v>3.8310658902953855E-2</v>
      </c>
      <c r="G2422" s="40">
        <f t="shared" si="96"/>
        <v>0</v>
      </c>
      <c r="H2422" s="33">
        <f t="shared" si="97"/>
        <v>-3.8310658902953855E-2</v>
      </c>
      <c r="I2422" s="43"/>
    </row>
    <row r="2423" spans="2:9" ht="15">
      <c r="B2423" s="32">
        <v>2</v>
      </c>
      <c r="C2423" s="66" t="s">
        <v>48</v>
      </c>
      <c r="D2423" s="64">
        <v>43059</v>
      </c>
      <c r="E2423">
        <v>2.1948280042277446E-2</v>
      </c>
      <c r="F2423" s="1">
        <v>3.4081023604015027E-2</v>
      </c>
      <c r="G2423" s="40">
        <f t="shared" si="96"/>
        <v>0</v>
      </c>
      <c r="H2423" s="33">
        <f t="shared" si="97"/>
        <v>-3.4081023604015027E-2</v>
      </c>
      <c r="I2423" s="43"/>
    </row>
    <row r="2424" spans="2:9" ht="15">
      <c r="B2424" s="32">
        <v>2</v>
      </c>
      <c r="C2424" s="66" t="s">
        <v>48</v>
      </c>
      <c r="D2424" s="64">
        <v>43060</v>
      </c>
      <c r="E2424">
        <v>1.1682050931423937E-2</v>
      </c>
      <c r="F2424" s="1">
        <v>2.9341441794908364E-2</v>
      </c>
      <c r="G2424" s="40">
        <f t="shared" si="96"/>
        <v>0</v>
      </c>
      <c r="H2424" s="33">
        <f t="shared" si="97"/>
        <v>-2.9341441794908364E-2</v>
      </c>
      <c r="I2424" s="43"/>
    </row>
    <row r="2425" spans="2:9" ht="15">
      <c r="B2425" s="32">
        <v>2</v>
      </c>
      <c r="C2425" s="66" t="s">
        <v>48</v>
      </c>
      <c r="D2425" s="64">
        <v>43061</v>
      </c>
      <c r="E2425">
        <v>1.2318481713077922E-2</v>
      </c>
      <c r="F2425" s="1">
        <v>3.5552829546210439E-2</v>
      </c>
      <c r="G2425" s="40">
        <f t="shared" si="96"/>
        <v>0</v>
      </c>
      <c r="H2425" s="33">
        <f t="shared" si="97"/>
        <v>-3.5552829546210439E-2</v>
      </c>
      <c r="I2425" s="43"/>
    </row>
    <row r="2426" spans="2:9" ht="15">
      <c r="B2426" s="32">
        <v>2</v>
      </c>
      <c r="C2426" s="66" t="s">
        <v>48</v>
      </c>
      <c r="D2426" s="64">
        <v>43063</v>
      </c>
      <c r="E2426">
        <v>1.3192563992750372E-2</v>
      </c>
      <c r="F2426" s="1">
        <v>3.0308723632080977E-2</v>
      </c>
      <c r="G2426" s="40">
        <f t="shared" si="96"/>
        <v>0</v>
      </c>
      <c r="H2426" s="33">
        <f t="shared" si="97"/>
        <v>-3.0308723632080977E-2</v>
      </c>
      <c r="I2426" s="43"/>
    </row>
    <row r="2427" spans="2:9" ht="15">
      <c r="B2427" s="32">
        <v>2</v>
      </c>
      <c r="C2427" s="66" t="s">
        <v>48</v>
      </c>
      <c r="D2427" s="64">
        <v>43066</v>
      </c>
      <c r="E2427">
        <v>1.906809779281371E-2</v>
      </c>
      <c r="F2427" s="1">
        <v>2.693204466870127E-2</v>
      </c>
      <c r="G2427" s="40">
        <f t="shared" si="96"/>
        <v>0</v>
      </c>
      <c r="H2427" s="33">
        <f t="shared" si="97"/>
        <v>-2.693204466870127E-2</v>
      </c>
      <c r="I2427" s="43"/>
    </row>
    <row r="2428" spans="2:9" ht="15">
      <c r="B2428" s="32">
        <v>2</v>
      </c>
      <c r="C2428" s="66" t="s">
        <v>48</v>
      </c>
      <c r="D2428" s="64">
        <v>43067</v>
      </c>
      <c r="E2428">
        <v>1.2464607701445196E-2</v>
      </c>
      <c r="F2428" s="1">
        <v>2.2901518025392434E-2</v>
      </c>
      <c r="G2428" s="40">
        <f t="shared" si="96"/>
        <v>0</v>
      </c>
      <c r="H2428" s="33">
        <f t="shared" si="97"/>
        <v>-2.2901518025392434E-2</v>
      </c>
      <c r="I2428" s="43"/>
    </row>
    <row r="2429" spans="2:9" ht="15">
      <c r="B2429" s="32">
        <v>2</v>
      </c>
      <c r="C2429" s="66" t="s">
        <v>48</v>
      </c>
      <c r="D2429" s="64">
        <v>43068</v>
      </c>
      <c r="E2429">
        <v>1.438162534914067E-2</v>
      </c>
      <c r="F2429" s="1">
        <v>4.2814101177926049E-2</v>
      </c>
      <c r="G2429" s="40">
        <f t="shared" si="96"/>
        <v>0</v>
      </c>
      <c r="H2429" s="33">
        <f t="shared" si="97"/>
        <v>-4.2814101177926049E-2</v>
      </c>
      <c r="I2429" s="43"/>
    </row>
    <row r="2430" spans="2:9" ht="15">
      <c r="B2430" s="32">
        <v>2</v>
      </c>
      <c r="C2430" s="66" t="s">
        <v>48</v>
      </c>
      <c r="D2430" s="64">
        <v>43069</v>
      </c>
      <c r="E2430">
        <v>5.7509699139890458E-3</v>
      </c>
      <c r="F2430" s="1">
        <v>3.6357400968062989E-2</v>
      </c>
      <c r="G2430" s="40">
        <f t="shared" si="96"/>
        <v>0</v>
      </c>
      <c r="H2430" s="33">
        <f t="shared" si="97"/>
        <v>-3.6357400968062989E-2</v>
      </c>
      <c r="I2430" s="43"/>
    </row>
    <row r="2431" spans="2:9" ht="15">
      <c r="B2431" s="32">
        <v>2</v>
      </c>
      <c r="C2431" s="66" t="s">
        <v>48</v>
      </c>
      <c r="D2431" s="64">
        <v>43070</v>
      </c>
      <c r="E2431">
        <v>3.6983849187457452E-3</v>
      </c>
      <c r="F2431" s="1">
        <v>4.4273409503970677E-2</v>
      </c>
      <c r="G2431" s="40">
        <f t="shared" si="96"/>
        <v>0</v>
      </c>
      <c r="H2431" s="33">
        <f t="shared" si="97"/>
        <v>-4.4273409503970677E-2</v>
      </c>
      <c r="I2431" s="43"/>
    </row>
    <row r="2432" spans="2:9" ht="15">
      <c r="B2432" s="32">
        <v>2</v>
      </c>
      <c r="C2432" s="66" t="s">
        <v>48</v>
      </c>
      <c r="D2432" s="64">
        <v>43073</v>
      </c>
      <c r="E2432">
        <v>1.368540920789485E-2</v>
      </c>
      <c r="F2432" s="1">
        <v>3.8386615393609415E-2</v>
      </c>
      <c r="G2432" s="40">
        <f t="shared" si="96"/>
        <v>0</v>
      </c>
      <c r="H2432" s="33">
        <f t="shared" si="97"/>
        <v>-3.8386615393609415E-2</v>
      </c>
      <c r="I2432" s="43"/>
    </row>
    <row r="2433" spans="2:9" ht="15">
      <c r="B2433" s="32">
        <v>2</v>
      </c>
      <c r="C2433" s="66" t="s">
        <v>48</v>
      </c>
      <c r="D2433" s="64">
        <v>43074</v>
      </c>
      <c r="E2433">
        <v>2.2780278103719631E-2</v>
      </c>
      <c r="F2433" s="1">
        <v>3.2828891340745521E-2</v>
      </c>
      <c r="G2433" s="40">
        <f t="shared" si="96"/>
        <v>0</v>
      </c>
      <c r="H2433" s="33">
        <f t="shared" si="97"/>
        <v>-3.2828891340745521E-2</v>
      </c>
      <c r="I2433" s="43"/>
    </row>
    <row r="2434" spans="2:9" ht="15">
      <c r="B2434" s="32">
        <v>2</v>
      </c>
      <c r="C2434" s="66" t="s">
        <v>48</v>
      </c>
      <c r="D2434" s="64">
        <v>43075</v>
      </c>
      <c r="E2434">
        <v>1.9658892067553779E-2</v>
      </c>
      <c r="F2434" s="1">
        <v>3.1442858005295352E-2</v>
      </c>
      <c r="G2434" s="40">
        <f t="shared" si="96"/>
        <v>0</v>
      </c>
      <c r="H2434" s="33">
        <f t="shared" si="97"/>
        <v>-3.1442858005295352E-2</v>
      </c>
      <c r="I2434" s="43"/>
    </row>
    <row r="2435" spans="2:9" ht="15">
      <c r="B2435" s="32">
        <v>2</v>
      </c>
      <c r="C2435" s="66" t="s">
        <v>48</v>
      </c>
      <c r="D2435" s="64">
        <v>43076</v>
      </c>
      <c r="E2435">
        <v>1.5902589229200181E-2</v>
      </c>
      <c r="F2435" s="1">
        <v>2.6683847343648332E-2</v>
      </c>
      <c r="G2435" s="40">
        <f t="shared" si="96"/>
        <v>0</v>
      </c>
      <c r="H2435" s="33">
        <f t="shared" si="97"/>
        <v>-2.6683847343648332E-2</v>
      </c>
      <c r="I2435" s="43"/>
    </row>
    <row r="2436" spans="2:9" ht="15">
      <c r="B2436" s="32">
        <v>2</v>
      </c>
      <c r="C2436" s="66" t="s">
        <v>48</v>
      </c>
      <c r="D2436" s="64">
        <v>43077</v>
      </c>
      <c r="E2436">
        <v>1.2395073894713171E-2</v>
      </c>
      <c r="F2436" s="1">
        <v>2.5349120935660815E-2</v>
      </c>
      <c r="G2436" s="40">
        <f t="shared" si="96"/>
        <v>0</v>
      </c>
      <c r="H2436" s="33">
        <f t="shared" si="97"/>
        <v>-2.5349120935660815E-2</v>
      </c>
      <c r="I2436" s="43"/>
    </row>
    <row r="2437" spans="2:9" ht="15">
      <c r="B2437" s="32">
        <v>2</v>
      </c>
      <c r="C2437" s="66" t="s">
        <v>48</v>
      </c>
      <c r="D2437" s="64">
        <v>43080</v>
      </c>
      <c r="E2437">
        <v>8.7399603976425766E-3</v>
      </c>
      <c r="F2437" s="1">
        <v>3.0324548989892924E-2</v>
      </c>
      <c r="G2437" s="40">
        <f t="shared" si="96"/>
        <v>0</v>
      </c>
      <c r="H2437" s="33">
        <f t="shared" si="97"/>
        <v>-3.0324548989892924E-2</v>
      </c>
      <c r="I2437" s="43"/>
    </row>
    <row r="2438" spans="2:9" ht="15">
      <c r="B2438" s="32">
        <v>2</v>
      </c>
      <c r="C2438" s="66" t="s">
        <v>48</v>
      </c>
      <c r="D2438" s="64">
        <v>43081</v>
      </c>
      <c r="E2438">
        <v>6.1332610049769087E-3</v>
      </c>
      <c r="F2438" s="1">
        <v>2.858251354369374E-2</v>
      </c>
      <c r="G2438" s="40">
        <f t="shared" si="96"/>
        <v>0</v>
      </c>
      <c r="H2438" s="33">
        <f t="shared" si="97"/>
        <v>-2.858251354369374E-2</v>
      </c>
      <c r="I2438" s="43"/>
    </row>
    <row r="2439" spans="2:9" ht="15">
      <c r="B2439" s="32">
        <v>2</v>
      </c>
      <c r="C2439" s="66" t="s">
        <v>48</v>
      </c>
      <c r="D2439" s="64">
        <v>43082</v>
      </c>
      <c r="E2439">
        <v>7.3969579280293019E-3</v>
      </c>
      <c r="F2439" s="1">
        <v>2.499020244599158E-2</v>
      </c>
      <c r="G2439" s="40">
        <f t="shared" si="96"/>
        <v>0</v>
      </c>
      <c r="H2439" s="33">
        <f t="shared" si="97"/>
        <v>-2.499020244599158E-2</v>
      </c>
      <c r="I2439" s="43"/>
    </row>
    <row r="2440" spans="2:9" ht="15">
      <c r="B2440" s="32">
        <v>2</v>
      </c>
      <c r="C2440" s="66" t="s">
        <v>48</v>
      </c>
      <c r="D2440" s="64">
        <v>43083</v>
      </c>
      <c r="E2440">
        <v>1.3308444749065451E-2</v>
      </c>
      <c r="F2440" s="1">
        <v>2.1284702850908672E-2</v>
      </c>
      <c r="G2440" s="40">
        <f t="shared" si="96"/>
        <v>0</v>
      </c>
      <c r="H2440" s="33">
        <f t="shared" si="97"/>
        <v>-2.1284702850908672E-2</v>
      </c>
      <c r="I2440" s="43"/>
    </row>
    <row r="2441" spans="2:9" ht="15">
      <c r="B2441" s="32">
        <v>2</v>
      </c>
      <c r="C2441" s="66" t="s">
        <v>48</v>
      </c>
      <c r="D2441" s="64">
        <v>43084</v>
      </c>
      <c r="E2441">
        <v>-8.2250115180926286E-4</v>
      </c>
      <c r="F2441" s="1">
        <v>2.4048551836673253E-2</v>
      </c>
      <c r="G2441" s="40">
        <f t="shared" si="96"/>
        <v>0</v>
      </c>
      <c r="H2441" s="33">
        <f t="shared" si="97"/>
        <v>-2.4048551836673253E-2</v>
      </c>
      <c r="I2441" s="43"/>
    </row>
    <row r="2442" spans="2:9" ht="15">
      <c r="B2442" s="32">
        <v>2</v>
      </c>
      <c r="C2442" s="66" t="s">
        <v>48</v>
      </c>
      <c r="D2442" s="64">
        <v>43087</v>
      </c>
      <c r="E2442">
        <v>2.0980989879610945E-3</v>
      </c>
      <c r="F2442" s="1">
        <v>4.0323269525177806E-2</v>
      </c>
      <c r="G2442" s="40">
        <f t="shared" si="96"/>
        <v>0</v>
      </c>
      <c r="H2442" s="33">
        <f t="shared" si="97"/>
        <v>-4.0323269525177806E-2</v>
      </c>
      <c r="I2442" s="43"/>
    </row>
    <row r="2443" spans="2:9" ht="15">
      <c r="B2443" s="32">
        <v>2</v>
      </c>
      <c r="C2443" s="66" t="s">
        <v>48</v>
      </c>
      <c r="D2443" s="64">
        <v>43088</v>
      </c>
      <c r="E2443">
        <v>1.1712030122686734E-2</v>
      </c>
      <c r="F2443" s="1">
        <v>4.0052145292859692E-2</v>
      </c>
      <c r="G2443" s="40">
        <f t="shared" ref="G2443:G2445" si="98">--(E2443&lt;-F2443)</f>
        <v>0</v>
      </c>
      <c r="H2443" s="33">
        <f t="shared" ref="H2443:H2445" si="99">-F2443</f>
        <v>-4.0052145292859692E-2</v>
      </c>
      <c r="I2443" s="43"/>
    </row>
    <row r="2444" spans="2:9" ht="15">
      <c r="B2444" s="32">
        <v>2</v>
      </c>
      <c r="C2444" s="66" t="s">
        <v>48</v>
      </c>
      <c r="D2444" s="64">
        <v>43089</v>
      </c>
      <c r="E2444">
        <v>1.6560808926519677E-2</v>
      </c>
      <c r="F2444" s="1">
        <v>3.6244131728527543E-2</v>
      </c>
      <c r="G2444" s="40">
        <f t="shared" si="98"/>
        <v>0</v>
      </c>
      <c r="H2444" s="33">
        <f t="shared" si="99"/>
        <v>-3.6244131728527543E-2</v>
      </c>
      <c r="I2444" s="43"/>
    </row>
    <row r="2445" spans="2:9" ht="15">
      <c r="B2445" s="32">
        <v>2</v>
      </c>
      <c r="C2445" s="66" t="s">
        <v>48</v>
      </c>
      <c r="D2445" s="64">
        <v>43090</v>
      </c>
      <c r="E2445">
        <v>2.1586267897042433E-2</v>
      </c>
      <c r="F2445" s="1">
        <v>3.0922701882202783E-2</v>
      </c>
      <c r="G2445" s="40">
        <f t="shared" si="98"/>
        <v>0</v>
      </c>
      <c r="H2445" s="33">
        <f t="shared" si="99"/>
        <v>-3.0922701882202783E-2</v>
      </c>
      <c r="I2445" s="43"/>
    </row>
    <row r="2446" spans="2:9" ht="15">
      <c r="B2446" s="76"/>
      <c r="C2446" s="83"/>
      <c r="D2446" s="78"/>
      <c r="E2446" s="84"/>
      <c r="F2446" s="84"/>
      <c r="G2446" s="80"/>
      <c r="H2446" s="81"/>
      <c r="I2446" s="81"/>
    </row>
    <row r="2447" spans="2:9" ht="15">
      <c r="B2447" s="32"/>
      <c r="C2447" s="67"/>
      <c r="D2447" s="64"/>
      <c r="G2447" s="40"/>
      <c r="H2447" s="33"/>
      <c r="I2447" s="43"/>
    </row>
    <row r="2448" spans="2:9" ht="15">
      <c r="B2448" s="32"/>
      <c r="C2448" s="67"/>
      <c r="D2448" s="64"/>
      <c r="G2448" s="40"/>
      <c r="H2448" s="33"/>
      <c r="I2448" s="43"/>
    </row>
    <row r="2449" spans="2:9" ht="15">
      <c r="B2449" s="32"/>
      <c r="C2449" s="67"/>
      <c r="D2449" s="64"/>
      <c r="G2449" s="40"/>
      <c r="H2449" s="33"/>
      <c r="I2449" s="43"/>
    </row>
    <row r="2450" spans="2:9" ht="15">
      <c r="B2450" s="32"/>
      <c r="C2450" s="67"/>
      <c r="D2450" s="64"/>
      <c r="G2450" s="40"/>
      <c r="H2450" s="33"/>
      <c r="I2450" s="43"/>
    </row>
    <row r="2451" spans="2:9" ht="15">
      <c r="B2451" s="32"/>
      <c r="C2451" s="67"/>
      <c r="D2451" s="64"/>
      <c r="G2451" s="40"/>
      <c r="H2451" s="33"/>
      <c r="I2451" s="43"/>
    </row>
    <row r="2452" spans="2:9" ht="15">
      <c r="B2452" s="32"/>
      <c r="C2452" s="67"/>
      <c r="D2452" s="64"/>
      <c r="G2452" s="40"/>
      <c r="H2452" s="33"/>
      <c r="I2452" s="43"/>
    </row>
    <row r="2453" spans="2:9" ht="15">
      <c r="B2453" s="32"/>
      <c r="C2453" s="67"/>
      <c r="D2453" s="64"/>
      <c r="G2453" s="40"/>
      <c r="H2453" s="33"/>
      <c r="I2453" s="43"/>
    </row>
    <row r="2454" spans="2:9" ht="15">
      <c r="B2454" s="32"/>
      <c r="C2454" s="67"/>
      <c r="D2454" s="64"/>
      <c r="G2454" s="40"/>
      <c r="H2454" s="33"/>
      <c r="I2454" s="43"/>
    </row>
    <row r="2455" spans="2:9" ht="15">
      <c r="B2455" s="32"/>
      <c r="C2455" s="67"/>
      <c r="D2455" s="64"/>
      <c r="G2455" s="40"/>
      <c r="H2455" s="33"/>
      <c r="I2455" s="43"/>
    </row>
    <row r="2456" spans="2:9" ht="15">
      <c r="B2456" s="32"/>
      <c r="C2456" s="67"/>
      <c r="D2456" s="64"/>
      <c r="G2456" s="40"/>
      <c r="H2456" s="33"/>
      <c r="I2456" s="43"/>
    </row>
    <row r="2457" spans="2:9" ht="15">
      <c r="B2457" s="32"/>
      <c r="C2457" s="67"/>
      <c r="D2457" s="64"/>
      <c r="G2457" s="40"/>
      <c r="H2457" s="33"/>
      <c r="I2457" s="43"/>
    </row>
    <row r="2458" spans="2:9" ht="15">
      <c r="B2458" s="32"/>
      <c r="C2458" s="67"/>
      <c r="D2458" s="64"/>
      <c r="G2458" s="40"/>
      <c r="H2458" s="33"/>
      <c r="I2458" s="43"/>
    </row>
    <row r="2459" spans="2:9" ht="15">
      <c r="B2459" s="32"/>
      <c r="C2459" s="67"/>
      <c r="D2459" s="64"/>
      <c r="G2459" s="40"/>
      <c r="H2459" s="33"/>
      <c r="I2459" s="43"/>
    </row>
    <row r="2460" spans="2:9" ht="15">
      <c r="B2460" s="32"/>
      <c r="C2460" s="67"/>
      <c r="D2460" s="64"/>
      <c r="G2460" s="40"/>
      <c r="H2460" s="33"/>
      <c r="I2460" s="43"/>
    </row>
    <row r="2461" spans="2:9" ht="15">
      <c r="B2461" s="32"/>
      <c r="C2461" s="67"/>
      <c r="D2461" s="64"/>
      <c r="G2461" s="40"/>
      <c r="H2461" s="33"/>
      <c r="I2461" s="43"/>
    </row>
    <row r="2462" spans="2:9" ht="15">
      <c r="B2462" s="32"/>
      <c r="C2462" s="67"/>
      <c r="D2462" s="64"/>
      <c r="G2462" s="40"/>
      <c r="H2462" s="33"/>
      <c r="I2462" s="43"/>
    </row>
    <row r="2463" spans="2:9" ht="15">
      <c r="B2463" s="32"/>
      <c r="C2463" s="67"/>
      <c r="D2463" s="64"/>
      <c r="G2463" s="40"/>
      <c r="H2463" s="33"/>
      <c r="I2463" s="43"/>
    </row>
    <row r="2464" spans="2:9" ht="15">
      <c r="B2464" s="32"/>
      <c r="C2464" s="67"/>
      <c r="D2464" s="64"/>
      <c r="G2464" s="40"/>
      <c r="H2464" s="33"/>
      <c r="I2464" s="43"/>
    </row>
    <row r="2465" spans="2:9" ht="15">
      <c r="B2465" s="32"/>
      <c r="C2465" s="67"/>
      <c r="D2465" s="64"/>
      <c r="G2465" s="40"/>
      <c r="H2465" s="33"/>
      <c r="I2465" s="43"/>
    </row>
    <row r="2466" spans="2:9" ht="15">
      <c r="B2466" s="32"/>
      <c r="C2466" s="67"/>
      <c r="D2466" s="64"/>
      <c r="G2466" s="40"/>
      <c r="H2466" s="33"/>
      <c r="I2466" s="43"/>
    </row>
    <row r="2467" spans="2:9" ht="15">
      <c r="B2467" s="32"/>
      <c r="C2467" s="67"/>
      <c r="D2467" s="64"/>
      <c r="G2467" s="40"/>
      <c r="H2467" s="33"/>
      <c r="I2467" s="43"/>
    </row>
    <row r="2468" spans="2:9" ht="15">
      <c r="B2468" s="32"/>
      <c r="C2468" s="67"/>
      <c r="D2468" s="64"/>
      <c r="G2468" s="40"/>
      <c r="H2468" s="33"/>
      <c r="I2468" s="43"/>
    </row>
    <row r="2469" spans="2:9" ht="15">
      <c r="B2469" s="32"/>
      <c r="C2469" s="67"/>
      <c r="D2469" s="64"/>
      <c r="G2469" s="40"/>
      <c r="H2469" s="33"/>
      <c r="I2469" s="43"/>
    </row>
    <row r="2470" spans="2:9" ht="15">
      <c r="B2470" s="32"/>
      <c r="C2470" s="67"/>
      <c r="D2470" s="64"/>
      <c r="G2470" s="40"/>
      <c r="H2470" s="33"/>
      <c r="I2470" s="43"/>
    </row>
    <row r="2471" spans="2:9" ht="15">
      <c r="B2471" s="32"/>
      <c r="C2471" s="67"/>
      <c r="D2471" s="64"/>
      <c r="G2471" s="40"/>
      <c r="H2471" s="33"/>
      <c r="I2471" s="43"/>
    </row>
    <row r="2472" spans="2:9" ht="15">
      <c r="B2472" s="32"/>
      <c r="C2472" s="67"/>
      <c r="D2472" s="64"/>
      <c r="G2472" s="40"/>
      <c r="H2472" s="33"/>
      <c r="I2472" s="43"/>
    </row>
    <row r="2473" spans="2:9" ht="15">
      <c r="B2473" s="32"/>
      <c r="C2473" s="67"/>
      <c r="D2473" s="64"/>
      <c r="G2473" s="40"/>
      <c r="H2473" s="33"/>
      <c r="I2473" s="43"/>
    </row>
    <row r="2474" spans="2:9" ht="15">
      <c r="B2474" s="32"/>
      <c r="C2474" s="67"/>
      <c r="D2474" s="64"/>
      <c r="G2474" s="40"/>
      <c r="H2474" s="33"/>
      <c r="I2474" s="43"/>
    </row>
    <row r="2475" spans="2:9" ht="15">
      <c r="B2475" s="32"/>
      <c r="C2475" s="67"/>
      <c r="D2475" s="64"/>
      <c r="G2475" s="40"/>
      <c r="H2475" s="33"/>
      <c r="I2475" s="43"/>
    </row>
    <row r="2476" spans="2:9" ht="15">
      <c r="B2476" s="32"/>
      <c r="C2476" s="67"/>
      <c r="D2476" s="64"/>
      <c r="G2476" s="40"/>
      <c r="H2476" s="33"/>
      <c r="I2476" s="43"/>
    </row>
    <row r="2477" spans="2:9" ht="15">
      <c r="B2477" s="32"/>
      <c r="C2477" s="67"/>
      <c r="D2477" s="64"/>
      <c r="G2477" s="40"/>
      <c r="H2477" s="33"/>
      <c r="I2477" s="43"/>
    </row>
    <row r="2478" spans="2:9" ht="15">
      <c r="B2478" s="32"/>
      <c r="C2478" s="67"/>
      <c r="D2478" s="64"/>
      <c r="G2478" s="40"/>
      <c r="H2478" s="33"/>
      <c r="I2478" s="43"/>
    </row>
    <row r="2479" spans="2:9" ht="15">
      <c r="B2479" s="32"/>
      <c r="C2479" s="67"/>
      <c r="D2479" s="64"/>
      <c r="G2479" s="40"/>
      <c r="H2479" s="33"/>
      <c r="I2479" s="43"/>
    </row>
    <row r="2480" spans="2:9" ht="15">
      <c r="B2480" s="32"/>
      <c r="C2480" s="67"/>
      <c r="D2480" s="64"/>
      <c r="G2480" s="40"/>
      <c r="H2480" s="33"/>
      <c r="I2480" s="43"/>
    </row>
    <row r="2481" spans="2:9" ht="15">
      <c r="B2481" s="32"/>
      <c r="C2481" s="67"/>
      <c r="D2481" s="64"/>
      <c r="G2481" s="40"/>
      <c r="H2481" s="33"/>
      <c r="I2481" s="43"/>
    </row>
    <row r="2482" spans="2:9" ht="15">
      <c r="B2482" s="32"/>
      <c r="C2482" s="67"/>
      <c r="D2482" s="64"/>
      <c r="G2482" s="40"/>
      <c r="H2482" s="33"/>
      <c r="I2482" s="43"/>
    </row>
    <row r="2483" spans="2:9" ht="15">
      <c r="B2483" s="32"/>
      <c r="C2483" s="67"/>
      <c r="D2483" s="64"/>
      <c r="G2483" s="40"/>
      <c r="H2483" s="33"/>
      <c r="I2483" s="43"/>
    </row>
    <row r="2484" spans="2:9" ht="15">
      <c r="B2484" s="32"/>
      <c r="C2484" s="67"/>
      <c r="D2484" s="64"/>
      <c r="G2484" s="40"/>
      <c r="H2484" s="33"/>
      <c r="I2484" s="43"/>
    </row>
    <row r="2485" spans="2:9" ht="15">
      <c r="B2485" s="32"/>
      <c r="C2485" s="67"/>
      <c r="D2485" s="64"/>
      <c r="G2485" s="40"/>
      <c r="H2485" s="33"/>
      <c r="I2485" s="43"/>
    </row>
    <row r="2486" spans="2:9" ht="15">
      <c r="B2486" s="32"/>
      <c r="C2486" s="67"/>
      <c r="D2486" s="64"/>
      <c r="G2486" s="40"/>
      <c r="H2486" s="33"/>
      <c r="I2486" s="43"/>
    </row>
    <row r="2487" spans="2:9" ht="15">
      <c r="B2487" s="32"/>
      <c r="C2487" s="67"/>
      <c r="D2487" s="64"/>
      <c r="G2487" s="40"/>
      <c r="H2487" s="33"/>
      <c r="I2487" s="43"/>
    </row>
    <row r="2488" spans="2:9" ht="15">
      <c r="B2488" s="32"/>
      <c r="C2488" s="67"/>
      <c r="D2488" s="64"/>
      <c r="G2488" s="40"/>
      <c r="H2488" s="33"/>
      <c r="I2488" s="43"/>
    </row>
    <row r="2489" spans="2:9" ht="15">
      <c r="B2489" s="32"/>
      <c r="C2489" s="67"/>
      <c r="D2489" s="64"/>
      <c r="G2489" s="40"/>
      <c r="H2489" s="33"/>
      <c r="I2489" s="43"/>
    </row>
    <row r="2490" spans="2:9" ht="15">
      <c r="B2490" s="32"/>
      <c r="C2490" s="67"/>
      <c r="D2490" s="64"/>
      <c r="G2490" s="40"/>
      <c r="H2490" s="33"/>
      <c r="I2490" s="43"/>
    </row>
    <row r="2491" spans="2:9" ht="15">
      <c r="B2491" s="32"/>
      <c r="C2491" s="67"/>
      <c r="D2491" s="64"/>
      <c r="G2491" s="40"/>
      <c r="H2491" s="33"/>
      <c r="I2491" s="43"/>
    </row>
    <row r="2492" spans="2:9" ht="15">
      <c r="B2492" s="32"/>
      <c r="C2492" s="67"/>
      <c r="D2492" s="64"/>
      <c r="G2492" s="40"/>
      <c r="H2492" s="33"/>
      <c r="I2492" s="43"/>
    </row>
    <row r="2493" spans="2:9" ht="15">
      <c r="B2493" s="32"/>
      <c r="C2493" s="67"/>
      <c r="D2493" s="64"/>
      <c r="G2493" s="40"/>
      <c r="H2493" s="33"/>
      <c r="I2493" s="43"/>
    </row>
    <row r="2494" spans="2:9" ht="15">
      <c r="B2494" s="32"/>
      <c r="C2494" s="67"/>
      <c r="D2494" s="64"/>
      <c r="G2494" s="40"/>
      <c r="H2494" s="33"/>
      <c r="I2494" s="43"/>
    </row>
    <row r="2495" spans="2:9" ht="15">
      <c r="B2495" s="32"/>
      <c r="C2495" s="67"/>
      <c r="D2495" s="64"/>
      <c r="G2495" s="40"/>
      <c r="H2495" s="33"/>
      <c r="I2495" s="43"/>
    </row>
  </sheetData>
  <sortState ref="B5:G1189">
    <sortCondition ref="B5:B1189"/>
    <sortCondition ref="D5:D118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C24"/>
  <sheetViews>
    <sheetView showGridLines="0" zoomScale="85" zoomScaleNormal="85" workbookViewId="0">
      <selection activeCell="B5" sqref="B5"/>
    </sheetView>
  </sheetViews>
  <sheetFormatPr defaultColWidth="9.140625" defaultRowHeight="12.75"/>
  <cols>
    <col min="1" max="1" width="3.42578125" style="37" customWidth="1"/>
    <col min="2" max="2" width="25.140625" style="37" customWidth="1"/>
    <col min="3" max="3" width="39.42578125" style="44" customWidth="1"/>
    <col min="4" max="16384" width="9.140625" style="37"/>
  </cols>
  <sheetData>
    <row r="2" spans="2:3" ht="14.45">
      <c r="B2" s="51" t="s">
        <v>63</v>
      </c>
      <c r="C2" s="46">
        <v>2</v>
      </c>
    </row>
    <row r="3" spans="2:3" ht="14.45">
      <c r="B3" s="52" t="s">
        <v>64</v>
      </c>
      <c r="C3" s="48" t="str">
        <f>+VLOOKUP($C$2,DATA!$K$5:$L$10,2,0)</f>
        <v>EWMA VaR</v>
      </c>
    </row>
    <row r="4" spans="2:3" ht="14.45">
      <c r="B4" s="52" t="s">
        <v>34</v>
      </c>
      <c r="C4" s="48" t="str">
        <f>+ADDRESS(MATCH($C$2,DATA!$B:$B,0),4,,,"DATA") &amp; ":" &amp; ADDRESS(MATCH($C$2,DATA!$B:$B,0)+COUNTIF(DATA!$B:$B,$C$2)-1,4)</f>
        <v>DATA!$D$1226:$D$2445</v>
      </c>
    </row>
    <row r="5" spans="2:3" ht="14.45">
      <c r="B5" s="52" t="s">
        <v>35</v>
      </c>
      <c r="C5" s="48" t="str">
        <f>+ADDRESS(MATCH($C$2,DATA!$B:$B,0),5,,,"DATA") &amp; ":" &amp; ADDRESS(MATCH($C$2,DATA!$B:$B,0)+COUNTIF(DATA!$B:$B,$C$2)-1,5)</f>
        <v>DATA!$E$1226:$E$2445</v>
      </c>
    </row>
    <row r="6" spans="2:3" ht="14.45">
      <c r="B6" s="52" t="s">
        <v>38</v>
      </c>
      <c r="C6" s="48" t="str">
        <f>+ADDRESS(MATCH($C$2,DATA!$B:$B,0),8,,,"DATA") &amp; ":" &amp; ADDRESS(MATCH($C$2,DATA!$B:$B,0)+COUNTIF(DATA!$B:$B,$C$2)-1,8)</f>
        <v>DATA!$H$1226:$H$2445</v>
      </c>
    </row>
    <row r="7" spans="2:3" ht="14.45">
      <c r="B7" s="53" t="s">
        <v>36</v>
      </c>
      <c r="C7" s="50" t="str">
        <f>+ADDRESS(MATCH($C$2,DATA!$B:$B,0),9,,,"DATA") &amp; ":" &amp; ADDRESS(MATCH($C$2,DATA!$B:$B,0)+COUNTIF(DATA!$B:$B,$C$2)-1,9)</f>
        <v>DATA!$I$1226:$I$2445</v>
      </c>
    </row>
    <row r="10" spans="2:3" ht="14.45">
      <c r="B10" s="54" t="s">
        <v>40</v>
      </c>
    </row>
    <row r="12" spans="2:3" ht="6" customHeight="1">
      <c r="B12" s="45"/>
      <c r="C12" s="55"/>
    </row>
    <row r="13" spans="2:3" ht="20.45">
      <c r="B13" s="56" t="str">
        <f>+C3</f>
        <v>EWMA VaR</v>
      </c>
      <c r="C13" s="57" t="s">
        <v>3</v>
      </c>
    </row>
    <row r="14" spans="2:3" ht="14.45">
      <c r="B14" s="47"/>
      <c r="C14" s="58"/>
    </row>
    <row r="15" spans="2:3" ht="14.45">
      <c r="B15" s="62" t="s">
        <v>43</v>
      </c>
      <c r="C15" s="60">
        <v>0.99</v>
      </c>
    </row>
    <row r="16" spans="2:3" ht="14.45">
      <c r="B16" s="62"/>
      <c r="C16" s="58"/>
    </row>
    <row r="17" spans="2:3" ht="14.45">
      <c r="B17" s="62" t="s">
        <v>41</v>
      </c>
      <c r="C17" s="58">
        <f>+VLOOKUP($C$2,DATA!$K$4:$Q$10,5,0)</f>
        <v>1220</v>
      </c>
    </row>
    <row r="18" spans="2:3" ht="14.45">
      <c r="B18" s="62" t="s">
        <v>42</v>
      </c>
      <c r="C18" s="58">
        <f>+VLOOKUP($C$2,DATA!$K$4:$Q$10,6,0)</f>
        <v>31</v>
      </c>
    </row>
    <row r="19" spans="2:3" ht="14.45">
      <c r="B19" s="62" t="s">
        <v>44</v>
      </c>
      <c r="C19" s="61">
        <f>+C18/C17</f>
        <v>2.540983606557377E-2</v>
      </c>
    </row>
    <row r="20" spans="2:3" ht="14.45">
      <c r="B20" s="62"/>
      <c r="C20" s="58"/>
    </row>
    <row r="21" spans="2:3" ht="14.45">
      <c r="B21" s="62" t="s">
        <v>45</v>
      </c>
      <c r="C21" s="58" t="str">
        <f>+IF(VLOOKUP($C$2,DATA!$K$4:$AW$10,24,0),"H0 rejected", "H0 not rejected")</f>
        <v>H0 rejected</v>
      </c>
    </row>
    <row r="22" spans="2:3" ht="14.45">
      <c r="B22" s="62" t="s">
        <v>46</v>
      </c>
      <c r="C22" s="61" t="str">
        <f>+IF(VLOOKUP($C$2,DATA!$K$4:$AW$10,36,0),"H0 rejected", "H0 not rejected")</f>
        <v>H0 rejected</v>
      </c>
    </row>
    <row r="23" spans="2:3" ht="14.45">
      <c r="B23" s="62" t="s">
        <v>47</v>
      </c>
      <c r="C23" s="61" t="str">
        <f>+IF(VLOOKUP($C$2,DATA!$K$4:$AW$10,39,0),"H0 rejected", "H0 not rejected")</f>
        <v>H0 rejected</v>
      </c>
    </row>
    <row r="24" spans="2:3" ht="14.45">
      <c r="B24" s="49"/>
      <c r="C24" s="59"/>
    </row>
  </sheetData>
  <pageMargins left="0.75" right="0.75" top="1" bottom="1" header="0.5" footer="0.5"/>
  <headerFooter alignWithMargins="0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DATA!$K$5:$K$10</xm:f>
          </x14:formula1>
          <xm:sqref>C2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SP500_VaR_Calculations</vt:lpstr>
      <vt:lpstr>DATA</vt:lpstr>
      <vt:lpstr>GRAPHS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2020-03-11T21:06:20Z</dcterms:modified>
</cp:coreProperties>
</file>